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584c21178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비교" sheetId="1" r:id="R6559ada12f2e431a"/>
    <x:sheet xmlns:r="http://schemas.openxmlformats.org/officeDocument/2006/relationships" name="사례별계산" sheetId="2" r:id="R153e6aceeb374748"/>
    <x:sheet xmlns:r="http://schemas.openxmlformats.org/officeDocument/2006/relationships" name="처리단계" sheetId="3" r:id="Rc2a8dcaa0e2f4ac9"/>
    <x:sheet xmlns:r="http://schemas.openxmlformats.org/officeDocument/2006/relationships" name="비용원장" sheetId="4" r:id="R892e846642cf45ab"/>
    <x:sheet xmlns:r="http://schemas.openxmlformats.org/officeDocument/2006/relationships" name="메모리상태" sheetId="5" r:id="R5688d59ab0564aa2"/>
    <x:sheet xmlns:r="http://schemas.openxmlformats.org/officeDocument/2006/relationships" name="변경과제" sheetId="6" r:id="R0020e046c2854cdc"/>
    <x:sheet xmlns:r="http://schemas.openxmlformats.org/officeDocument/2006/relationships" name="지칭판정" sheetId="7" r:id="Rb3a96df6be094d8c"/>
    <x:sheet xmlns:r="http://schemas.openxmlformats.org/officeDocument/2006/relationships" name="의미판정" sheetId="8" r:id="R77d42e649a2a4ab9"/>
    <x:sheet xmlns:r="http://schemas.openxmlformats.org/officeDocument/2006/relationships" name="공통입력" sheetId="9" r:id="R77529fdb62b34c26"/>
    <x:sheet xmlns:r="http://schemas.openxmlformats.org/officeDocument/2006/relationships" name="공통가정" sheetId="10" r:id="R6b84ff0fe9b9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00"/>
    <x:numFmt numFmtId="202" formatCode="0.00"/>
    <x:numFmt numFmtId="203" formatCode="+0.000;-0.000;0.000"/>
    <x:numFmt numFmtId="204" formatCode="+0.00;-0.00;0.00"/>
    <x:numFmt numFmtId="205" formatCode="+0.000000;-0.000000;0.000000"/>
  </x:numFmts>
  <x:fonts count="8">
    <x:font>
      <x:sz val="11"/>
      <x:name val="Carlito"/>
    </x:font>
    <x:font>
      <x:sz val="11"/>
      <x:name val="Arial"/>
    </x:font>
    <x:font>
      <x:sz val="11"/>
      <x:color rgb="FF24364B"/>
      <x:name val="Arial"/>
    </x:font>
    <x:font>
      <x:sz val="11"/>
      <x:color rgb="FFFFFFFF"/>
      <x:name val="Arial"/>
    </x:font>
    <x:font>
      <x:sz val="18"/>
      <x:color rgb="FFFFFFFF"/>
      <x:name val="Arial"/>
    </x:font>
    <x:font>
      <x:b/>
      <x:sz val="11"/>
      <x:color rgb="FF24364B"/>
      <x:name val="Arial"/>
    </x:font>
    <x:font>
      <x:sz val="11"/>
      <x:color rgb="FF1769AA"/>
      <x:name val="Arial"/>
    </x:font>
    <x:font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A52"/>
      </x:patternFill>
    </x:fill>
    <x:fill>
      <x:patternFill patternType="solid">
        <x:fgColor rgb="FFEDF4F7"/>
      </x:patternFill>
    </x:fill>
    <x:fill>
      <x:patternFill patternType="solid">
        <x:fgColor rgb="FFDDEBF0"/>
      </x:patternFill>
    </x:fill>
    <x:fill>
      <x:patternFill patternType="solid">
        <x:fgColor rgb="FFF2F6F8"/>
      </x:patternFill>
    </x:fill>
    <x:fill>
      <x:patternFill patternType="solid">
        <x:fgColor rgb="FFFFF5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5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6" fillId="5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202" fontId="2" fillId="5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202" fontId="2" fillId="5" borderId="0" xfId="0" applyNumberFormat="1" applyFont="1" applyFill="1" applyBorder="1" applyAlignment="1">
      <x:alignment horizontal="center" vertical="center" wrapText="1"/>
    </x:xf>
    <x:xf numFmtId="202" fontId="2" fillId="0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1e8fdda634881" /><Relationship Type="http://schemas.openxmlformats.org/officeDocument/2006/relationships/theme" Target="/xl/theme/theme1.xml" Id="R343c2ee2aed2495a" /><Relationship Type="http://schemas.openxmlformats.org/officeDocument/2006/relationships/sharedStrings" Target="/xl/sharedStrings.xml" Id="R313257928ed44760" /><Relationship Type="http://schemas.openxmlformats.org/officeDocument/2006/relationships/worksheet" Target="/xl/worksheets/sheet1.xml" Id="R6559ada12f2e431a" /><Relationship Type="http://schemas.openxmlformats.org/officeDocument/2006/relationships/worksheet" Target="/xl/worksheets/sheet2.xml" Id="R153e6aceeb374748" /><Relationship Type="http://schemas.openxmlformats.org/officeDocument/2006/relationships/worksheet" Target="/xl/worksheets/sheet3.xml" Id="Rc2a8dcaa0e2f4ac9" /><Relationship Type="http://schemas.openxmlformats.org/officeDocument/2006/relationships/worksheet" Target="/xl/worksheets/sheet4.xml" Id="R892e846642cf45ab" /><Relationship Type="http://schemas.openxmlformats.org/officeDocument/2006/relationships/worksheet" Target="/xl/worksheets/sheet5.xml" Id="R5688d59ab0564aa2" /><Relationship Type="http://schemas.openxmlformats.org/officeDocument/2006/relationships/worksheet" Target="/xl/worksheets/sheet6.xml" Id="R0020e046c2854cdc" /><Relationship Type="http://schemas.openxmlformats.org/officeDocument/2006/relationships/worksheet" Target="/xl/worksheets/sheet7.xml" Id="Rb3a96df6be094d8c" /><Relationship Type="http://schemas.openxmlformats.org/officeDocument/2006/relationships/worksheet" Target="/xl/worksheets/sheet8.xml" Id="R77d42e649a2a4ab9" /><Relationship Type="http://schemas.openxmlformats.org/officeDocument/2006/relationships/worksheet" Target="/xl/worksheets/sheet9.xml" Id="R77529fdb62b34c26" /><Relationship Type="http://schemas.openxmlformats.org/officeDocument/2006/relationships/worksheet" Target="/xl/worksheets/sheet10.xml" Id="R6b84ff0fe9b9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7" hidden="0" customWidth="1"/>
    <x:col min="5" max="5" width="17" hidden="0" customWidth="1"/>
    <x:col min="6" max="6" width="19" hidden="0" customWidth="1"/>
    <x:col min="7" max="7" width="18" hidden="0" customWidth="1"/>
    <x:col min="8" max="8" width="21" hidden="0" customWidth="1"/>
    <x:col min="9" max="9" width="22" hidden="0" customWidth="1"/>
    <x:col min="10" max="10" width="17" hidden="0" customWidth="1"/>
    <x:col min="11" max="11" width="17" hidden="0" customWidth="1"/>
  </x:cols>
  <x:sheetData>
    <x:row r="1" ht="38" customHeight="1">
      <x:c r="A1" s="6" t="str">
        <x:v>DP2 · DP3 · DP5 · DP44 — 같은 입력, 같은 환경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3" customHeight="1">
      <x:c r="A2" s="8" t="str">
        <x:v>분석 모델 v4 · 실측 아님 | 24입력 / 24목표 / 33지칭 / 6변경 과제 | A 네 행은 같은 BASE 원장이다. QA02·07 미산출. 첫 음성은 QA01과 별도 진단.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8" customHeight="1">
      <x:c r="A5" s="11" t="str">
        <x:v>DP</x:v>
      </x:c>
      <x:c r="B5" s="11" t="str">
        <x:v>방안</x:v>
      </x:c>
      <x:c r="C5" s="11" t="str">
        <x:v>비교 구성</x:v>
      </x:c>
      <x:c r="D5" s="11" t="str">
        <x:v>QA01 화면 (s)</x:v>
      </x:c>
      <x:c r="E5" s="11" t="str">
        <x:v>QA02 지칭 (%)</x:v>
      </x:c>
      <x:c r="F5" s="11" t="str">
        <x:v>QA03 VIA 시간 (s)</x:v>
      </x:c>
      <x:c r="G5" s="11" t="str">
        <x:v>QA04 모듈 (개)</x:v>
      </x:c>
      <x:c r="H5" s="11" t="str">
        <x:v>QA05 묶음 비용 ($)</x:v>
      </x:c>
      <x:c r="I5" s="11" t="str">
        <x:v>QA06 최대 RAM (MB)</x:v>
      </x:c>
      <x:c r="J5" s="11" t="str">
        <x:v>QA07 의미 (%)</x:v>
      </x:c>
      <x:c r="K5" s="11" t="str">
        <x:v>첫 음성 (s)</x:v>
      </x:c>
    </x:row>
    <x:row r="6" ht="36" customHeight="1">
      <x:c r="A6" s="12" t="str">
        <x:v>DP2</x:v>
      </x:c>
      <x:c r="B6" s="12" t="str">
        <x:v>A</x:v>
      </x:c>
      <x:c r="C6" s="12" t="str">
        <x:v>BASE</x:v>
      </x:c>
      <x:c r="D6" s="13" t="n">
        <x:f>ROUND(AVERAGE('사례별계산'!G6:G29),12)</x:f>
        <x:v>2.185833333333</x:v>
      </x:c>
      <x:c r="E6" s="42" t="str">
        <x:f>IF(COUNT('지칭판정'!F6:F38)&lt;33,"미산출",SUM('지칭판정'!F6:F38)/33*100)</x:f>
        <x:v>미산출</x:v>
      </x:c>
      <x:c r="F6" s="13" t="n">
        <x:f>ROUND(AVERAGE('사례별계산'!H6:H29),12)</x:f>
        <x:v>4.559333333333</x:v>
      </x:c>
      <x:c r="G6" s="13" t="n">
        <x:f>ROUND(AVERAGE('변경과제'!E6:E11),12)</x:f>
        <x:v>2.5</x:v>
      </x:c>
      <x:c r="H6" s="15" t="n">
        <x:f>ROUND(SUM('사례별계산'!I6:I29),12)</x:f>
        <x:v>0.602824</x:v>
      </x:c>
      <x:c r="I6" s="13" t="n">
        <x:f>ROUND(MAX('사례별계산'!J6:J29),12)</x:f>
        <x:v>644.4</x:v>
      </x:c>
      <x:c r="J6" s="42" t="str">
        <x:f>IF(COUNT('의미판정'!E6:E29)&lt;24,"미산출",SUM('의미판정'!E6:E29)/24*100)</x:f>
        <x:v>미산출</x:v>
      </x:c>
      <x:c r="K6" s="13" t="n">
        <x:f>ROUND(AVERAGE('사례별계산'!K6:K29),12)</x:f>
        <x:v>2.511833333333</x:v>
      </x:c>
    </x:row>
    <x:row r="7" ht="36" customHeight="1">
      <x:c r="A7" s="7" t="str">
        <x:v>DP2</x:v>
      </x:c>
      <x:c r="B7" s="7" t="str">
        <x:v>B</x:v>
      </x:c>
      <x:c r="C7" s="7" t="str">
        <x:v>DP2-B</x:v>
      </x:c>
      <x:c r="D7" s="14" t="n">
        <x:f>ROUND(AVERAGE('사례별계산'!G30:G53),12)</x:f>
        <x:v>1.847916666667</x:v>
      </x:c>
      <x:c r="E7" s="43" t="str">
        <x:f>IF(COUNT('지칭판정'!F39:F71)&lt;33,"미산출",SUM('지칭판정'!F39:F71)/33*100)</x:f>
        <x:v>미산출</x:v>
      </x:c>
      <x:c r="F7" s="14" t="n">
        <x:f>ROUND(AVERAGE('사례별계산'!H30:H53),12)</x:f>
        <x:v>4.18475</x:v>
      </x:c>
      <x:c r="G7" s="14" t="n">
        <x:f>ROUND(AVERAGE('변경과제'!E12:E17),12)</x:f>
        <x:v>2.5</x:v>
      </x:c>
      <x:c r="H7" s="16" t="n">
        <x:f>ROUND(SUM('사례별계산'!I30:I53),12)</x:f>
        <x:v>0.604804</x:v>
      </x:c>
      <x:c r="I7" s="14" t="n">
        <x:f>ROUND(MAX('사례별계산'!J30:J53),12)</x:f>
        <x:v>675.92</x:v>
      </x:c>
      <x:c r="J7" s="43" t="str">
        <x:f>IF(COUNT('의미판정'!E30:E53)&lt;24,"미산출",SUM('의미판정'!E30:E53)/24*100)</x:f>
        <x:v>미산출</x:v>
      </x:c>
      <x:c r="K7" s="14" t="n">
        <x:f>ROUND(AVERAGE('사례별계산'!K30:K53),12)</x:f>
        <x:v>2.173916666667</x:v>
      </x:c>
    </x:row>
    <x:row r="8" ht="36" customHeight="1">
      <x:c r="A8" s="12" t="str">
        <x:v>DP3</x:v>
      </x:c>
      <x:c r="B8" s="12" t="str">
        <x:v>A</x:v>
      </x:c>
      <x:c r="C8" s="12" t="str">
        <x:v>BASE</x:v>
      </x:c>
      <x:c r="D8" s="13" t="n">
        <x:f>ROUND(AVERAGE('사례별계산'!G6:G29),12)</x:f>
        <x:v>2.185833333333</x:v>
      </x:c>
      <x:c r="E8" s="42" t="str">
        <x:f>IF(COUNT('지칭판정'!F6:F38)&lt;33,"미산출",SUM('지칭판정'!F6:F38)/33*100)</x:f>
        <x:v>미산출</x:v>
      </x:c>
      <x:c r="F8" s="13" t="n">
        <x:f>ROUND(AVERAGE('사례별계산'!H6:H29),12)</x:f>
        <x:v>4.559333333333</x:v>
      </x:c>
      <x:c r="G8" s="13" t="n">
        <x:f>ROUND(AVERAGE('변경과제'!E6:E11),12)</x:f>
        <x:v>2.5</x:v>
      </x:c>
      <x:c r="H8" s="15" t="n">
        <x:f>ROUND(SUM('사례별계산'!I6:I29),12)</x:f>
        <x:v>0.602824</x:v>
      </x:c>
      <x:c r="I8" s="13" t="n">
        <x:f>ROUND(MAX('사례별계산'!J6:J29),12)</x:f>
        <x:v>644.4</x:v>
      </x:c>
      <x:c r="J8" s="42" t="str">
        <x:f>IF(COUNT('의미판정'!E6:E29)&lt;24,"미산출",SUM('의미판정'!E6:E29)/24*100)</x:f>
        <x:v>미산출</x:v>
      </x:c>
      <x:c r="K8" s="13" t="n">
        <x:f>ROUND(AVERAGE('사례별계산'!K6:K29),12)</x:f>
        <x:v>2.511833333333</x:v>
      </x:c>
    </x:row>
    <x:row r="9" ht="36" customHeight="1">
      <x:c r="A9" s="7" t="str">
        <x:v>DP3</x:v>
      </x:c>
      <x:c r="B9" s="7" t="str">
        <x:v>B-R1</x:v>
      </x:c>
      <x:c r="C9" s="7" t="str">
        <x:v>DP3-B-R1</x:v>
      </x:c>
      <x:c r="D9" s="14" t="n">
        <x:f>ROUND(AVERAGE('사례별계산'!G54:G77),12)</x:f>
        <x:v>3.723472222222</x:v>
      </x:c>
      <x:c r="E9" s="43" t="str">
        <x:f>IF(COUNT('지칭판정'!F72:F104)&lt;33,"미산출",SUM('지칭판정'!F72:F104)/33*100)</x:f>
        <x:v>미산출</x:v>
      </x:c>
      <x:c r="F9" s="14" t="n">
        <x:f>ROUND(AVERAGE('사례별계산'!H54:H77),12)</x:f>
        <x:v>6.055305555556</x:v>
      </x:c>
      <x:c r="G9" s="14" t="n">
        <x:f>ROUND(AVERAGE('변경과제'!E18:E23),12)</x:f>
        <x:v>2.833333333333</x:v>
      </x:c>
      <x:c r="H9" s="16" t="n">
        <x:f>ROUND(SUM('사례별계산'!I54:I77),12)</x:f>
        <x:v>0.59664</x:v>
      </x:c>
      <x:c r="I9" s="14" t="n">
        <x:f>ROUND(MAX('사례별계산'!J54:J77),12)</x:f>
        <x:v>1817</x:v>
      </x:c>
      <x:c r="J9" s="43" t="str">
        <x:f>IF(COUNT('의미판정'!E54:E77)&lt;24,"미산출",SUM('의미판정'!E54:E77)/24*100)</x:f>
        <x:v>미산출</x:v>
      </x:c>
      <x:c r="K9" s="14" t="n">
        <x:f>ROUND(AVERAGE('사례별계산'!K54:K77),12)</x:f>
        <x:v>4.049472222222</x:v>
      </x:c>
    </x:row>
    <x:row r="10" ht="36" customHeight="1">
      <x:c r="A10" s="12" t="str">
        <x:v>DP3</x:v>
      </x:c>
      <x:c r="B10" s="12" t="str">
        <x:v>B-R2</x:v>
      </x:c>
      <x:c r="C10" s="12" t="str">
        <x:v>DP3-B-R2</x:v>
      </x:c>
      <x:c r="D10" s="13" t="n">
        <x:f>ROUND(AVERAGE('사례별계산'!G78:G101),12)</x:f>
        <x:v>3.463055555556</x:v>
      </x:c>
      <x:c r="E10" s="42" t="str">
        <x:f>IF(COUNT('지칭판정'!F105:F137)&lt;33,"미산출",SUM('지칭판정'!F105:F137)/33*100)</x:f>
        <x:v>미산출</x:v>
      </x:c>
      <x:c r="F10" s="13" t="n">
        <x:f>ROUND(AVERAGE('사례별계산'!H78:H101),12)</x:f>
        <x:v>5.794888888889</x:v>
      </x:c>
      <x:c r="G10" s="13" t="n">
        <x:f>ROUND(AVERAGE('변경과제'!E24:E29),12)</x:f>
        <x:v>2.833333333333</x:v>
      </x:c>
      <x:c r="H10" s="15" t="n">
        <x:f>ROUND(SUM('사례별계산'!I78:I101),12)</x:f>
        <x:v>0.59664</x:v>
      </x:c>
      <x:c r="I10" s="13" t="n">
        <x:f>ROUND(MAX('사례별계산'!J78:J101),12)</x:f>
        <x:v>2237</x:v>
      </x:c>
      <x:c r="J10" s="42" t="str">
        <x:f>IF(COUNT('의미판정'!E78:E101)&lt;24,"미산출",SUM('의미판정'!E78:E101)/24*100)</x:f>
        <x:v>미산출</x:v>
      </x:c>
      <x:c r="K10" s="13" t="n">
        <x:f>ROUND(AVERAGE('사례별계산'!K78:K101),12)</x:f>
        <x:v>3.789055555556</x:v>
      </x:c>
    </x:row>
    <x:row r="11" ht="36" customHeight="1">
      <x:c r="A11" s="7" t="str">
        <x:v>DP3</x:v>
      </x:c>
      <x:c r="B11" s="7" t="str">
        <x:v>B-R3</x:v>
      </x:c>
      <x:c r="C11" s="7" t="str">
        <x:v>DP3-B-R3</x:v>
      </x:c>
      <x:c r="D11" s="14" t="n">
        <x:f>ROUND(AVERAGE('사례별계산'!G102:G125),12)</x:f>
        <x:v>3.590555555556</x:v>
      </x:c>
      <x:c r="E11" s="43" t="str">
        <x:f>IF(COUNT('지칭판정'!F138:F170)&lt;33,"미산출",SUM('지칭판정'!F138:F170)/33*100)</x:f>
        <x:v>미산출</x:v>
      </x:c>
      <x:c r="F11" s="14" t="n">
        <x:f>ROUND(AVERAGE('사례별계산'!H102:H125),12)</x:f>
        <x:v>5.922388888889</x:v>
      </x:c>
      <x:c r="G11" s="14" t="n">
        <x:f>ROUND(AVERAGE('변경과제'!E30:E35),12)</x:f>
        <x:v>2.833333333333</x:v>
      </x:c>
      <x:c r="H11" s="16" t="n">
        <x:f>ROUND(SUM('사례별계산'!I102:I125),12)</x:f>
        <x:v>0.59664</x:v>
      </x:c>
      <x:c r="I11" s="14" t="n">
        <x:f>ROUND(MAX('사례별계산'!J102:J125),12)</x:f>
        <x:v>2525</x:v>
      </x:c>
      <x:c r="J11" s="43" t="str">
        <x:f>IF(COUNT('의미판정'!E102:E125)&lt;24,"미산출",SUM('의미판정'!E102:E125)/24*100)</x:f>
        <x:v>미산출</x:v>
      </x:c>
      <x:c r="K11" s="14" t="n">
        <x:f>ROUND(AVERAGE('사례별계산'!K102:K125),12)</x:f>
        <x:v>3.916555555556</x:v>
      </x:c>
    </x:row>
    <x:row r="12" ht="36" customHeight="1">
      <x:c r="A12" s="12" t="str">
        <x:v>DP5</x:v>
      </x:c>
      <x:c r="B12" s="12" t="str">
        <x:v>A</x:v>
      </x:c>
      <x:c r="C12" s="12" t="str">
        <x:v>BASE</x:v>
      </x:c>
      <x:c r="D12" s="13" t="n">
        <x:f>ROUND(AVERAGE('사례별계산'!G6:G29),12)</x:f>
        <x:v>2.185833333333</x:v>
      </x:c>
      <x:c r="E12" s="42" t="str">
        <x:f>IF(COUNT('지칭판정'!F6:F38)&lt;33,"미산출",SUM('지칭판정'!F6:F38)/33*100)</x:f>
        <x:v>미산출</x:v>
      </x:c>
      <x:c r="F12" s="13" t="n">
        <x:f>ROUND(AVERAGE('사례별계산'!H6:H29),12)</x:f>
        <x:v>4.559333333333</x:v>
      </x:c>
      <x:c r="G12" s="13" t="n">
        <x:f>ROUND(AVERAGE('변경과제'!E6:E11),12)</x:f>
        <x:v>2.5</x:v>
      </x:c>
      <x:c r="H12" s="15" t="n">
        <x:f>ROUND(SUM('사례별계산'!I6:I29),12)</x:f>
        <x:v>0.602824</x:v>
      </x:c>
      <x:c r="I12" s="13" t="n">
        <x:f>ROUND(MAX('사례별계산'!J6:J29),12)</x:f>
        <x:v>644.4</x:v>
      </x:c>
      <x:c r="J12" s="42" t="str">
        <x:f>IF(COUNT('의미판정'!E6:E29)&lt;24,"미산출",SUM('의미판정'!E6:E29)/24*100)</x:f>
        <x:v>미산출</x:v>
      </x:c>
      <x:c r="K12" s="13" t="n">
        <x:f>ROUND(AVERAGE('사례별계산'!K6:K29),12)</x:f>
        <x:v>2.511833333333</x:v>
      </x:c>
    </x:row>
    <x:row r="13" ht="36" customHeight="1">
      <x:c r="A13" s="7" t="str">
        <x:v>DP5</x:v>
      </x:c>
      <x:c r="B13" s="7" t="str">
        <x:v>B</x:v>
      </x:c>
      <x:c r="C13" s="7" t="str">
        <x:v>DP5-B</x:v>
      </x:c>
      <x:c r="D13" s="14" t="n">
        <x:f>ROUND(AVERAGE('사례별계산'!G126:G149),12)</x:f>
        <x:v>2.143333333333</x:v>
      </x:c>
      <x:c r="E13" s="43" t="str">
        <x:f>IF(COUNT('지칭판정'!F171:F203)&lt;33,"미산출",SUM('지칭판정'!F171:F203)/33*100)</x:f>
        <x:v>미산출</x:v>
      </x:c>
      <x:c r="F13" s="14" t="n">
        <x:f>ROUND(AVERAGE('사례별계산'!H126:H149),12)</x:f>
        <x:v>4.516833333333</x:v>
      </x:c>
      <x:c r="G13" s="14" t="n">
        <x:f>ROUND(AVERAGE('변경과제'!E36:E41),12)</x:f>
        <x:v>3</x:v>
      </x:c>
      <x:c r="H13" s="16" t="n">
        <x:f>ROUND(SUM('사례별계산'!I126:I149),12)</x:f>
        <x:v>0.624064</x:v>
      </x:c>
      <x:c r="I13" s="14" t="n">
        <x:f>ROUND(MAX('사례별계산'!J126:J149),12)</x:f>
        <x:v>702</x:v>
      </x:c>
      <x:c r="J13" s="43" t="str">
        <x:f>IF(COUNT('의미판정'!E126:E149)&lt;24,"미산출",SUM('의미판정'!E126:E149)/24*100)</x:f>
        <x:v>미산출</x:v>
      </x:c>
      <x:c r="K13" s="14" t="n">
        <x:f>ROUND(AVERAGE('사례별계산'!K126:K149),12)</x:f>
        <x:v>2.469333333333</x:v>
      </x:c>
    </x:row>
    <x:row r="14" ht="36" customHeight="1">
      <x:c r="A14" s="12" t="str">
        <x:v>DP44</x:v>
      </x:c>
      <x:c r="B14" s="12" t="str">
        <x:v>A</x:v>
      </x:c>
      <x:c r="C14" s="12" t="str">
        <x:v>BASE</x:v>
      </x:c>
      <x:c r="D14" s="13" t="n">
        <x:f>ROUND(AVERAGE('사례별계산'!G6:G29),12)</x:f>
        <x:v>2.185833333333</x:v>
      </x:c>
      <x:c r="E14" s="42" t="str">
        <x:f>IF(COUNT('지칭판정'!F6:F38)&lt;33,"미산출",SUM('지칭판정'!F6:F38)/33*100)</x:f>
        <x:v>미산출</x:v>
      </x:c>
      <x:c r="F14" s="13" t="n">
        <x:f>ROUND(AVERAGE('사례별계산'!H6:H29),12)</x:f>
        <x:v>4.559333333333</x:v>
      </x:c>
      <x:c r="G14" s="13" t="n">
        <x:f>ROUND(AVERAGE('변경과제'!E6:E11),12)</x:f>
        <x:v>2.5</x:v>
      </x:c>
      <x:c r="H14" s="15" t="n">
        <x:f>ROUND(SUM('사례별계산'!I6:I29),12)</x:f>
        <x:v>0.602824</x:v>
      </x:c>
      <x:c r="I14" s="13" t="n">
        <x:f>ROUND(MAX('사례별계산'!J6:J29),12)</x:f>
        <x:v>644.4</x:v>
      </x:c>
      <x:c r="J14" s="42" t="str">
        <x:f>IF(COUNT('의미판정'!E6:E29)&lt;24,"미산출",SUM('의미판정'!E6:E29)/24*100)</x:f>
        <x:v>미산출</x:v>
      </x:c>
      <x:c r="K14" s="13" t="n">
        <x:f>ROUND(AVERAGE('사례별계산'!K6:K29),12)</x:f>
        <x:v>2.511833333333</x:v>
      </x:c>
    </x:row>
    <x:row r="15" ht="36" customHeight="1">
      <x:c r="A15" s="7" t="str">
        <x:v>DP44</x:v>
      </x:c>
      <x:c r="B15" s="7" t="str">
        <x:v>B</x:v>
      </x:c>
      <x:c r="C15" s="7" t="str">
        <x:v>DP44-B</x:v>
      </x:c>
      <x:c r="D15" s="14" t="n">
        <x:f>ROUND(AVERAGE('사례별계산'!G150:G173),12)</x:f>
        <x:v>2.185833333333</x:v>
      </x:c>
      <x:c r="E15" s="43" t="str">
        <x:f>IF(COUNT('지칭판정'!F204:F236)&lt;33,"미산출",SUM('지칭판정'!F204:F236)/33*100)</x:f>
        <x:v>미산출</x:v>
      </x:c>
      <x:c r="F15" s="14" t="n">
        <x:f>ROUND(AVERAGE('사례별계산'!H150:H173),12)</x:f>
        <x:v>5.006265111111</x:v>
      </x:c>
      <x:c r="G15" s="14" t="n">
        <x:f>ROUND(AVERAGE('변경과제'!E42:E47),12)</x:f>
        <x:v>2.166666666667</x:v>
      </x:c>
      <x:c r="H15" s="16" t="n">
        <x:f>ROUND(SUM('사례별계산'!I150:I173),12)</x:f>
        <x:v>0.583050176</x:v>
      </x:c>
      <x:c r="I15" s="14" t="n">
        <x:f>ROUND(MAX('사례별계산'!J150:J173),12)</x:f>
        <x:v>644.4</x:v>
      </x:c>
      <x:c r="J15" s="43" t="str">
        <x:f>IF(COUNT('의미판정'!E150:E173)&lt;24,"미산출",SUM('의미판정'!E150:E173)/24*100)</x:f>
        <x:v>미산출</x:v>
      </x:c>
      <x:c r="K15" s="14" t="n">
        <x:f>ROUND(AVERAGE('사례별계산'!K150:K173),12)</x:f>
        <x:v>2.603305555556</x:v>
      </x:c>
    </x:row>
    <x:row r="18" ht="32" customHeight="1">
      <x:c r="A18" s="5" t="str">
        <x:v>기준 A 대비 차이 · 음수는 해당 수치 감소이며 선택 권고가 아님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</x:row>
    <x:row r="20" ht="40" customHeight="1">
      <x:c r="A20" s="37" t="str">
        <x:v>DP</x:v>
      </x:c>
      <x:c r="B20" s="37" t="str">
        <x:v>방안</x:v>
      </x:c>
      <x:c r="C20" s="37" t="str">
        <x:v>기준</x:v>
      </x:c>
      <x:c r="D20" s="37" t="str">
        <x:v>QA01 화면 (s)</x:v>
      </x:c>
      <x:c r="E20" s="37" t="str">
        <x:v>QA02 지칭 (%)</x:v>
      </x:c>
      <x:c r="F20" s="37" t="str">
        <x:v>QA03 VIA 시간 (s)</x:v>
      </x:c>
      <x:c r="G20" s="37" t="str">
        <x:v>QA04 모듈 (개)</x:v>
      </x:c>
      <x:c r="H20" s="37" t="str">
        <x:v>QA05 묶음 비용 ($)</x:v>
      </x:c>
      <x:c r="I20" s="37" t="str">
        <x:v>QA06 최대 RAM (MB)</x:v>
      </x:c>
      <x:c r="J20" s="37" t="str">
        <x:v>QA07 의미 (%)</x:v>
      </x:c>
      <x:c r="K20" s="37" t="str">
        <x:v>첫 음성 (s)</x:v>
      </x:c>
    </x:row>
    <x:row r="21" ht="30" customHeight="1">
      <x:c r="A21" s="36" t="str">
        <x:v>DP2</x:v>
      </x:c>
      <x:c r="B21" s="36" t="str">
        <x:v>B</x:v>
      </x:c>
      <x:c r="C21" s="36" t="str">
        <x:v>공통 A</x:v>
      </x:c>
      <x:c r="D21" s="38" t="n">
        <x:f>ROUND(D7-D6,12)</x:f>
        <x:v>-0.337916666666</x:v>
      </x:c>
      <x:c r="E21" s="44" t="str">
        <x:f>"미산출"</x:f>
        <x:v>미산출</x:v>
      </x:c>
      <x:c r="F21" s="38" t="n">
        <x:f>ROUND(F7-F6,12)</x:f>
        <x:v>-0.374583333333</x:v>
      </x:c>
      <x:c r="G21" s="38" t="n">
        <x:f>ROUND(G7-G6,12)</x:f>
        <x:v>0</x:v>
      </x:c>
      <x:c r="H21" s="40" t="n">
        <x:f>ROUND(H7-H6,12)</x:f>
        <x:v>0.00198</x:v>
      </x:c>
      <x:c r="I21" s="38" t="n">
        <x:f>ROUND(I7-I6,12)</x:f>
        <x:v>31.52</x:v>
      </x:c>
      <x:c r="J21" s="44" t="str">
        <x:f>"미산출"</x:f>
        <x:v>미산출</x:v>
      </x:c>
      <x:c r="K21" s="38" t="n">
        <x:f>ROUND(K7-K6,12)</x:f>
        <x:v>-0.337916666666</x:v>
      </x:c>
    </x:row>
    <x:row r="22" ht="30" customHeight="1">
      <x:c r="A22" s="36" t="str">
        <x:v>DP3</x:v>
      </x:c>
      <x:c r="B22" s="36" t="str">
        <x:v>B-R1</x:v>
      </x:c>
      <x:c r="C22" s="36" t="str">
        <x:v>공통 A</x:v>
      </x:c>
      <x:c r="D22" s="38" t="n">
        <x:f>ROUND(D9-D6,12)</x:f>
        <x:v>1.537638888889</x:v>
      </x:c>
      <x:c r="E22" s="44" t="str">
        <x:f>"미산출"</x:f>
        <x:v>미산출</x:v>
      </x:c>
      <x:c r="F22" s="38" t="n">
        <x:f>ROUND(F9-F6,12)</x:f>
        <x:v>1.495972222223</x:v>
      </x:c>
      <x:c r="G22" s="38" t="n">
        <x:f>ROUND(G9-G6,12)</x:f>
        <x:v>0.333333333333</x:v>
      </x:c>
      <x:c r="H22" s="40" t="n">
        <x:f>ROUND(H9-H6,12)</x:f>
        <x:v>-0.006184</x:v>
      </x:c>
      <x:c r="I22" s="38" t="n">
        <x:f>ROUND(I9-I6,12)</x:f>
        <x:v>1172.6</x:v>
      </x:c>
      <x:c r="J22" s="44" t="str">
        <x:f>"미산출"</x:f>
        <x:v>미산출</x:v>
      </x:c>
      <x:c r="K22" s="38" t="n">
        <x:f>ROUND(K9-K6,12)</x:f>
        <x:v>1.537638888889</x:v>
      </x:c>
    </x:row>
    <x:row r="23" ht="30" customHeight="1">
      <x:c r="A23" s="36" t="str">
        <x:v>DP3</x:v>
      </x:c>
      <x:c r="B23" s="36" t="str">
        <x:v>B-R2</x:v>
      </x:c>
      <x:c r="C23" s="36" t="str">
        <x:v>공통 A</x:v>
      </x:c>
      <x:c r="D23" s="38" t="n">
        <x:f>ROUND(D10-D6,12)</x:f>
        <x:v>1.277222222223</x:v>
      </x:c>
      <x:c r="E23" s="44" t="str">
        <x:f>"미산출"</x:f>
        <x:v>미산출</x:v>
      </x:c>
      <x:c r="F23" s="38" t="n">
        <x:f>ROUND(F10-F6,12)</x:f>
        <x:v>1.235555555556</x:v>
      </x:c>
      <x:c r="G23" s="38" t="n">
        <x:f>ROUND(G10-G6,12)</x:f>
        <x:v>0.333333333333</x:v>
      </x:c>
      <x:c r="H23" s="40" t="n">
        <x:f>ROUND(H10-H6,12)</x:f>
        <x:v>-0.006184</x:v>
      </x:c>
      <x:c r="I23" s="38" t="n">
        <x:f>ROUND(I10-I6,12)</x:f>
        <x:v>1592.6</x:v>
      </x:c>
      <x:c r="J23" s="44" t="str">
        <x:f>"미산출"</x:f>
        <x:v>미산출</x:v>
      </x:c>
      <x:c r="K23" s="38" t="n">
        <x:f>ROUND(K10-K6,12)</x:f>
        <x:v>1.277222222223</x:v>
      </x:c>
    </x:row>
    <x:row r="24" ht="30" customHeight="1">
      <x:c r="A24" s="36" t="str">
        <x:v>DP3</x:v>
      </x:c>
      <x:c r="B24" s="36" t="str">
        <x:v>B-R3</x:v>
      </x:c>
      <x:c r="C24" s="36" t="str">
        <x:v>공통 A</x:v>
      </x:c>
      <x:c r="D24" s="38" t="n">
        <x:f>ROUND(D11-D6,12)</x:f>
        <x:v>1.404722222223</x:v>
      </x:c>
      <x:c r="E24" s="44" t="str">
        <x:f>"미산출"</x:f>
        <x:v>미산출</x:v>
      </x:c>
      <x:c r="F24" s="38" t="n">
        <x:f>ROUND(F11-F6,12)</x:f>
        <x:v>1.363055555556</x:v>
      </x:c>
      <x:c r="G24" s="38" t="n">
        <x:f>ROUND(G11-G6,12)</x:f>
        <x:v>0.333333333333</x:v>
      </x:c>
      <x:c r="H24" s="40" t="n">
        <x:f>ROUND(H11-H6,12)</x:f>
        <x:v>-0.006184</x:v>
      </x:c>
      <x:c r="I24" s="38" t="n">
        <x:f>ROUND(I11-I6,12)</x:f>
        <x:v>1880.6</x:v>
      </x:c>
      <x:c r="J24" s="44" t="str">
        <x:f>"미산출"</x:f>
        <x:v>미산출</x:v>
      </x:c>
      <x:c r="K24" s="38" t="n">
        <x:f>ROUND(K11-K6,12)</x:f>
        <x:v>1.404722222223</x:v>
      </x:c>
    </x:row>
    <x:row r="25" ht="30" customHeight="1">
      <x:c r="A25" s="36" t="str">
        <x:v>DP5</x:v>
      </x:c>
      <x:c r="B25" s="36" t="str">
        <x:v>B</x:v>
      </x:c>
      <x:c r="C25" s="36" t="str">
        <x:v>공통 A</x:v>
      </x:c>
      <x:c r="D25" s="38" t="n">
        <x:f>ROUND(D13-D6,12)</x:f>
        <x:v>-0.0425</x:v>
      </x:c>
      <x:c r="E25" s="44" t="str">
        <x:f>"미산출"</x:f>
        <x:v>미산출</x:v>
      </x:c>
      <x:c r="F25" s="38" t="n">
        <x:f>ROUND(F13-F6,12)</x:f>
        <x:v>-0.0425</x:v>
      </x:c>
      <x:c r="G25" s="38" t="n">
        <x:f>ROUND(G13-G6,12)</x:f>
        <x:v>0.5</x:v>
      </x:c>
      <x:c r="H25" s="40" t="n">
        <x:f>ROUND(H13-H6,12)</x:f>
        <x:v>0.02124</x:v>
      </x:c>
      <x:c r="I25" s="38" t="n">
        <x:f>ROUND(I13-I6,12)</x:f>
        <x:v>57.6</x:v>
      </x:c>
      <x:c r="J25" s="44" t="str">
        <x:f>"미산출"</x:f>
        <x:v>미산출</x:v>
      </x:c>
      <x:c r="K25" s="38" t="n">
        <x:f>ROUND(K13-K6,12)</x:f>
        <x:v>-0.0425</x:v>
      </x:c>
    </x:row>
    <x:row r="26" ht="30" customHeight="1">
      <x:c r="A26" s="36" t="str">
        <x:v>DP44</x:v>
      </x:c>
      <x:c r="B26" s="36" t="str">
        <x:v>B</x:v>
      </x:c>
      <x:c r="C26" s="36" t="str">
        <x:v>공통 A</x:v>
      </x:c>
      <x:c r="D26" s="38" t="n">
        <x:f>ROUND(D15-D6,12)</x:f>
        <x:v>0</x:v>
      </x:c>
      <x:c r="E26" s="44" t="str">
        <x:f>"미산출"</x:f>
        <x:v>미산출</x:v>
      </x:c>
      <x:c r="F26" s="38" t="n">
        <x:f>ROUND(F15-F6,12)</x:f>
        <x:v>0.446931777778</x:v>
      </x:c>
      <x:c r="G26" s="38" t="n">
        <x:f>ROUND(G15-G6,12)</x:f>
        <x:v>-0.333333333333</x:v>
      </x:c>
      <x:c r="H26" s="40" t="n">
        <x:f>ROUND(H15-H6,12)</x:f>
        <x:v>-0.019773824</x:v>
      </x:c>
      <x:c r="I26" s="38" t="n">
        <x:f>ROUND(I15-I6,12)</x:f>
        <x:v>0</x:v>
      </x:c>
      <x:c r="J26" s="44" t="str">
        <x:f>"미산출"</x:f>
        <x:v>미산출</x:v>
      </x:c>
      <x:c r="K26" s="38" t="n">
        <x:f>ROUND(K15-K6,12)</x:f>
        <x:v>0.091472222223</x:v>
      </x:c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</x:row>
    <x:row r="28">
      <x:c r="A28" s="41" t="str">
        <x:v>읽는 순서: 전체비교 → 사례별계산 → 비용원장/메모리상태/처리단계. QA04는 개념 모듈 추정. QA05는 24개 전체 비용 합. QA06은 동시 최대. 기존 COMMON-28 점수표를 이 묶음에 적용하지 않는다. 정확도는 실제 최초 출력 확보 후 판정한다.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</x:row>
  </x:sheetData>
  <x:mergeCells>
    <x:mergeCell ref="A1:K1"/>
    <x:mergeCell ref="A2:K3"/>
    <x:mergeCell ref="A18:K18"/>
    <x:mergeCell ref="A28:K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5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44" hidden="0" customWidth="1"/>
  </x:cols>
  <x:sheetData>
    <x:row r="1" ht="38" customHeight="1">
      <x:c r="A1" s="6" t="str">
        <x:v>같은 입력에서 구성별 값이 나온 과정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3" customHeight="1">
      <x:c r="A2" s="8" t="str">
        <x:v>입력 종료는 모두 0초. 기존 목표 정정 U08/U16/U24의 QA03 원점은 -6초. 시간표·메모리 가정을 바꾸려면 specification 수정 후 생성기를 다시 실행한다.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8" customHeight="1">
      <x:c r="A5" s="11" t="str">
        <x:v>구성</x:v>
      </x:c>
      <x:c r="B5" s="11" t="str">
        <x:v>사례</x:v>
      </x:c>
      <x:c r="C5" s="11" t="str">
        <x:v>공통 입력</x:v>
      </x:c>
      <x:c r="D5" s="11" t="str">
        <x:v>목표 원점 s</x:v>
      </x:c>
      <x:c r="E5" s="11" t="str">
        <x:v>입력 종료 s</x:v>
      </x:c>
      <x:c r="F5" s="11" t="str">
        <x:v>첫 화면 s</x:v>
      </x:c>
      <x:c r="G5" s="11" t="str">
        <x:v>QA01 s</x:v>
      </x:c>
      <x:c r="H5" s="11" t="str">
        <x:v>QA03 s</x:v>
      </x:c>
      <x:c r="I5" s="11" t="str">
        <x:v>QA05 $</x:v>
      </x:c>
      <x:c r="J5" s="11" t="str">
        <x:v>QA06 MB</x:v>
      </x:c>
      <x:c r="K5" s="11" t="str">
        <x:v>첫 음성 s</x:v>
      </x:c>
      <x:c r="L5" s="11" t="str">
        <x:v>근거</x:v>
      </x:c>
    </x:row>
    <x:row r="6" ht="56" customHeight="1">
      <x:c r="A6" s="12" t="str">
        <x:v>BASE</x:v>
      </x:c>
      <x:c r="B6" s="12" t="str">
        <x:v>U01</x:v>
      </x:c>
      <x:c r="C6" s="12" t="str">
        <x:v>TCP와 UDP의 차이를 간단히 설명해줘.</x:v>
      </x:c>
      <x:c r="D6" s="13" t="n">
        <x:v>0</x:v>
      </x:c>
      <x:c r="E6" s="13" t="n">
        <x:v>0</x:v>
      </x:c>
      <x:c r="F6" s="13" t="n">
        <x:v>1.3100000000000003</x:v>
      </x:c>
      <x:c r="G6" s="13" t="n">
        <x:f>F6-E6</x:f>
        <x:v>1.3100000000000003</x:v>
      </x:c>
      <x:c r="H6" s="13" t="n">
        <x:f>'처리단계'!L15</x:f>
        <x:v>3.1580000000000004</x:v>
      </x:c>
      <x:c r="I6" s="15" t="n">
        <x:f>SUM('비용원장'!H6:H9)</x:f>
        <x:v>0.012904</x:v>
      </x:c>
      <x:c r="J6" s="13" t="n">
        <x:f>SUM('메모리상태'!E6:E12)</x:f>
        <x:v>588.4</x:v>
      </x:c>
      <x:c r="K6" s="13" t="n">
        <x:v>1.7480000000000002</x:v>
      </x:c>
      <x:c r="L6" s="12" t="str">
        <x:v>CONDITIONAL_NORMAL_PATH_SIMULATION</x:v>
      </x:c>
    </x:row>
    <x:row r="7" ht="56" customHeight="1">
      <x:c r="A7" s="7" t="str">
        <x:v>BASE</x:v>
      </x:c>
      <x:c r="B7" s="7" t="str">
        <x:v>U02</x:v>
      </x:c>
      <x:c r="C7" s="7" t="str">
        <x:v>방금 네 설명의 결론만 한 문장으로 말해줘.</x:v>
      </x:c>
      <x:c r="D7" s="14" t="n">
        <x:v>0</x:v>
      </x:c>
      <x:c r="E7" s="14" t="n">
        <x:v>0</x:v>
      </x:c>
      <x:c r="F7" s="14" t="n">
        <x:v>1.55</x:v>
      </x:c>
      <x:c r="G7" s="14" t="n">
        <x:f>F7-E7</x:f>
        <x:v>1.55</x:v>
      </x:c>
      <x:c r="H7" s="14" t="n">
        <x:f>'처리단계'!L25</x:f>
        <x:v>2.644</x:v>
      </x:c>
      <x:c r="I7" s="16" t="n">
        <x:f>SUM('비용원장'!H10:H14)</x:f>
        <x:v>0.00988</x:v>
      </x:c>
      <x:c r="J7" s="14" t="n">
        <x:f>SUM('메모리상태'!E13:E19)</x:f>
        <x:v>588.4</x:v>
      </x:c>
      <x:c r="K7" s="14" t="n">
        <x:v>1.984</x:v>
      </x:c>
      <x:c r="L7" s="7" t="str">
        <x:v>CONDITIONAL_NORMAL_PATH_SIMULATION</x:v>
      </x:c>
    </x:row>
    <x:row r="8" ht="56" customHeight="1">
      <x:c r="A8" s="12" t="str">
        <x:v>BASE</x:v>
      </x:c>
      <x:c r="B8" s="12" t="str">
        <x:v>U03</x:v>
      </x:c>
      <x:c r="C8" s="12" t="str">
        <x:v>자료 D1의 결론을 설명해줘.</x:v>
      </x:c>
      <x:c r="D8" s="13" t="n">
        <x:v>0</x:v>
      </x:c>
      <x:c r="E8" s="13" t="n">
        <x:v>0</x:v>
      </x:c>
      <x:c r="F8" s="13" t="n">
        <x:v>1.3100000000000003</x:v>
      </x:c>
      <x:c r="G8" s="13" t="n">
        <x:f>F8-E8</x:f>
        <x:v>1.3100000000000003</x:v>
      </x:c>
      <x:c r="H8" s="13" t="n">
        <x:f>'처리단계'!L39</x:f>
        <x:v>4.758</x:v>
      </x:c>
      <x:c r="I8" s="15" t="n">
        <x:f>SUM('비용원장'!H15:H22)</x:f>
        <x:v>0.020512</x:v>
      </x:c>
      <x:c r="J8" s="13" t="n">
        <x:f>SUM('메모리상태'!E20:E26)</x:f>
        <x:v>590.944</x:v>
      </x:c>
      <x:c r="K8" s="13" t="n">
        <x:v>1.7440000000000002</x:v>
      </x:c>
      <x:c r="L8" s="12" t="str">
        <x:v>CONDITIONAL_NORMAL_PATH_SIMULATION</x:v>
      </x:c>
    </x:row>
    <x:row r="9" ht="56" customHeight="1">
      <x:c r="A9" s="7" t="str">
        <x:v>BASE</x:v>
      </x:c>
      <x:c r="B9" s="7" t="str">
        <x:v>U04</x:v>
      </x:c>
      <x:c r="C9" s="7" t="str">
        <x:v>조사는 계속하고 TCP의 특징을 알려줘.</x:v>
      </x:c>
      <x:c r="D9" s="14" t="n">
        <x:v>0</x:v>
      </x:c>
      <x:c r="E9" s="14" t="n">
        <x:v>0</x:v>
      </x:c>
      <x:c r="F9" s="14" t="n">
        <x:v>1.55</x:v>
      </x:c>
      <x:c r="G9" s="14" t="n">
        <x:f>F9-E9</x:f>
        <x:v>1.55</x:v>
      </x:c>
      <x:c r="H9" s="14" t="n">
        <x:f>'처리단계'!L49</x:f>
        <x:v>3.3979999999999997</x:v>
      </x:c>
      <x:c r="I9" s="16" t="n">
        <x:f>SUM('비용원장'!H23:H27)</x:f>
        <x:v>0.015904</x:v>
      </x:c>
      <x:c r="J9" s="14" t="n">
        <x:f>SUM('메모리상태'!E27:E33)</x:f>
        <x:v>588.4</x:v>
      </x:c>
      <x:c r="K9" s="14" t="n">
        <x:v>1.988</x:v>
      </x:c>
      <x:c r="L9" s="7" t="str">
        <x:v>CONDITIONAL_NORMAL_PATH_SIMULATION</x:v>
      </x:c>
    </x:row>
    <x:row r="10" ht="56" customHeight="1">
      <x:c r="A10" s="12" t="str">
        <x:v>BASE</x:v>
      </x:c>
      <x:c r="B10" s="12" t="str">
        <x:v>U05</x:v>
      </x:c>
      <x:c r="C10" s="12" t="str">
        <x:v>D1 비교는 계속하고 TCP와 UDP 차이도 알려줘.</x:v>
      </x:c>
      <x:c r="D10" s="13" t="n">
        <x:v>0</x:v>
      </x:c>
      <x:c r="E10" s="13" t="n">
        <x:v>0</x:v>
      </x:c>
      <x:c r="F10" s="13" t="n">
        <x:v>3.57</x:v>
      </x:c>
      <x:c r="G10" s="13" t="n">
        <x:f>F10-E10</x:f>
        <x:v>3.57</x:v>
      </x:c>
      <x:c r="H10" s="13" t="n">
        <x:f>'처리단계'!L60</x:f>
        <x:v>5.417999999999999</x:v>
      </x:c>
      <x:c r="I10" s="15" t="n">
        <x:f>SUM('비용원장'!H28:H34)</x:f>
        <x:v>0.018064</x:v>
      </x:c>
      <x:c r="J10" s="13" t="n">
        <x:f>SUM('메모리상태'!E34:E40)</x:f>
        <x:v>590.8</x:v>
      </x:c>
      <x:c r="K10" s="13" t="n">
        <x:v>4.008</x:v>
      </x:c>
      <x:c r="L10" s="12" t="str">
        <x:v>CONDITIONAL_NORMAL_PATH_SIMULATION</x:v>
      </x:c>
    </x:row>
    <x:row r="11" ht="56" customHeight="1">
      <x:c r="A11" s="7" t="str">
        <x:v>BASE</x:v>
      </x:c>
      <x:c r="B11" s="7" t="str">
        <x:v>U06</x:v>
      </x:c>
      <x:c r="C11" s="7" t="str">
        <x:v>D1 분석은 유지하고 D2의 결론도 설명해줘.</x:v>
      </x:c>
      <x:c r="D11" s="14" t="n">
        <x:v>0</x:v>
      </x:c>
      <x:c r="E11" s="14" t="n">
        <x:v>0</x:v>
      </x:c>
      <x:c r="F11" s="14" t="n">
        <x:v>3.57</x:v>
      </x:c>
      <x:c r="G11" s="14" t="n">
        <x:f>F11-E11</x:f>
        <x:v>3.57</x:v>
      </x:c>
      <x:c r="H11" s="14" t="n">
        <x:f>'처리단계'!L75</x:f>
        <x:v>7.018</x:v>
      </x:c>
      <x:c r="I11" s="16" t="n">
        <x:f>SUM('비용원장'!H35:H44)</x:f>
        <x:v>0.022671999999999998</x:v>
      </x:c>
      <x:c r="J11" s="14" t="n">
        <x:f>SUM('메모리상태'!E41:E47)</x:f>
        <x:v>590.944</x:v>
      </x:c>
      <x:c r="K11" s="14" t="n">
        <x:v>4.004</x:v>
      </x:c>
      <x:c r="L11" s="7" t="str">
        <x:v>CONDITIONAL_NORMAL_PATH_SIMULATION</x:v>
      </x:c>
    </x:row>
    <x:row r="12" ht="56" customHeight="1">
      <x:c r="A12" s="12" t="str">
        <x:v>BASE</x:v>
      </x:c>
      <x:c r="B12" s="12" t="str">
        <x:v>U07</x:v>
      </x:c>
      <x:c r="C12" s="12" t="str">
        <x:v>진행 중인 일은 유지하고 D2의 핵심도 알려줘.</x:v>
      </x:c>
      <x:c r="D12" s="13" t="n">
        <x:v>0</x:v>
      </x:c>
      <x:c r="E12" s="13" t="n">
        <x:v>0</x:v>
      </x:c>
      <x:c r="F12" s="13" t="n">
        <x:v>3.57</x:v>
      </x:c>
      <x:c r="G12" s="13" t="n">
        <x:f>F12-E12</x:f>
        <x:v>3.57</x:v>
      </x:c>
      <x:c r="H12" s="13" t="n">
        <x:f>'처리단계'!L91</x:f>
        <x:v>7.018</x:v>
      </x:c>
      <x:c r="I12" s="15" t="n">
        <x:f>SUM('비용원장'!H45:H57)</x:f>
        <x:v>0.027832</x:v>
      </x:c>
      <x:c r="J12" s="13" t="n">
        <x:f>SUM('메모리상태'!E48:E55)</x:f>
        <x:v>610.5999999999999</x:v>
      </x:c>
      <x:c r="K12" s="13" t="n">
        <x:v>4.004</x:v>
      </x:c>
      <x:c r="L12" s="12" t="str">
        <x:v>CONDITIONAL_NORMAL_PATH_SIMULATION</x:v>
      </x:c>
    </x:row>
    <x:row r="13" ht="56" customHeight="1">
      <x:c r="A13" s="7" t="str">
        <x:v>BASE</x:v>
      </x:c>
      <x:c r="B13" s="7" t="str">
        <x:v>U08</x:v>
      </x:c>
      <x:c r="C13" s="7" t="str">
        <x:v>방금 읽는 D1에서 확인한 수치를 기준으로 범위를 비용만으로 바꿔줘.</x:v>
      </x:c>
      <x:c r="D13" s="14" t="n">
        <x:v>-6</x:v>
      </x:c>
      <x:c r="E13" s="14" t="n">
        <x:v>0</x:v>
      </x:c>
      <x:c r="F13" s="14" t="n">
        <x:v>3.57</x:v>
      </x:c>
      <x:c r="G13" s="14" t="n">
        <x:f>F13-E13</x:f>
        <x:v>3.57</x:v>
      </x:c>
      <x:c r="H13" s="14" t="n">
        <x:f>'처리단계'!L107</x:f>
        <x:v>10.017999999999999</x:v>
      </x:c>
      <x:c r="I13" s="16" t="n">
        <x:f>SUM('비용원장'!H58:H67)</x:f>
        <x:v>0.022671999999999998</x:v>
      </x:c>
      <x:c r="J13" s="14" t="n">
        <x:f>SUM('메모리상태'!E56:E62)</x:f>
        <x:v>590.944</x:v>
      </x:c>
      <x:c r="K13" s="14" t="n">
        <x:v>4.004</x:v>
      </x:c>
      <x:c r="L13" s="7" t="str">
        <x:v>CONDITIONAL_NORMAL_PATH_SIMULATION</x:v>
      </x:c>
    </x:row>
    <x:row r="14" ht="56" customHeight="1">
      <x:c r="A14" s="12" t="str">
        <x:v>BASE</x:v>
      </x:c>
      <x:c r="B14" s="12" t="str">
        <x:v>U09</x:v>
      </x:c>
      <x:c r="C14" s="12" t="str">
        <x:v>선택한 두 견적을 비교해줘.</x:v>
      </x:c>
      <x:c r="D14" s="13" t="n">
        <x:v>0</x:v>
      </x:c>
      <x:c r="E14" s="13" t="n">
        <x:v>0</x:v>
      </x:c>
      <x:c r="F14" s="13" t="n">
        <x:v>1.6300000000000001</x:v>
      </x:c>
      <x:c r="G14" s="13" t="n">
        <x:f>F14-E14</x:f>
        <x:v>1.6300000000000001</x:v>
      </x:c>
      <x:c r="H14" s="13" t="n">
        <x:f>'처리단계'!L123</x:f>
        <x:v>3.518</x:v>
      </x:c>
      <x:c r="I14" s="15" t="n">
        <x:f>SUM('비용원장'!H68:H74)</x:f>
        <x:v>0.021928</x:v>
      </x:c>
      <x:c r="J14" s="13" t="n">
        <x:f>SUM('메모리상태'!E63:E69)</x:f>
        <x:v>588.4</x:v>
      </x:c>
      <x:c r="K14" s="13" t="n">
        <x:v>2.064</x:v>
      </x:c>
      <x:c r="L14" s="12" t="str">
        <x:v>CONDITIONAL_NORMAL_PATH_SIMULATION</x:v>
      </x:c>
    </x:row>
    <x:row r="15" ht="56" customHeight="1">
      <x:c r="A15" s="7" t="str">
        <x:v>BASE</x:v>
      </x:c>
      <x:c r="B15" s="7" t="str">
        <x:v>U10</x:v>
      </x:c>
      <x:c r="C15" s="7" t="str">
        <x:v>내가 원으로 표시한 두 카드를 비교해줘.</x:v>
      </x:c>
      <x:c r="D15" s="14" t="n">
        <x:v>0</x:v>
      </x:c>
      <x:c r="E15" s="14" t="n">
        <x:v>0</x:v>
      </x:c>
      <x:c r="F15" s="14" t="n">
        <x:v>1.8500000000000003</x:v>
      </x:c>
      <x:c r="G15" s="14" t="n">
        <x:f>F15-E15</x:f>
        <x:v>1.8500000000000003</x:v>
      </x:c>
      <x:c r="H15" s="14" t="n">
        <x:f>'처리단계'!L138</x:f>
        <x:v>3.7380000000000004</x:v>
      </x:c>
      <x:c r="I15" s="16" t="n">
        <x:f>SUM('비용원장'!H75:H81)</x:f>
        <x:v>0.023728</x:v>
      </x:c>
      <x:c r="J15" s="14" t="n">
        <x:f>SUM('메모리상태'!E70:E77)</x:f>
        <x:v>627.6</x:v>
      </x:c>
      <x:c r="K15" s="14" t="n">
        <x:v>2.2840000000000003</x:v>
      </x:c>
      <x:c r="L15" s="7" t="str">
        <x:v>CONDITIONAL_NORMAL_PATH_SIMULATION</x:v>
      </x:c>
    </x:row>
    <x:row r="16" ht="56" customHeight="1">
      <x:c r="A16" s="12" t="str">
        <x:v>BASE</x:v>
      </x:c>
      <x:c r="B16" s="12" t="str">
        <x:v>U11</x:v>
      </x:c>
      <x:c r="C16" s="12" t="str">
        <x:v>처음 가리킨 견적과 화면 이동 뒤 가리킨 견적을 비교해줘.</x:v>
      </x:c>
      <x:c r="D16" s="13" t="n">
        <x:v>0</x:v>
      </x:c>
      <x:c r="E16" s="13" t="n">
        <x:v>0</x:v>
      </x:c>
      <x:c r="F16" s="13" t="n">
        <x:v>2.15</x:v>
      </x:c>
      <x:c r="G16" s="13" t="n">
        <x:f>F16-E16</x:f>
        <x:v>2.15</x:v>
      </x:c>
      <x:c r="H16" s="13" t="n">
        <x:f>'처리단계'!L153</x:f>
        <x:v>4.038</x:v>
      </x:c>
      <x:c r="I16" s="15" t="n">
        <x:f>SUM('비용원장'!H82:H88)</x:f>
        <x:v>0.025528</x:v>
      </x:c>
      <x:c r="J16" s="13" t="n">
        <x:f>SUM('메모리상태'!E78:E85)</x:f>
        <x:v>634.8</x:v>
      </x:c>
      <x:c r="K16" s="13" t="n">
        <x:v>2.584</x:v>
      </x:c>
      <x:c r="L16" s="12" t="str">
        <x:v>CONDITIONAL_NORMAL_PATH_SIMULATION</x:v>
      </x:c>
    </x:row>
    <x:row r="17" ht="56" customHeight="1">
      <x:c r="A17" s="7" t="str">
        <x:v>BASE</x:v>
      </x:c>
      <x:c r="B17" s="7" t="str">
        <x:v>U12</x:v>
      </x:c>
      <x:c r="C17" s="7" t="str">
        <x:v>같은 화면에서 확정한 두 견적의 납기만 비교해줘.</x:v>
      </x:c>
      <x:c r="D17" s="14" t="n">
        <x:v>0</x:v>
      </x:c>
      <x:c r="E17" s="14" t="n">
        <x:v>0</x:v>
      </x:c>
      <x:c r="F17" s="14" t="n">
        <x:v>1.6300000000000001</x:v>
      </x:c>
      <x:c r="G17" s="14" t="n">
        <x:f>F17-E17</x:f>
        <x:v>1.6300000000000001</x:v>
      </x:c>
      <x:c r="H17" s="14" t="n">
        <x:f>'처리단계'!L170</x:f>
        <x:v>3.518</x:v>
      </x:c>
      <x:c r="I17" s="16" t="n">
        <x:f>SUM('비용원장'!H89:H97)</x:f>
        <x:v>0.024583999999999998</x:v>
      </x:c>
      <x:c r="J17" s="14" t="n">
        <x:f>SUM('메모리상태'!E86:E92)</x:f>
        <x:v>588.4</x:v>
      </x:c>
      <x:c r="K17" s="14" t="n">
        <x:v>2.064</x:v>
      </x:c>
      <x:c r="L17" s="7" t="str">
        <x:v>CONDITIONAL_NORMAL_PATH_SIMULATION</x:v>
      </x:c>
    </x:row>
    <x:row r="18" ht="56" customHeight="1">
      <x:c r="A18" s="12" t="str">
        <x:v>BASE</x:v>
      </x:c>
      <x:c r="B18" s="12" t="str">
        <x:v>U13</x:v>
      </x:c>
      <x:c r="C18" s="12" t="str">
        <x:v>자료 D2를 작성한 Agent에게 새 발표를 맡겨줘.</x:v>
      </x:c>
      <x:c r="D18" s="13" t="n">
        <x:v>0</x:v>
      </x:c>
      <x:c r="E18" s="13" t="n">
        <x:v>0</x:v>
      </x:c>
      <x:c r="F18" s="13" t="n">
        <x:v>1.3100000000000003</x:v>
      </x:c>
      <x:c r="G18" s="13" t="n">
        <x:f>F18-E18</x:f>
        <x:v>1.3100000000000003</x:v>
      </x:c>
      <x:c r="H18" s="13" t="n">
        <x:f>'처리단계'!L185</x:f>
        <x:v>3.1980000000000004</x:v>
      </x:c>
      <x:c r="I18" s="15" t="n">
        <x:f>SUM('비용원장'!H98:H103)</x:f>
        <x:v>0.018928</x:v>
      </x:c>
      <x:c r="J18" s="13" t="n">
        <x:f>SUM('메모리상태'!E93:E99)</x:f>
        <x:v>588.4</x:v>
      </x:c>
      <x:c r="K18" s="13" t="n">
        <x:v>1.7440000000000002</x:v>
      </x:c>
      <x:c r="L18" s="12" t="str">
        <x:v>CONDITIONAL_NORMAL_PATH_SIMULATION</x:v>
      </x:c>
    </x:row>
    <x:row r="19" ht="56" customHeight="1">
      <x:c r="A19" s="7" t="str">
        <x:v>BASE</x:v>
      </x:c>
      <x:c r="B19" s="7" t="str">
        <x:v>U14</x:v>
      </x:c>
      <x:c r="C19" s="7" t="str">
        <x:v>아까 구성이 좋다고 했던 자료의 형식으로 이번 조사를 정리해줘.</x:v>
      </x:c>
      <x:c r="D19" s="14" t="n">
        <x:v>0</x:v>
      </x:c>
      <x:c r="E19" s="14" t="n">
        <x:v>0</x:v>
      </x:c>
      <x:c r="F19" s="14" t="n">
        <x:v>1.95</x:v>
      </x:c>
      <x:c r="G19" s="14" t="n">
        <x:f>F19-E19</x:f>
        <x:v>1.95</x:v>
      </x:c>
      <x:c r="H19" s="14" t="n">
        <x:f>'처리단계'!L200</x:f>
        <x:v>3.838</x:v>
      </x:c>
      <x:c r="I19" s="16" t="n">
        <x:f>SUM('비용원장'!H104:H110)</x:f>
        <x:v>0.024328</x:v>
      </x:c>
      <x:c r="J19" s="14" t="n">
        <x:f>SUM('메모리상태'!E100:E106)</x:f>
        <x:v>598</x:v>
      </x:c>
      <x:c r="K19" s="14" t="n">
        <x:v>2.384</x:v>
      </x:c>
      <x:c r="L19" s="7" t="str">
        <x:v>CONDITIONAL_NORMAL_PATH_SIMULATION</x:v>
      </x:c>
    </x:row>
    <x:row r="20" ht="56" customHeight="1">
      <x:c r="A20" s="12" t="str">
        <x:v>BASE</x:v>
      </x:c>
      <x:c r="B20" s="12" t="str">
        <x:v>U15</x:v>
      </x:c>
      <x:c r="C20" s="12" t="str">
        <x:v>지난번 확정했던 D2 형식을 이번 자료에도 적용해줘.</x:v>
      </x:c>
      <x:c r="D20" s="13" t="n">
        <x:v>0</x:v>
      </x:c>
      <x:c r="E20" s="13" t="n">
        <x:v>0</x:v>
      </x:c>
      <x:c r="F20" s="13" t="n">
        <x:v>1.3100000000000003</x:v>
      </x:c>
      <x:c r="G20" s="13" t="n">
        <x:f>F20-E20</x:f>
        <x:v>1.3100000000000003</x:v>
      </x:c>
      <x:c r="H20" s="13" t="n">
        <x:f>'처리단계'!L215</x:f>
        <x:v>3.1980000000000004</x:v>
      </x:c>
      <x:c r="I20" s="15" t="n">
        <x:f>SUM('비용원장'!H111:H116)</x:f>
        <x:v>0.018928</x:v>
      </x:c>
      <x:c r="J20" s="13" t="n">
        <x:f>SUM('메모리상태'!E107:E113)</x:f>
        <x:v>588.4</x:v>
      </x:c>
      <x:c r="K20" s="13" t="n">
        <x:v>1.7440000000000002</x:v>
      </x:c>
      <x:c r="L20" s="12" t="str">
        <x:v>CONDITIONAL_NORMAL_PATH_SIMULATION</x:v>
      </x:c>
    </x:row>
    <x:row r="21" ht="56" customHeight="1">
      <x:c r="A21" s="7" t="str">
        <x:v>BASE</x:v>
      </x:c>
      <x:c r="B21" s="7" t="str">
        <x:v>U16</x:v>
      </x:c>
      <x:c r="C21" s="7" t="str">
        <x:v>방금 정정한 피드백을 반영해 내부 회의용으로 다시 만들어줘.</x:v>
      </x:c>
      <x:c r="D21" s="14" t="n">
        <x:v>-6</x:v>
      </x:c>
      <x:c r="E21" s="14" t="n">
        <x:v>0</x:v>
      </x:c>
      <x:c r="F21" s="14" t="n">
        <x:v>1.95</x:v>
      </x:c>
      <x:c r="G21" s="14" t="n">
        <x:f>F21-E21</x:f>
        <x:v>1.95</x:v>
      </x:c>
      <x:c r="H21" s="14" t="n">
        <x:f>'처리단계'!L231</x:f>
        <x:v>5.838</x:v>
      </x:c>
      <x:c r="I21" s="16" t="n">
        <x:f>SUM('비용원장'!H117:H123)</x:f>
        <x:v>0.024328</x:v>
      </x:c>
      <x:c r="J21" s="14" t="n">
        <x:f>SUM('메모리상태'!E114:E120)</x:f>
        <x:v>598</x:v>
      </x:c>
      <x:c r="K21" s="14" t="n">
        <x:v>2.384</x:v>
      </x:c>
      <x:c r="L21" s="7" t="str">
        <x:v>CONDITIONAL_NORMAL_PATH_SIMULATION</x:v>
      </x:c>
    </x:row>
    <x:row r="22" ht="56" customHeight="1">
      <x:c r="A22" s="12" t="str">
        <x:v>BASE</x:v>
      </x:c>
      <x:c r="B22" s="12" t="str">
        <x:v>U17</x:v>
      </x:c>
      <x:c r="C22" s="12" t="str">
        <x:v>대기 중인 메일 질문부터 읽어줘.</x:v>
      </x:c>
      <x:c r="D22" s="13" t="n">
        <x:v>0</x:v>
      </x:c>
      <x:c r="E22" s="13" t="n">
        <x:v>0</x:v>
      </x:c>
      <x:c r="F22" s="13" t="n">
        <x:v>1.55</x:v>
      </x:c>
      <x:c r="G22" s="13" t="n">
        <x:f>F22-E22</x:f>
        <x:v>1.55</x:v>
      </x:c>
      <x:c r="H22" s="13" t="n">
        <x:f>'처리단계'!L242</x:f>
        <x:v>1.55</x:v>
      </x:c>
      <x:c r="I22" s="15" t="n">
        <x:f>SUM('비용원장'!H124:H128)</x:f>
        <x:v>0.01992</x:v>
      </x:c>
      <x:c r="J22" s="13" t="n">
        <x:f>SUM('메모리상태'!E121:E127)</x:f>
        <x:v>588.784</x:v>
      </x:c>
      <x:c r="K22" s="13" t="n">
        <x:v>1.55</x:v>
      </x:c>
      <x:c r="L22" s="12" t="str">
        <x:v>CONDITIONAL_NORMAL_PATH_SIMULATION</x:v>
      </x:c>
    </x:row>
    <x:row r="23" ht="56" customHeight="1">
      <x:c r="A23" s="7" t="str">
        <x:v>BASE</x:v>
      </x:c>
      <x:c r="B23" s="7" t="str">
        <x:v>U18</x:v>
      </x:c>
      <x:c r="C23" s="7" t="str">
        <x:v>보고서 안내는 철회하고 메일 질문만 읽어줘.</x:v>
      </x:c>
      <x:c r="D23" s="14" t="n">
        <x:v>0</x:v>
      </x:c>
      <x:c r="E23" s="14" t="n">
        <x:v>0</x:v>
      </x:c>
      <x:c r="F23" s="14" t="n">
        <x:v>1.55</x:v>
      </x:c>
      <x:c r="G23" s="14" t="n">
        <x:f>F23-E23</x:f>
        <x:v>1.55</x:v>
      </x:c>
      <x:c r="H23" s="14" t="n">
        <x:f>'처리단계'!L254</x:f>
        <x:v>1.55</x:v>
      </x:c>
      <x:c r="I23" s="16" t="n">
        <x:f>SUM('비용원장'!H129:H135)</x:f>
        <x:v>0.04000000000000001</x:v>
      </x:c>
      <x:c r="J23" s="14" t="n">
        <x:f>SUM('메모리상태'!E128:E134)</x:f>
        <x:v>589.264</x:v>
      </x:c>
      <x:c r="K23" s="14" t="n">
        <x:v>1.55</x:v>
      </x:c>
      <x:c r="L23" s="7" t="str">
        <x:v>CONDITIONAL_NORMAL_PATH_SIMULATION</x:v>
      </x:c>
    </x:row>
    <x:row r="24" ht="56" customHeight="1">
      <x:c r="A24" s="12" t="str">
        <x:v>BASE</x:v>
      </x:c>
      <x:c r="B24" s="12" t="str">
        <x:v>U19</x:v>
      </x:c>
      <x:c r="C24" s="12" t="str">
        <x:v>메일 질문을 먼저 읽고 중단한 설명으로 돌아가줘.</x:v>
      </x:c>
      <x:c r="D24" s="13" t="n">
        <x:v>0</x:v>
      </x:c>
      <x:c r="E24" s="13" t="n">
        <x:v>0</x:v>
      </x:c>
      <x:c r="F24" s="13" t="n">
        <x:v>1.55</x:v>
      </x:c>
      <x:c r="G24" s="13" t="n">
        <x:f>F24-E24</x:f>
        <x:v>1.55</x:v>
      </x:c>
      <x:c r="H24" s="13" t="n">
        <x:f>'처리단계'!L267</x:f>
        <x:v>7.428000000000001</x:v>
      </x:c>
      <x:c r="I24" s="15" t="n">
        <x:f>SUM('비용원장'!H136:H142)</x:f>
        <x:v>0.088192</x:v>
      </x:c>
      <x:c r="J24" s="13" t="n">
        <x:f>SUM('메모리상태'!E135:E141)</x:f>
        <x:v>589.27398399808</x:v>
      </x:c>
      <x:c r="K24" s="13" t="n">
        <x:v>1.55</x:v>
      </x:c>
      <x:c r="L24" s="12" t="str">
        <x:v>CONDITIONAL_NORMAL_PATH_SIMULATION</x:v>
      </x:c>
    </x:row>
    <x:row r="25" ht="56" customHeight="1">
      <x:c r="A25" s="7" t="str">
        <x:v>BASE</x:v>
      </x:c>
      <x:c r="B25" s="7" t="str">
        <x:v>U20</x:v>
      </x:c>
      <x:c r="C25" s="7" t="str">
        <x:v>완성된 설명을 멈춘 위치부터 이어 읽어줘.</x:v>
      </x:c>
      <x:c r="D25" s="14" t="n">
        <x:v>0</x:v>
      </x:c>
      <x:c r="E25" s="14" t="n">
        <x:v>0</x:v>
      </x:c>
      <x:c r="F25" s="14" t="n">
        <x:v>1.55</x:v>
      </x:c>
      <x:c r="G25" s="14" t="n">
        <x:f>F25-E25</x:f>
        <x:v>1.55</x:v>
      </x:c>
      <x:c r="H25" s="14" t="n">
        <x:f>'처리단계'!L276</x:f>
        <x:v>1.55</x:v>
      </x:c>
      <x:c r="I25" s="16" t="n">
        <x:f>SUM('비용원장'!H143:H145)</x:f>
        <x:v>0.003856</x:v>
      </x:c>
      <x:c r="J25" s="14" t="n">
        <x:f>SUM('메모리상태'!E142:E148)</x:f>
        <x:v>588.976</x:v>
      </x:c>
      <x:c r="K25" s="14" t="n">
        <x:v>1.55</x:v>
      </x:c>
      <x:c r="L25" s="7" t="str">
        <x:v>CONDITIONAL_NORMAL_PATH_SIMULATION</x:v>
      </x:c>
    </x:row>
    <x:row r="26" ht="56" customHeight="1">
      <x:c r="A26" s="12" t="str">
        <x:v>BASE</x:v>
      </x:c>
      <x:c r="B26" s="12" t="str">
        <x:v>U21</x:v>
      </x:c>
      <x:c r="C26" s="12" t="str">
        <x:v>선택한 두 견적을 아까 좋다고 한 표 형식으로 비교해줘. 보고서는 계속해.</x:v>
      </x:c>
      <x:c r="D26" s="13" t="n">
        <x:v>0</x:v>
      </x:c>
      <x:c r="E26" s="13" t="n">
        <x:v>0</x:v>
      </x:c>
      <x:c r="F26" s="13" t="n">
        <x:v>4.2700000000000005</x:v>
      </x:c>
      <x:c r="G26" s="13" t="n">
        <x:f>F26-E26</x:f>
        <x:v>4.2700000000000005</x:v>
      </x:c>
      <x:c r="H26" s="13" t="n">
        <x:f>'처리단계'!L292</x:f>
        <x:v>6.158</x:v>
      </x:c>
      <x:c r="I26" s="15" t="n">
        <x:f>SUM('비용원장'!H146:H154)</x:f>
        <x:v>0.028287999999999997</x:v>
      </x:c>
      <x:c r="J26" s="13" t="n">
        <x:f>SUM('메모리상태'!E149:E156)</x:f>
        <x:v>637.2</x:v>
      </x:c>
      <x:c r="K26" s="13" t="n">
        <x:v>4.704000000000001</x:v>
      </x:c>
      <x:c r="L26" s="12" t="str">
        <x:v>CONDITIONAL_NORMAL_PATH_SIMULATION</x:v>
      </x:c>
    </x:row>
    <x:row r="27" ht="56" customHeight="1">
      <x:c r="A27" s="7" t="str">
        <x:v>BASE</x:v>
      </x:c>
      <x:c r="B27" s="7" t="str">
        <x:v>U22</x:v>
      </x:c>
      <x:c r="C27" s="7" t="str">
        <x:v>새 화면의 두 카드를 비교하고 일정 질문부터 읽어줘.</x:v>
      </x:c>
      <x:c r="D27" s="14" t="n">
        <x:v>0</x:v>
      </x:c>
      <x:c r="E27" s="14" t="n">
        <x:v>0</x:v>
      </x:c>
      <x:c r="F27" s="14" t="n">
        <x:v>1.9300000000000002</x:v>
      </x:c>
      <x:c r="G27" s="14" t="n">
        <x:f>F27-E27</x:f>
        <x:v>1.9300000000000002</x:v>
      </x:c>
      <x:c r="H27" s="14" t="n">
        <x:f>'처리단계'!L310</x:f>
        <x:v>3.818</x:v>
      </x:c>
      <x:c r="I27" s="16" t="n">
        <x:f>SUM('비용원장'!H155:H163)</x:f>
        <x:v>0.032408</x:v>
      </x:c>
      <x:c r="J27" s="14" t="n">
        <x:f>SUM('메모리상태'!E157:E164)</x:f>
        <x:v>627.888</x:v>
      </x:c>
      <x:c r="K27" s="14" t="n">
        <x:v>1.9300000000000002</x:v>
      </x:c>
      <x:c r="L27" s="7" t="str">
        <x:v>CONDITIONAL_NORMAL_PATH_SIMULATION</x:v>
      </x:c>
    </x:row>
    <x:row r="28" ht="56" customHeight="1">
      <x:c r="A28" s="12" t="str">
        <x:v>BASE</x:v>
      </x:c>
      <x:c r="B28" s="12" t="str">
        <x:v>U23</x:v>
      </x:c>
      <x:c r="C28" s="12" t="str">
        <x:v>D2에서 확인한 형식으로 새 자료를 만들고 기존 메일 질문을 먼저 읽어줘.</x:v>
      </x:c>
      <x:c r="D28" s="13" t="n">
        <x:v>0</x:v>
      </x:c>
      <x:c r="E28" s="13" t="n">
        <x:v>0</x:v>
      </x:c>
      <x:c r="F28" s="13" t="n">
        <x:v>1.7100000000000002</x:v>
      </x:c>
      <x:c r="G28" s="13" t="n">
        <x:f>F28-E28</x:f>
        <x:v>1.7100000000000002</x:v>
      </x:c>
      <x:c r="H28" s="13" t="n">
        <x:f>'처리단계'!L326</x:f>
        <x:v>3.598</x:v>
      </x:c>
      <x:c r="I28" s="15" t="n">
        <x:f>SUM('비용원장'!H164:H169)</x:f>
        <x:v>0.027352</x:v>
      </x:c>
      <x:c r="J28" s="13" t="n">
        <x:f>SUM('메모리상태'!E165:E171)</x:f>
        <x:v>598.288</x:v>
      </x:c>
      <x:c r="K28" s="13" t="n">
        <x:v>1.7100000000000002</x:v>
      </x:c>
      <x:c r="L28" s="12" t="str">
        <x:v>CONDITIONAL_NORMAL_PATH_SIMULATION</x:v>
      </x:c>
    </x:row>
    <x:row r="29" ht="56" customHeight="1">
      <x:c r="A29" s="7" t="str">
        <x:v>BASE</x:v>
      </x:c>
      <x:c r="B29" s="7" t="str">
        <x:v>U24</x:v>
      </x:c>
      <x:c r="C29" s="7" t="str">
        <x:v>지금 가리킨 두 항목을 방금 정정한 조건으로 비교해줘.</x:v>
      </x:c>
      <x:c r="D29" s="14" t="n">
        <x:v>-6</x:v>
      </x:c>
      <x:c r="E29" s="14" t="n">
        <x:v>0</x:v>
      </x:c>
      <x:c r="F29" s="14" t="n">
        <x:v>4.57</x:v>
      </x:c>
      <x:c r="G29" s="14" t="n">
        <x:f>F29-E29</x:f>
        <x:v>4.57</x:v>
      </x:c>
      <x:c r="H29" s="14" t="n">
        <x:f>'처리단계'!L343</x:f>
        <x:v>9.458</x:v>
      </x:c>
      <x:c r="I29" s="16" t="n">
        <x:f>SUM('비용원장'!H170:H178)</x:f>
        <x:v>0.030088</x:v>
      </x:c>
      <x:c r="J29" s="14" t="n">
        <x:f>SUM('메모리상태'!E172:E179)</x:f>
        <x:v>644.4</x:v>
      </x:c>
      <x:c r="K29" s="14" t="n">
        <x:v>5.0040000000000004</x:v>
      </x:c>
      <x:c r="L29" s="7" t="str">
        <x:v>CONDITIONAL_NORMAL_PATH_SIMULATION</x:v>
      </x:c>
    </x:row>
    <x:row r="30" ht="56" customHeight="1">
      <x:c r="A30" s="12" t="str">
        <x:v>DP2-B</x:v>
      </x:c>
      <x:c r="B30" s="12" t="str">
        <x:v>U01</x:v>
      </x:c>
      <x:c r="C30" s="12" t="str">
        <x:v>TCP와 UDP의 차이를 간단히 설명해줘.</x:v>
      </x:c>
      <x:c r="D30" s="13" t="n">
        <x:v>0</x:v>
      </x:c>
      <x:c r="E30" s="13" t="n">
        <x:v>0</x:v>
      </x:c>
      <x:c r="F30" s="13" t="n">
        <x:v>1.3100000000000003</x:v>
      </x:c>
      <x:c r="G30" s="13" t="n">
        <x:f>F30-E30</x:f>
        <x:v>1.3100000000000003</x:v>
      </x:c>
      <x:c r="H30" s="13" t="n">
        <x:f>'처리단계'!L353</x:f>
        <x:v>3.1580000000000004</x:v>
      </x:c>
      <x:c r="I30" s="15" t="n">
        <x:f>SUM('비용원장'!H179:H182)</x:f>
        <x:v>0.012904</x:v>
      </x:c>
      <x:c r="J30" s="13" t="n">
        <x:f>SUM('메모리상태'!E180:E186)</x:f>
        <x:v>588.4</x:v>
      </x:c>
      <x:c r="K30" s="13" t="n">
        <x:v>1.7480000000000002</x:v>
      </x:c>
      <x:c r="L30" s="12" t="str">
        <x:v>CONDITIONAL_NORMAL_PATH_SIMULATION</x:v>
      </x:c>
    </x:row>
    <x:row r="31" ht="56" customHeight="1">
      <x:c r="A31" s="7" t="str">
        <x:v>DP2-B</x:v>
      </x:c>
      <x:c r="B31" s="7" t="str">
        <x:v>U02</x:v>
      </x:c>
      <x:c r="C31" s="7" t="str">
        <x:v>방금 네 설명의 결론만 한 문장으로 말해줘.</x:v>
      </x:c>
      <x:c r="D31" s="14" t="n">
        <x:v>0</x:v>
      </x:c>
      <x:c r="E31" s="14" t="n">
        <x:v>0</x:v>
      </x:c>
      <x:c r="F31" s="14" t="n">
        <x:v>1.55</x:v>
      </x:c>
      <x:c r="G31" s="14" t="n">
        <x:f>F31-E31</x:f>
        <x:v>1.55</x:v>
      </x:c>
      <x:c r="H31" s="14" t="n">
        <x:f>'처리단계'!L363</x:f>
        <x:v>2.644</x:v>
      </x:c>
      <x:c r="I31" s="16" t="n">
        <x:f>SUM('비용원장'!H183:H187)</x:f>
        <x:v>0.00988</x:v>
      </x:c>
      <x:c r="J31" s="14" t="n">
        <x:f>SUM('메모리상태'!E187:E193)</x:f>
        <x:v>588.4</x:v>
      </x:c>
      <x:c r="K31" s="14" t="n">
        <x:v>1.984</x:v>
      </x:c>
      <x:c r="L31" s="7" t="str">
        <x:v>CONDITIONAL_NORMAL_PATH_SIMULATION</x:v>
      </x:c>
    </x:row>
    <x:row r="32" ht="56" customHeight="1">
      <x:c r="A32" s="12" t="str">
        <x:v>DP2-B</x:v>
      </x:c>
      <x:c r="B32" s="12" t="str">
        <x:v>U03</x:v>
      </x:c>
      <x:c r="C32" s="12" t="str">
        <x:v>자료 D1의 결론을 설명해줘.</x:v>
      </x:c>
      <x:c r="D32" s="13" t="n">
        <x:v>0</x:v>
      </x:c>
      <x:c r="E32" s="13" t="n">
        <x:v>0</x:v>
      </x:c>
      <x:c r="F32" s="13" t="n">
        <x:v>1.34</x:v>
      </x:c>
      <x:c r="G32" s="13" t="n">
        <x:f>F32-E32</x:f>
        <x:v>1.34</x:v>
      </x:c>
      <x:c r="H32" s="13" t="n">
        <x:f>'처리단계'!L377</x:f>
        <x:v>4.818</x:v>
      </x:c>
      <x:c r="I32" s="15" t="n">
        <x:f>SUM('비용원장'!H188:H195)</x:f>
        <x:v>0.020872</x:v>
      </x:c>
      <x:c r="J32" s="13" t="n">
        <x:f>SUM('메모리상태'!E194:E201)</x:f>
        <x:v>602.664</x:v>
      </x:c>
      <x:c r="K32" s="13" t="n">
        <x:v>1.774</x:v>
      </x:c>
      <x:c r="L32" s="12" t="str">
        <x:v>CONDITIONAL_NORMAL_PATH_SIMULATION</x:v>
      </x:c>
    </x:row>
    <x:row r="33" ht="56" customHeight="1">
      <x:c r="A33" s="7" t="str">
        <x:v>DP2-B</x:v>
      </x:c>
      <x:c r="B33" s="7" t="str">
        <x:v>U04</x:v>
      </x:c>
      <x:c r="C33" s="7" t="str">
        <x:v>조사는 계속하고 TCP의 특징을 알려줘.</x:v>
      </x:c>
      <x:c r="D33" s="14" t="n">
        <x:v>0</x:v>
      </x:c>
      <x:c r="E33" s="14" t="n">
        <x:v>0</x:v>
      </x:c>
      <x:c r="F33" s="14" t="n">
        <x:v>1.55</x:v>
      </x:c>
      <x:c r="G33" s="14" t="n">
        <x:f>F33-E33</x:f>
        <x:v>1.55</x:v>
      </x:c>
      <x:c r="H33" s="14" t="n">
        <x:f>'처리단계'!L387</x:f>
        <x:v>3.3979999999999997</x:v>
      </x:c>
      <x:c r="I33" s="16" t="n">
        <x:f>SUM('비용원장'!H196:H200)</x:f>
        <x:v>0.015904</x:v>
      </x:c>
      <x:c r="J33" s="14" t="n">
        <x:f>SUM('메모리상태'!E202:E208)</x:f>
        <x:v>588.4</x:v>
      </x:c>
      <x:c r="K33" s="14" t="n">
        <x:v>1.988</x:v>
      </x:c>
      <x:c r="L33" s="7" t="str">
        <x:v>CONDITIONAL_NORMAL_PATH_SIMULATION</x:v>
      </x:c>
    </x:row>
    <x:row r="34" ht="56" customHeight="1">
      <x:c r="A34" s="12" t="str">
        <x:v>DP2-B</x:v>
      </x:c>
      <x:c r="B34" s="12" t="str">
        <x:v>U05</x:v>
      </x:c>
      <x:c r="C34" s="12" t="str">
        <x:v>D1 비교는 계속하고 TCP와 UDP 차이도 알려줘.</x:v>
      </x:c>
      <x:c r="D34" s="13" t="n">
        <x:v>0</x:v>
      </x:c>
      <x:c r="E34" s="13" t="n">
        <x:v>0</x:v>
      </x:c>
      <x:c r="F34" s="13" t="n">
        <x:v>1.5800000000000003</x:v>
      </x:c>
      <x:c r="G34" s="13" t="n">
        <x:f>F34-E34</x:f>
        <x:v>1.5800000000000003</x:v>
      </x:c>
      <x:c r="H34" s="13" t="n">
        <x:f>'처리단계'!L398</x:f>
        <x:v>3.428</x:v>
      </x:c>
      <x:c r="I34" s="15" t="n">
        <x:f>SUM('비용원장'!H201:H207)</x:f>
        <x:v>0.018244</x:v>
      </x:c>
      <x:c r="J34" s="13" t="n">
        <x:f>SUM('메모리상태'!E209:E217)</x:f>
        <x:v>619.92</x:v>
      </x:c>
      <x:c r="K34" s="13" t="n">
        <x:v>2.0180000000000002</x:v>
      </x:c>
      <x:c r="L34" s="12" t="str">
        <x:v>CONDITIONAL_NORMAL_PATH_SIMULATION</x:v>
      </x:c>
    </x:row>
    <x:row r="35" ht="56" customHeight="1">
      <x:c r="A35" s="7" t="str">
        <x:v>DP2-B</x:v>
      </x:c>
      <x:c r="B35" s="7" t="str">
        <x:v>U06</x:v>
      </x:c>
      <x:c r="C35" s="7" t="str">
        <x:v>D1 분석은 유지하고 D2의 결론도 설명해줘.</x:v>
      </x:c>
      <x:c r="D35" s="14" t="n">
        <x:v>0</x:v>
      </x:c>
      <x:c r="E35" s="14" t="n">
        <x:v>0</x:v>
      </x:c>
      <x:c r="F35" s="14" t="n">
        <x:v>1.34</x:v>
      </x:c>
      <x:c r="G35" s="14" t="n">
        <x:f>F35-E35</x:f>
        <x:v>1.34</x:v>
      </x:c>
      <x:c r="H35" s="14" t="n">
        <x:f>'처리단계'!L413</x:f>
        <x:v>4.818</x:v>
      </x:c>
      <x:c r="I35" s="16" t="n">
        <x:f>SUM('비용원장'!H208:H217)</x:f>
        <x:v>0.023031999999999997</x:v>
      </x:c>
      <x:c r="J35" s="14" t="n">
        <x:f>SUM('메모리상태'!E218:E226)</x:f>
        <x:v>622.4574719980799</x:v>
      </x:c>
      <x:c r="K35" s="14" t="n">
        <x:v>1.774</x:v>
      </x:c>
      <x:c r="L35" s="7" t="str">
        <x:v>CONDITIONAL_NORMAL_PATH_SIMULATION</x:v>
      </x:c>
    </x:row>
    <x:row r="36" ht="56" customHeight="1">
      <x:c r="A36" s="12" t="str">
        <x:v>DP2-B</x:v>
      </x:c>
      <x:c r="B36" s="12" t="str">
        <x:v>U07</x:v>
      </x:c>
      <x:c r="C36" s="12" t="str">
        <x:v>진행 중인 일은 유지하고 D2의 핵심도 알려줘.</x:v>
      </x:c>
      <x:c r="D36" s="13" t="n">
        <x:v>0</x:v>
      </x:c>
      <x:c r="E36" s="13" t="n">
        <x:v>0</x:v>
      </x:c>
      <x:c r="F36" s="13" t="n">
        <x:v>3.6</x:v>
      </x:c>
      <x:c r="G36" s="13" t="n">
        <x:f>F36-E36</x:f>
        <x:v>3.6</x:v>
      </x:c>
      <x:c r="H36" s="13" t="n">
        <x:f>'처리단계'!L429</x:f>
        <x:v>7.077999999999999</x:v>
      </x:c>
      <x:c r="I36" s="15" t="n">
        <x:f>SUM('비용원장'!H218:H230)</x:f>
        <x:v>0.028192</x:v>
      </x:c>
      <x:c r="J36" s="13" t="n">
        <x:f>SUM('메모리상태'!E227:E235)</x:f>
        <x:v>621.5999999999999</x:v>
      </x:c>
      <x:c r="K36" s="13" t="n">
        <x:v>4.034</x:v>
      </x:c>
      <x:c r="L36" s="12" t="str">
        <x:v>CONDITIONAL_NORMAL_PATH_SIMULATION</x:v>
      </x:c>
    </x:row>
    <x:row r="37" ht="56" customHeight="1">
      <x:c r="A37" s="7" t="str">
        <x:v>DP2-B</x:v>
      </x:c>
      <x:c r="B37" s="7" t="str">
        <x:v>U08</x:v>
      </x:c>
      <x:c r="C37" s="7" t="str">
        <x:v>방금 읽는 D1에서 확인한 수치를 기준으로 범위를 비용만으로 바꿔줘.</x:v>
      </x:c>
      <x:c r="D37" s="14" t="n">
        <x:v>-6</x:v>
      </x:c>
      <x:c r="E37" s="14" t="n">
        <x:v>0</x:v>
      </x:c>
      <x:c r="F37" s="14" t="n">
        <x:v>3.6</x:v>
      </x:c>
      <x:c r="G37" s="14" t="n">
        <x:f>F37-E37</x:f>
        <x:v>3.6</x:v>
      </x:c>
      <x:c r="H37" s="14" t="n">
        <x:f>'처리단계'!L445</x:f>
        <x:v>10.078</x:v>
      </x:c>
      <x:c r="I37" s="16" t="n">
        <x:f>SUM('비용원장'!H231:H240)</x:f>
        <x:v>0.023031999999999997</x:v>
      </x:c>
      <x:c r="J37" s="14" t="n">
        <x:f>SUM('메모리상태'!E236:E243)</x:f>
        <x:v>602.664</x:v>
      </x:c>
      <x:c r="K37" s="14" t="n">
        <x:v>4.034</x:v>
      </x:c>
      <x:c r="L37" s="7" t="str">
        <x:v>CONDITIONAL_NORMAL_PATH_SIMULATION</x:v>
      </x:c>
    </x:row>
    <x:row r="38" ht="56" customHeight="1">
      <x:c r="A38" s="12" t="str">
        <x:v>DP2-B</x:v>
      </x:c>
      <x:c r="B38" s="12" t="str">
        <x:v>U09</x:v>
      </x:c>
      <x:c r="C38" s="12" t="str">
        <x:v>선택한 두 견적을 비교해줘.</x:v>
      </x:c>
      <x:c r="D38" s="13" t="n">
        <x:v>0</x:v>
      </x:c>
      <x:c r="E38" s="13" t="n">
        <x:v>0</x:v>
      </x:c>
      <x:c r="F38" s="13" t="n">
        <x:v>1.6300000000000001</x:v>
      </x:c>
      <x:c r="G38" s="13" t="n">
        <x:f>F38-E38</x:f>
        <x:v>1.6300000000000001</x:v>
      </x:c>
      <x:c r="H38" s="13" t="n">
        <x:f>'처리단계'!L461</x:f>
        <x:v>3.518</x:v>
      </x:c>
      <x:c r="I38" s="15" t="n">
        <x:f>SUM('비용원장'!H241:H247)</x:f>
        <x:v>0.021928</x:v>
      </x:c>
      <x:c r="J38" s="13" t="n">
        <x:f>SUM('메모리상태'!E244:E250)</x:f>
        <x:v>588.4</x:v>
      </x:c>
      <x:c r="K38" s="13" t="n">
        <x:v>2.064</x:v>
      </x:c>
      <x:c r="L38" s="12" t="str">
        <x:v>CONDITIONAL_NORMAL_PATH_SIMULATION</x:v>
      </x:c>
    </x:row>
    <x:row r="39" ht="56" customHeight="1">
      <x:c r="A39" s="7" t="str">
        <x:v>DP2-B</x:v>
      </x:c>
      <x:c r="B39" s="7" t="str">
        <x:v>U10</x:v>
      </x:c>
      <x:c r="C39" s="7" t="str">
        <x:v>내가 원으로 표시한 두 카드를 비교해줘.</x:v>
      </x:c>
      <x:c r="D39" s="14" t="n">
        <x:v>0</x:v>
      </x:c>
      <x:c r="E39" s="14" t="n">
        <x:v>0</x:v>
      </x:c>
      <x:c r="F39" s="14" t="n">
        <x:v>1.8500000000000003</x:v>
      </x:c>
      <x:c r="G39" s="14" t="n">
        <x:f>F39-E39</x:f>
        <x:v>1.8500000000000003</x:v>
      </x:c>
      <x:c r="H39" s="14" t="n">
        <x:f>'처리단계'!L476</x:f>
        <x:v>3.7380000000000004</x:v>
      </x:c>
      <x:c r="I39" s="16" t="n">
        <x:f>SUM('비용원장'!H248:H254)</x:f>
        <x:v>0.023728</x:v>
      </x:c>
      <x:c r="J39" s="14" t="n">
        <x:f>SUM('메모리상태'!E251:E258)</x:f>
        <x:v>627.6</x:v>
      </x:c>
      <x:c r="K39" s="14" t="n">
        <x:v>2.2840000000000003</x:v>
      </x:c>
      <x:c r="L39" s="7" t="str">
        <x:v>CONDITIONAL_NORMAL_PATH_SIMULATION</x:v>
      </x:c>
    </x:row>
    <x:row r="40" ht="56" customHeight="1">
      <x:c r="A40" s="12" t="str">
        <x:v>DP2-B</x:v>
      </x:c>
      <x:c r="B40" s="12" t="str">
        <x:v>U11</x:v>
      </x:c>
      <x:c r="C40" s="12" t="str">
        <x:v>처음 가리킨 견적과 화면 이동 뒤 가리킨 견적을 비교해줘.</x:v>
      </x:c>
      <x:c r="D40" s="13" t="n">
        <x:v>0</x:v>
      </x:c>
      <x:c r="E40" s="13" t="n">
        <x:v>0</x:v>
      </x:c>
      <x:c r="F40" s="13" t="n">
        <x:v>2.15</x:v>
      </x:c>
      <x:c r="G40" s="13" t="n">
        <x:f>F40-E40</x:f>
        <x:v>2.15</x:v>
      </x:c>
      <x:c r="H40" s="13" t="n">
        <x:f>'처리단계'!L491</x:f>
        <x:v>4.038</x:v>
      </x:c>
      <x:c r="I40" s="15" t="n">
        <x:f>SUM('비용원장'!H255:H261)</x:f>
        <x:v>0.025528</x:v>
      </x:c>
      <x:c r="J40" s="13" t="n">
        <x:f>SUM('메모리상태'!E259:E266)</x:f>
        <x:v>634.8</x:v>
      </x:c>
      <x:c r="K40" s="13" t="n">
        <x:v>2.584</x:v>
      </x:c>
      <x:c r="L40" s="12" t="str">
        <x:v>CONDITIONAL_NORMAL_PATH_SIMULATION</x:v>
      </x:c>
    </x:row>
    <x:row r="41" ht="56" customHeight="1">
      <x:c r="A41" s="7" t="str">
        <x:v>DP2-B</x:v>
      </x:c>
      <x:c r="B41" s="7" t="str">
        <x:v>U12</x:v>
      </x:c>
      <x:c r="C41" s="7" t="str">
        <x:v>같은 화면에서 확정한 두 견적의 납기만 비교해줘.</x:v>
      </x:c>
      <x:c r="D41" s="14" t="n">
        <x:v>0</x:v>
      </x:c>
      <x:c r="E41" s="14" t="n">
        <x:v>0</x:v>
      </x:c>
      <x:c r="F41" s="14" t="n">
        <x:v>1.6300000000000001</x:v>
      </x:c>
      <x:c r="G41" s="14" t="n">
        <x:f>F41-E41</x:f>
        <x:v>1.6300000000000001</x:v>
      </x:c>
      <x:c r="H41" s="14" t="n">
        <x:f>'처리단계'!L508</x:f>
        <x:v>3.518</x:v>
      </x:c>
      <x:c r="I41" s="16" t="n">
        <x:f>SUM('비용원장'!H262:H270)</x:f>
        <x:v>0.024583999999999998</x:v>
      </x:c>
      <x:c r="J41" s="14" t="n">
        <x:f>SUM('메모리상태'!E267:E273)</x:f>
        <x:v>588.4</x:v>
      </x:c>
      <x:c r="K41" s="14" t="n">
        <x:v>2.064</x:v>
      </x:c>
      <x:c r="L41" s="7" t="str">
        <x:v>CONDITIONAL_NORMAL_PATH_SIMULATION</x:v>
      </x:c>
    </x:row>
    <x:row r="42" ht="56" customHeight="1">
      <x:c r="A42" s="12" t="str">
        <x:v>DP2-B</x:v>
      </x:c>
      <x:c r="B42" s="12" t="str">
        <x:v>U13</x:v>
      </x:c>
      <x:c r="C42" s="12" t="str">
        <x:v>자료 D2를 작성한 Agent에게 새 발표를 맡겨줘.</x:v>
      </x:c>
      <x:c r="D42" s="13" t="n">
        <x:v>0</x:v>
      </x:c>
      <x:c r="E42" s="13" t="n">
        <x:v>0</x:v>
      </x:c>
      <x:c r="F42" s="13" t="n">
        <x:v>1.3100000000000003</x:v>
      </x:c>
      <x:c r="G42" s="13" t="n">
        <x:f>F42-E42</x:f>
        <x:v>1.3100000000000003</x:v>
      </x:c>
      <x:c r="H42" s="13" t="n">
        <x:f>'처리단계'!L523</x:f>
        <x:v>3.1980000000000004</x:v>
      </x:c>
      <x:c r="I42" s="15" t="n">
        <x:f>SUM('비용원장'!H271:H276)</x:f>
        <x:v>0.018928</x:v>
      </x:c>
      <x:c r="J42" s="13" t="n">
        <x:f>SUM('메모리상태'!E274:E280)</x:f>
        <x:v>588.4</x:v>
      </x:c>
      <x:c r="K42" s="13" t="n">
        <x:v>1.7440000000000002</x:v>
      </x:c>
      <x:c r="L42" s="12" t="str">
        <x:v>CONDITIONAL_NORMAL_PATH_SIMULATION</x:v>
      </x:c>
    </x:row>
    <x:row r="43" ht="56" customHeight="1">
      <x:c r="A43" s="7" t="str">
        <x:v>DP2-B</x:v>
      </x:c>
      <x:c r="B43" s="7" t="str">
        <x:v>U14</x:v>
      </x:c>
      <x:c r="C43" s="7" t="str">
        <x:v>아까 구성이 좋다고 했던 자료의 형식으로 이번 조사를 정리해줘.</x:v>
      </x:c>
      <x:c r="D43" s="14" t="n">
        <x:v>0</x:v>
      </x:c>
      <x:c r="E43" s="14" t="n">
        <x:v>0</x:v>
      </x:c>
      <x:c r="F43" s="14" t="n">
        <x:v>1.95</x:v>
      </x:c>
      <x:c r="G43" s="14" t="n">
        <x:f>F43-E43</x:f>
        <x:v>1.95</x:v>
      </x:c>
      <x:c r="H43" s="14" t="n">
        <x:f>'처리단계'!L538</x:f>
        <x:v>3.838</x:v>
      </x:c>
      <x:c r="I43" s="16" t="n">
        <x:f>SUM('비용원장'!H277:H283)</x:f>
        <x:v>0.024328</x:v>
      </x:c>
      <x:c r="J43" s="14" t="n">
        <x:f>SUM('메모리상태'!E281:E287)</x:f>
        <x:v>598</x:v>
      </x:c>
      <x:c r="K43" s="14" t="n">
        <x:v>2.384</x:v>
      </x:c>
      <x:c r="L43" s="7" t="str">
        <x:v>CONDITIONAL_NORMAL_PATH_SIMULATION</x:v>
      </x:c>
    </x:row>
    <x:row r="44" ht="56" customHeight="1">
      <x:c r="A44" s="12" t="str">
        <x:v>DP2-B</x:v>
      </x:c>
      <x:c r="B44" s="12" t="str">
        <x:v>U15</x:v>
      </x:c>
      <x:c r="C44" s="12" t="str">
        <x:v>지난번 확정했던 D2 형식을 이번 자료에도 적용해줘.</x:v>
      </x:c>
      <x:c r="D44" s="13" t="n">
        <x:v>0</x:v>
      </x:c>
      <x:c r="E44" s="13" t="n">
        <x:v>0</x:v>
      </x:c>
      <x:c r="F44" s="13" t="n">
        <x:v>1.3100000000000003</x:v>
      </x:c>
      <x:c r="G44" s="13" t="n">
        <x:f>F44-E44</x:f>
        <x:v>1.3100000000000003</x:v>
      </x:c>
      <x:c r="H44" s="13" t="n">
        <x:f>'처리단계'!L553</x:f>
        <x:v>3.1980000000000004</x:v>
      </x:c>
      <x:c r="I44" s="15" t="n">
        <x:f>SUM('비용원장'!H284:H289)</x:f>
        <x:v>0.018928</x:v>
      </x:c>
      <x:c r="J44" s="13" t="n">
        <x:f>SUM('메모리상태'!E288:E294)</x:f>
        <x:v>588.4</x:v>
      </x:c>
      <x:c r="K44" s="13" t="n">
        <x:v>1.7440000000000002</x:v>
      </x:c>
      <x:c r="L44" s="12" t="str">
        <x:v>CONDITIONAL_NORMAL_PATH_SIMULATION</x:v>
      </x:c>
    </x:row>
    <x:row r="45" ht="56" customHeight="1">
      <x:c r="A45" s="7" t="str">
        <x:v>DP2-B</x:v>
      </x:c>
      <x:c r="B45" s="7" t="str">
        <x:v>U16</x:v>
      </x:c>
      <x:c r="C45" s="7" t="str">
        <x:v>방금 정정한 피드백을 반영해 내부 회의용으로 다시 만들어줘.</x:v>
      </x:c>
      <x:c r="D45" s="14" t="n">
        <x:v>-6</x:v>
      </x:c>
      <x:c r="E45" s="14" t="n">
        <x:v>0</x:v>
      </x:c>
      <x:c r="F45" s="14" t="n">
        <x:v>1.95</x:v>
      </x:c>
      <x:c r="G45" s="14" t="n">
        <x:f>F45-E45</x:f>
        <x:v>1.95</x:v>
      </x:c>
      <x:c r="H45" s="14" t="n">
        <x:f>'처리단계'!L569</x:f>
        <x:v>5.838</x:v>
      </x:c>
      <x:c r="I45" s="16" t="n">
        <x:f>SUM('비용원장'!H290:H296)</x:f>
        <x:v>0.024328</x:v>
      </x:c>
      <x:c r="J45" s="14" t="n">
        <x:f>SUM('메모리상태'!E295:E301)</x:f>
        <x:v>598</x:v>
      </x:c>
      <x:c r="K45" s="14" t="n">
        <x:v>2.384</x:v>
      </x:c>
      <x:c r="L45" s="7" t="str">
        <x:v>CONDITIONAL_NORMAL_PATH_SIMULATION</x:v>
      </x:c>
    </x:row>
    <x:row r="46" ht="56" customHeight="1">
      <x:c r="A46" s="12" t="str">
        <x:v>DP2-B</x:v>
      </x:c>
      <x:c r="B46" s="12" t="str">
        <x:v>U17</x:v>
      </x:c>
      <x:c r="C46" s="12" t="str">
        <x:v>대기 중인 메일 질문부터 읽어줘.</x:v>
      </x:c>
      <x:c r="D46" s="13" t="n">
        <x:v>0</x:v>
      </x:c>
      <x:c r="E46" s="13" t="n">
        <x:v>0</x:v>
      </x:c>
      <x:c r="F46" s="13" t="n">
        <x:v>1.55</x:v>
      </x:c>
      <x:c r="G46" s="13" t="n">
        <x:f>F46-E46</x:f>
        <x:v>1.55</x:v>
      </x:c>
      <x:c r="H46" s="13" t="n">
        <x:f>'처리단계'!L580</x:f>
        <x:v>1.55</x:v>
      </x:c>
      <x:c r="I46" s="15" t="n">
        <x:f>SUM('비용원장'!H297:H301)</x:f>
        <x:v>0.01992</x:v>
      </x:c>
      <x:c r="J46" s="13" t="n">
        <x:f>SUM('메모리상태'!E302:E308)</x:f>
        <x:v>588.784</x:v>
      </x:c>
      <x:c r="K46" s="13" t="n">
        <x:v>1.55</x:v>
      </x:c>
      <x:c r="L46" s="12" t="str">
        <x:v>CONDITIONAL_NORMAL_PATH_SIMULATION</x:v>
      </x:c>
    </x:row>
    <x:row r="47" ht="56" customHeight="1">
      <x:c r="A47" s="7" t="str">
        <x:v>DP2-B</x:v>
      </x:c>
      <x:c r="B47" s="7" t="str">
        <x:v>U18</x:v>
      </x:c>
      <x:c r="C47" s="7" t="str">
        <x:v>보고서 안내는 철회하고 메일 질문만 읽어줘.</x:v>
      </x:c>
      <x:c r="D47" s="14" t="n">
        <x:v>0</x:v>
      </x:c>
      <x:c r="E47" s="14" t="n">
        <x:v>0</x:v>
      </x:c>
      <x:c r="F47" s="14" t="n">
        <x:v>1.55</x:v>
      </x:c>
      <x:c r="G47" s="14" t="n">
        <x:f>F47-E47</x:f>
        <x:v>1.55</x:v>
      </x:c>
      <x:c r="H47" s="14" t="n">
        <x:f>'처리단계'!L592</x:f>
        <x:v>1.55</x:v>
      </x:c>
      <x:c r="I47" s="16" t="n">
        <x:f>SUM('비용원장'!H302:H308)</x:f>
        <x:v>0.04000000000000001</x:v>
      </x:c>
      <x:c r="J47" s="14" t="n">
        <x:f>SUM('메모리상태'!E309:E315)</x:f>
        <x:v>589.264</x:v>
      </x:c>
      <x:c r="K47" s="14" t="n">
        <x:v>1.55</x:v>
      </x:c>
      <x:c r="L47" s="7" t="str">
        <x:v>CONDITIONAL_NORMAL_PATH_SIMULATION</x:v>
      </x:c>
    </x:row>
    <x:row r="48" ht="56" customHeight="1">
      <x:c r="A48" s="12" t="str">
        <x:v>DP2-B</x:v>
      </x:c>
      <x:c r="B48" s="12" t="str">
        <x:v>U19</x:v>
      </x:c>
      <x:c r="C48" s="12" t="str">
        <x:v>메일 질문을 먼저 읽고 중단한 설명으로 돌아가줘.</x:v>
      </x:c>
      <x:c r="D48" s="13" t="n">
        <x:v>0</x:v>
      </x:c>
      <x:c r="E48" s="13" t="n">
        <x:v>0</x:v>
      </x:c>
      <x:c r="F48" s="13" t="n">
        <x:v>1.55</x:v>
      </x:c>
      <x:c r="G48" s="13" t="n">
        <x:f>F48-E48</x:f>
        <x:v>1.55</x:v>
      </x:c>
      <x:c r="H48" s="13" t="n">
        <x:f>'처리단계'!L605</x:f>
        <x:v>7.428000000000001</x:v>
      </x:c>
      <x:c r="I48" s="15" t="n">
        <x:f>SUM('비용원장'!H309:H315)</x:f>
        <x:v>0.088192</x:v>
      </x:c>
      <x:c r="J48" s="13" t="n">
        <x:f>SUM('메모리상태'!E316:E322)</x:f>
        <x:v>589.27398399808</x:v>
      </x:c>
      <x:c r="K48" s="13" t="n">
        <x:v>1.55</x:v>
      </x:c>
      <x:c r="L48" s="12" t="str">
        <x:v>CONDITIONAL_NORMAL_PATH_SIMULATION</x:v>
      </x:c>
    </x:row>
    <x:row r="49" ht="56" customHeight="1">
      <x:c r="A49" s="7" t="str">
        <x:v>DP2-B</x:v>
      </x:c>
      <x:c r="B49" s="7" t="str">
        <x:v>U20</x:v>
      </x:c>
      <x:c r="C49" s="7" t="str">
        <x:v>완성된 설명을 멈춘 위치부터 이어 읽어줘.</x:v>
      </x:c>
      <x:c r="D49" s="14" t="n">
        <x:v>0</x:v>
      </x:c>
      <x:c r="E49" s="14" t="n">
        <x:v>0</x:v>
      </x:c>
      <x:c r="F49" s="14" t="n">
        <x:v>1.55</x:v>
      </x:c>
      <x:c r="G49" s="14" t="n">
        <x:f>F49-E49</x:f>
        <x:v>1.55</x:v>
      </x:c>
      <x:c r="H49" s="14" t="n">
        <x:f>'처리단계'!L614</x:f>
        <x:v>1.55</x:v>
      </x:c>
      <x:c r="I49" s="16" t="n">
        <x:f>SUM('비용원장'!H316:H318)</x:f>
        <x:v>0.003856</x:v>
      </x:c>
      <x:c r="J49" s="14" t="n">
        <x:f>SUM('메모리상태'!E323:E329)</x:f>
        <x:v>588.976</x:v>
      </x:c>
      <x:c r="K49" s="14" t="n">
        <x:v>1.55</x:v>
      </x:c>
      <x:c r="L49" s="7" t="str">
        <x:v>CONDITIONAL_NORMAL_PATH_SIMULATION</x:v>
      </x:c>
    </x:row>
    <x:row r="50" ht="56" customHeight="1">
      <x:c r="A50" s="12" t="str">
        <x:v>DP2-B</x:v>
      </x:c>
      <x:c r="B50" s="12" t="str">
        <x:v>U21</x:v>
      </x:c>
      <x:c r="C50" s="12" t="str">
        <x:v>선택한 두 견적을 아까 좋다고 한 표 형식으로 비교해줘. 보고서는 계속해.</x:v>
      </x:c>
      <x:c r="D50" s="13" t="n">
        <x:v>0</x:v>
      </x:c>
      <x:c r="E50" s="13" t="n">
        <x:v>0</x:v>
      </x:c>
      <x:c r="F50" s="13" t="n">
        <x:v>2.28</x:v>
      </x:c>
      <x:c r="G50" s="13" t="n">
        <x:f>F50-E50</x:f>
        <x:v>2.28</x:v>
      </x:c>
      <x:c r="H50" s="13" t="n">
        <x:f>'처리단계'!L630</x:f>
        <x:v>4.167999999999999</x:v>
      </x:c>
      <x:c r="I50" s="15" t="n">
        <x:f>SUM('비용원장'!H319:H327)</x:f>
        <x:v>0.028467999999999997</x:v>
      </x:c>
      <x:c r="J50" s="13" t="n">
        <x:f>SUM('메모리상태'!E330:E339)</x:f>
        <x:v>668.7199999999999</x:v>
      </x:c>
      <x:c r="K50" s="13" t="n">
        <x:v>2.714</x:v>
      </x:c>
      <x:c r="L50" s="12" t="str">
        <x:v>CONDITIONAL_NORMAL_PATH_SIMULATION</x:v>
      </x:c>
    </x:row>
    <x:row r="51" ht="56" customHeight="1">
      <x:c r="A51" s="7" t="str">
        <x:v>DP2-B</x:v>
      </x:c>
      <x:c r="B51" s="7" t="str">
        <x:v>U22</x:v>
      </x:c>
      <x:c r="C51" s="7" t="str">
        <x:v>새 화면의 두 카드를 비교하고 일정 질문부터 읽어줘.</x:v>
      </x:c>
      <x:c r="D51" s="14" t="n">
        <x:v>0</x:v>
      </x:c>
      <x:c r="E51" s="14" t="n">
        <x:v>0</x:v>
      </x:c>
      <x:c r="F51" s="14" t="n">
        <x:v>1.9300000000000002</x:v>
      </x:c>
      <x:c r="G51" s="14" t="n">
        <x:f>F51-E51</x:f>
        <x:v>1.9300000000000002</x:v>
      </x:c>
      <x:c r="H51" s="14" t="n">
        <x:f>'처리단계'!L648</x:f>
        <x:v>3.818</x:v>
      </x:c>
      <x:c r="I51" s="16" t="n">
        <x:f>SUM('비용원장'!H328:H336)</x:f>
        <x:v>0.032408</x:v>
      </x:c>
      <x:c r="J51" s="14" t="n">
        <x:f>SUM('메모리상태'!E340:E347)</x:f>
        <x:v>627.888</x:v>
      </x:c>
      <x:c r="K51" s="14" t="n">
        <x:v>1.9300000000000002</x:v>
      </x:c>
      <x:c r="L51" s="7" t="str">
        <x:v>CONDITIONAL_NORMAL_PATH_SIMULATION</x:v>
      </x:c>
    </x:row>
    <x:row r="52" ht="56" customHeight="1">
      <x:c r="A52" s="12" t="str">
        <x:v>DP2-B</x:v>
      </x:c>
      <x:c r="B52" s="12" t="str">
        <x:v>U23</x:v>
      </x:c>
      <x:c r="C52" s="12" t="str">
        <x:v>D2에서 확인한 형식으로 새 자료를 만들고 기존 메일 질문을 먼저 읽어줘.</x:v>
      </x:c>
      <x:c r="D52" s="13" t="n">
        <x:v>0</x:v>
      </x:c>
      <x:c r="E52" s="13" t="n">
        <x:v>0</x:v>
      </x:c>
      <x:c r="F52" s="13" t="n">
        <x:v>1.7100000000000002</x:v>
      </x:c>
      <x:c r="G52" s="13" t="n">
        <x:f>F52-E52</x:f>
        <x:v>1.7100000000000002</x:v>
      </x:c>
      <x:c r="H52" s="13" t="n">
        <x:f>'처리단계'!L664</x:f>
        <x:v>3.598</x:v>
      </x:c>
      <x:c r="I52" s="15" t="n">
        <x:f>SUM('비용원장'!H337:H342)</x:f>
        <x:v>0.027352</x:v>
      </x:c>
      <x:c r="J52" s="13" t="n">
        <x:f>SUM('메모리상태'!E348:E354)</x:f>
        <x:v>598.288</x:v>
      </x:c>
      <x:c r="K52" s="13" t="n">
        <x:v>1.7100000000000002</x:v>
      </x:c>
      <x:c r="L52" s="12" t="str">
        <x:v>CONDITIONAL_NORMAL_PATH_SIMULATION</x:v>
      </x:c>
    </x:row>
    <x:row r="53" ht="56" customHeight="1">
      <x:c r="A53" s="7" t="str">
        <x:v>DP2-B</x:v>
      </x:c>
      <x:c r="B53" s="7" t="str">
        <x:v>U24</x:v>
      </x:c>
      <x:c r="C53" s="7" t="str">
        <x:v>지금 가리킨 두 항목을 방금 정정한 조건으로 비교해줘.</x:v>
      </x:c>
      <x:c r="D53" s="14" t="n">
        <x:v>-6</x:v>
      </x:c>
      <x:c r="E53" s="14" t="n">
        <x:v>0</x:v>
      </x:c>
      <x:c r="F53" s="14" t="n">
        <x:v>2.5799999999999996</x:v>
      </x:c>
      <x:c r="G53" s="14" t="n">
        <x:f>F53-E53</x:f>
        <x:v>2.5799999999999996</x:v>
      </x:c>
      <x:c r="H53" s="14" t="n">
        <x:f>'처리단계'!L681</x:f>
        <x:v>6.467999999999999</x:v>
      </x:c>
      <x:c r="I53" s="16" t="n">
        <x:f>SUM('비용원장'!H343:H351)</x:f>
        <x:v>0.030268</x:v>
      </x:c>
      <x:c r="J53" s="14" t="n">
        <x:f>SUM('메모리상태'!E355:E364)</x:f>
        <x:v>675.92</x:v>
      </x:c>
      <x:c r="K53" s="14" t="n">
        <x:v>3.014</x:v>
      </x:c>
      <x:c r="L53" s="7" t="str">
        <x:v>CONDITIONAL_NORMAL_PATH_SIMULATION</x:v>
      </x:c>
    </x:row>
    <x:row r="54" ht="56" customHeight="1">
      <x:c r="A54" s="12" t="str">
        <x:v>DP3-B-R1</x:v>
      </x:c>
      <x:c r="B54" s="12" t="str">
        <x:v>U01</x:v>
      </x:c>
      <x:c r="C54" s="12" t="str">
        <x:v>TCP와 UDP의 차이를 간단히 설명해줘.</x:v>
      </x:c>
      <x:c r="D54" s="13" t="n">
        <x:v>0</x:v>
      </x:c>
      <x:c r="E54" s="13" t="n">
        <x:v>0</x:v>
      </x:c>
      <x:c r="F54" s="13" t="n">
        <x:v>1.3100000000000003</x:v>
      </x:c>
      <x:c r="G54" s="13" t="n">
        <x:f>F54-E54</x:f>
        <x:v>1.3100000000000003</x:v>
      </x:c>
      <x:c r="H54" s="13" t="n">
        <x:f>'처리단계'!L691</x:f>
        <x:v>3.1580000000000004</x:v>
      </x:c>
      <x:c r="I54" s="15" t="n">
        <x:f>SUM('비용원장'!H352:H355)</x:f>
        <x:v>0.012904</x:v>
      </x:c>
      <x:c r="J54" s="13" t="n">
        <x:f>SUM('메모리상태'!E365:E371)</x:f>
        <x:v>588.4</x:v>
      </x:c>
      <x:c r="K54" s="13" t="n">
        <x:v>1.7480000000000002</x:v>
      </x:c>
      <x:c r="L54" s="12" t="str">
        <x:v>CONDITIONAL_NORMAL_PATH_SIMULATION</x:v>
      </x:c>
    </x:row>
    <x:row r="55" ht="56" customHeight="1">
      <x:c r="A55" s="7" t="str">
        <x:v>DP3-B-R1</x:v>
      </x:c>
      <x:c r="B55" s="7" t="str">
        <x:v>U02</x:v>
      </x:c>
      <x:c r="C55" s="7" t="str">
        <x:v>방금 네 설명의 결론만 한 문장으로 말해줘.</x:v>
      </x:c>
      <x:c r="D55" s="14" t="n">
        <x:v>0</x:v>
      </x:c>
      <x:c r="E55" s="14" t="n">
        <x:v>0</x:v>
      </x:c>
      <x:c r="F55" s="14" t="n">
        <x:v>1.55</x:v>
      </x:c>
      <x:c r="G55" s="14" t="n">
        <x:f>F55-E55</x:f>
        <x:v>1.55</x:v>
      </x:c>
      <x:c r="H55" s="14" t="n">
        <x:f>'처리단계'!L701</x:f>
        <x:v>2.644</x:v>
      </x:c>
      <x:c r="I55" s="16" t="n">
        <x:f>SUM('비용원장'!H356:H360)</x:f>
        <x:v>0.00988</x:v>
      </x:c>
      <x:c r="J55" s="14" t="n">
        <x:f>SUM('메모리상태'!E372:E378)</x:f>
        <x:v>588.4</x:v>
      </x:c>
      <x:c r="K55" s="14" t="n">
        <x:v>1.984</x:v>
      </x:c>
      <x:c r="L55" s="7" t="str">
        <x:v>CONDITIONAL_NORMAL_PATH_SIMULATION</x:v>
      </x:c>
    </x:row>
    <x:row r="56" ht="56" customHeight="1">
      <x:c r="A56" s="12" t="str">
        <x:v>DP3-B-R1</x:v>
      </x:c>
      <x:c r="B56" s="12" t="str">
        <x:v>U03</x:v>
      </x:c>
      <x:c r="C56" s="12" t="str">
        <x:v>자료 D1의 결론을 설명해줘.</x:v>
      </x:c>
      <x:c r="D56" s="13" t="n">
        <x:v>0</x:v>
      </x:c>
      <x:c r="E56" s="13" t="n">
        <x:v>0</x:v>
      </x:c>
      <x:c r="F56" s="13" t="n">
        <x:v>1.3100000000000003</x:v>
      </x:c>
      <x:c r="G56" s="13" t="n">
        <x:f>F56-E56</x:f>
        <x:v>1.3100000000000003</x:v>
      </x:c>
      <x:c r="H56" s="13" t="n">
        <x:f>'처리단계'!L715</x:f>
        <x:v>4.758</x:v>
      </x:c>
      <x:c r="I56" s="15" t="n">
        <x:f>SUM('비용원장'!H361:H368)</x:f>
        <x:v>0.020512</x:v>
      </x:c>
      <x:c r="J56" s="13" t="n">
        <x:f>SUM('메모리상태'!E379:E385)</x:f>
        <x:v>590.944</x:v>
      </x:c>
      <x:c r="K56" s="13" t="n">
        <x:v>1.7440000000000002</x:v>
      </x:c>
      <x:c r="L56" s="12" t="str">
        <x:v>CONDITIONAL_NORMAL_PATH_SIMULATION</x:v>
      </x:c>
    </x:row>
    <x:row r="57" ht="56" customHeight="1">
      <x:c r="A57" s="7" t="str">
        <x:v>DP3-B-R1</x:v>
      </x:c>
      <x:c r="B57" s="7" t="str">
        <x:v>U04</x:v>
      </x:c>
      <x:c r="C57" s="7" t="str">
        <x:v>조사는 계속하고 TCP의 특징을 알려줘.</x:v>
      </x:c>
      <x:c r="D57" s="14" t="n">
        <x:v>0</x:v>
      </x:c>
      <x:c r="E57" s="14" t="n">
        <x:v>0</x:v>
      </x:c>
      <x:c r="F57" s="14" t="n">
        <x:v>1.55</x:v>
      </x:c>
      <x:c r="G57" s="14" t="n">
        <x:f>F57-E57</x:f>
        <x:v>1.55</x:v>
      </x:c>
      <x:c r="H57" s="14" t="n">
        <x:f>'처리단계'!L725</x:f>
        <x:v>3.3979999999999997</x:v>
      </x:c>
      <x:c r="I57" s="16" t="n">
        <x:f>SUM('비용원장'!H369:H373)</x:f>
        <x:v>0.015904</x:v>
      </x:c>
      <x:c r="J57" s="14" t="n">
        <x:f>SUM('메모리상태'!E386:E392)</x:f>
        <x:v>588.4</x:v>
      </x:c>
      <x:c r="K57" s="14" t="n">
        <x:v>1.988</x:v>
      </x:c>
      <x:c r="L57" s="7" t="str">
        <x:v>CONDITIONAL_NORMAL_PATH_SIMULATION</x:v>
      </x:c>
    </x:row>
    <x:row r="58" ht="56" customHeight="1">
      <x:c r="A58" s="12" t="str">
        <x:v>DP3-B-R1</x:v>
      </x:c>
      <x:c r="B58" s="12" t="str">
        <x:v>U05</x:v>
      </x:c>
      <x:c r="C58" s="12" t="str">
        <x:v>D1 비교는 계속하고 TCP와 UDP 차이도 알려줘.</x:v>
      </x:c>
      <x:c r="D58" s="13" t="n">
        <x:v>0</x:v>
      </x:c>
      <x:c r="E58" s="13" t="n">
        <x:v>0</x:v>
      </x:c>
      <x:c r="F58" s="13" t="n">
        <x:v>3.57</x:v>
      </x:c>
      <x:c r="G58" s="13" t="n">
        <x:f>F58-E58</x:f>
        <x:v>3.57</x:v>
      </x:c>
      <x:c r="H58" s="13" t="n">
        <x:f>'처리단계'!L736</x:f>
        <x:v>5.417999999999999</x:v>
      </x:c>
      <x:c r="I58" s="15" t="n">
        <x:f>SUM('비용원장'!H374:H380)</x:f>
        <x:v>0.018064</x:v>
      </x:c>
      <x:c r="J58" s="13" t="n">
        <x:f>SUM('메모리상태'!E393:E399)</x:f>
        <x:v>590.8</x:v>
      </x:c>
      <x:c r="K58" s="13" t="n">
        <x:v>4.008</x:v>
      </x:c>
      <x:c r="L58" s="12" t="str">
        <x:v>CONDITIONAL_NORMAL_PATH_SIMULATION</x:v>
      </x:c>
    </x:row>
    <x:row r="59" ht="56" customHeight="1">
      <x:c r="A59" s="7" t="str">
        <x:v>DP3-B-R1</x:v>
      </x:c>
      <x:c r="B59" s="7" t="str">
        <x:v>U06</x:v>
      </x:c>
      <x:c r="C59" s="7" t="str">
        <x:v>D1 분석은 유지하고 D2의 결론도 설명해줘.</x:v>
      </x:c>
      <x:c r="D59" s="14" t="n">
        <x:v>0</x:v>
      </x:c>
      <x:c r="E59" s="14" t="n">
        <x:v>0</x:v>
      </x:c>
      <x:c r="F59" s="14" t="n">
        <x:v>3.57</x:v>
      </x:c>
      <x:c r="G59" s="14" t="n">
        <x:f>F59-E59</x:f>
        <x:v>3.57</x:v>
      </x:c>
      <x:c r="H59" s="14" t="n">
        <x:f>'처리단계'!L751</x:f>
        <x:v>7.018</x:v>
      </x:c>
      <x:c r="I59" s="16" t="n">
        <x:f>SUM('비용원장'!H381:H390)</x:f>
        <x:v>0.022671999999999998</x:v>
      </x:c>
      <x:c r="J59" s="14" t="n">
        <x:f>SUM('메모리상태'!E400:E406)</x:f>
        <x:v>590.944</x:v>
      </x:c>
      <x:c r="K59" s="14" t="n">
        <x:v>4.004</x:v>
      </x:c>
      <x:c r="L59" s="7" t="str">
        <x:v>CONDITIONAL_NORMAL_PATH_SIMULATION</x:v>
      </x:c>
    </x:row>
    <x:row r="60" ht="56" customHeight="1">
      <x:c r="A60" s="12" t="str">
        <x:v>DP3-B-R1</x:v>
      </x:c>
      <x:c r="B60" s="12" t="str">
        <x:v>U07</x:v>
      </x:c>
      <x:c r="C60" s="12" t="str">
        <x:v>진행 중인 일은 유지하고 D2의 핵심도 알려줘.</x:v>
      </x:c>
      <x:c r="D60" s="13" t="n">
        <x:v>0</x:v>
      </x:c>
      <x:c r="E60" s="13" t="n">
        <x:v>0</x:v>
      </x:c>
      <x:c r="F60" s="13" t="n">
        <x:v>3.57</x:v>
      </x:c>
      <x:c r="G60" s="13" t="n">
        <x:f>F60-E60</x:f>
        <x:v>3.57</x:v>
      </x:c>
      <x:c r="H60" s="13" t="n">
        <x:f>'처리단계'!L767</x:f>
        <x:v>7.018</x:v>
      </x:c>
      <x:c r="I60" s="15" t="n">
        <x:f>SUM('비용원장'!H391:H403)</x:f>
        <x:v>0.027832</x:v>
      </x:c>
      <x:c r="J60" s="13" t="n">
        <x:f>SUM('메모리상태'!E407:E414)</x:f>
        <x:v>610.5999999999999</x:v>
      </x:c>
      <x:c r="K60" s="13" t="n">
        <x:v>4.004</x:v>
      </x:c>
      <x:c r="L60" s="12" t="str">
        <x:v>CONDITIONAL_NORMAL_PATH_SIMULATION</x:v>
      </x:c>
    </x:row>
    <x:row r="61" ht="56" customHeight="1">
      <x:c r="A61" s="7" t="str">
        <x:v>DP3-B-R1</x:v>
      </x:c>
      <x:c r="B61" s="7" t="str">
        <x:v>U08</x:v>
      </x:c>
      <x:c r="C61" s="7" t="str">
        <x:v>방금 읽는 D1에서 확인한 수치를 기준으로 범위를 비용만으로 바꿔줘.</x:v>
      </x:c>
      <x:c r="D61" s="14" t="n">
        <x:v>-6</x:v>
      </x:c>
      <x:c r="E61" s="14" t="n">
        <x:v>0</x:v>
      </x:c>
      <x:c r="F61" s="14" t="n">
        <x:v>3.57</x:v>
      </x:c>
      <x:c r="G61" s="14" t="n">
        <x:f>F61-E61</x:f>
        <x:v>3.57</x:v>
      </x:c>
      <x:c r="H61" s="14" t="n">
        <x:f>'처리단계'!L783</x:f>
        <x:v>10.017999999999999</x:v>
      </x:c>
      <x:c r="I61" s="16" t="n">
        <x:f>SUM('비용원장'!H404:H413)</x:f>
        <x:v>0.022671999999999998</x:v>
      </x:c>
      <x:c r="J61" s="14" t="n">
        <x:f>SUM('메모리상태'!E415:E421)</x:f>
        <x:v>590.944</x:v>
      </x:c>
      <x:c r="K61" s="14" t="n">
        <x:v>4.004</x:v>
      </x:c>
      <x:c r="L61" s="7" t="str">
        <x:v>CONDITIONAL_NORMAL_PATH_SIMULATION</x:v>
      </x:c>
    </x:row>
    <x:row r="62" ht="56" customHeight="1">
      <x:c r="A62" s="12" t="str">
        <x:v>DP3-B-R1</x:v>
      </x:c>
      <x:c r="B62" s="12" t="str">
        <x:v>U09</x:v>
      </x:c>
      <x:c r="C62" s="12" t="str">
        <x:v>선택한 두 견적을 비교해줘.</x:v>
      </x:c>
      <x:c r="D62" s="13" t="n">
        <x:v>0</x:v>
      </x:c>
      <x:c r="E62" s="13" t="n">
        <x:v>0</x:v>
      </x:c>
      <x:c r="F62" s="13" t="n">
        <x:v>1.6300000000000001</x:v>
      </x:c>
      <x:c r="G62" s="13" t="n">
        <x:f>F62-E62</x:f>
        <x:v>1.6300000000000001</x:v>
      </x:c>
      <x:c r="H62" s="13" t="n">
        <x:f>'처리단계'!L799</x:f>
        <x:v>3.518</x:v>
      </x:c>
      <x:c r="I62" s="15" t="n">
        <x:f>SUM('비용원장'!H414:H420)</x:f>
        <x:v>0.021928</x:v>
      </x:c>
      <x:c r="J62" s="13" t="n">
        <x:f>SUM('메모리상태'!E422:E428)</x:f>
        <x:v>588.4</x:v>
      </x:c>
      <x:c r="K62" s="13" t="n">
        <x:v>2.064</x:v>
      </x:c>
      <x:c r="L62" s="12" t="str">
        <x:v>CONDITIONAL_NORMAL_PATH_SIMULATION</x:v>
      </x:c>
    </x:row>
    <x:row r="63" ht="56" customHeight="1">
      <x:c r="A63" s="7" t="str">
        <x:v>DP3-B-R1</x:v>
      </x:c>
      <x:c r="B63" s="7" t="str">
        <x:v>U10</x:v>
      </x:c>
      <x:c r="C63" s="7" t="str">
        <x:v>내가 원으로 표시한 두 카드를 비교해줘.</x:v>
      </x:c>
      <x:c r="D63" s="14" t="n">
        <x:v>0</x:v>
      </x:c>
      <x:c r="E63" s="14" t="n">
        <x:v>0</x:v>
      </x:c>
      <x:c r="F63" s="14" t="n">
        <x:v>5.686666666666667</x:v>
      </x:c>
      <x:c r="G63" s="14" t="n">
        <x:f>F63-E63</x:f>
        <x:v>5.686666666666667</x:v>
      </x:c>
      <x:c r="H63" s="14" t="n">
        <x:f>'처리단계'!L818</x:f>
        <x:v>7.574666666666667</x:v>
      </x:c>
      <x:c r="I63" s="16" t="n">
        <x:f>SUM('비용원장'!H421:H427)</x:f>
        <x:v>0.022448</x:v>
      </x:c>
      <x:c r="J63" s="14" t="n">
        <x:f>SUM('메모리상태'!E429:E440)</x:f>
        <x:v>1767</x:v>
      </x:c>
      <x:c r="K63" s="14" t="n">
        <x:v>6.120666666666668</x:v>
      </x:c>
      <x:c r="L63" s="7" t="str">
        <x:v>CONDITIONAL_NORMAL_PATH_SIMULATION</x:v>
      </x:c>
    </x:row>
    <x:row r="64" ht="56" customHeight="1">
      <x:c r="A64" s="12" t="str">
        <x:v>DP3-B-R1</x:v>
      </x:c>
      <x:c r="B64" s="12" t="str">
        <x:v>U11</x:v>
      </x:c>
      <x:c r="C64" s="12" t="str">
        <x:v>처음 가리킨 견적과 화면 이동 뒤 가리킨 견적을 비교해줘.</x:v>
      </x:c>
      <x:c r="D64" s="13" t="n">
        <x:v>0</x:v>
      </x:c>
      <x:c r="E64" s="13" t="n">
        <x:v>0</x:v>
      </x:c>
      <x:c r="F64" s="13" t="n">
        <x:v>17.506666666666664</x:v>
      </x:c>
      <x:c r="G64" s="13" t="n">
        <x:f>F64-E64</x:f>
        <x:v>17.506666666666664</x:v>
      </x:c>
      <x:c r="H64" s="13" t="n">
        <x:f>'처리단계'!L849</x:f>
        <x:v>19.394666666666666</x:v>
      </x:c>
      <x:c r="I64" s="15" t="n">
        <x:f>SUM('비용원장'!H428:H436)</x:f>
        <x:v>0.025636000000000003</x:v>
      </x:c>
      <x:c r="J64" s="13" t="n">
        <x:f>SUM('메모리상태'!E441:E452)</x:f>
        <x:v>1817</x:v>
      </x:c>
      <x:c r="K64" s="13" t="n">
        <x:v>17.940666666666665</x:v>
      </x:c>
      <x:c r="L64" s="12" t="str">
        <x:v>CONDITIONAL_NORMAL_PATH_SIMULATION</x:v>
      </x:c>
    </x:row>
    <x:row r="65" ht="56" customHeight="1">
      <x:c r="A65" s="7" t="str">
        <x:v>DP3-B-R1</x:v>
      </x:c>
      <x:c r="B65" s="7" t="str">
        <x:v>U12</x:v>
      </x:c>
      <x:c r="C65" s="7" t="str">
        <x:v>같은 화면에서 확정한 두 견적의 납기만 비교해줘.</x:v>
      </x:c>
      <x:c r="D65" s="14" t="n">
        <x:v>0</x:v>
      </x:c>
      <x:c r="E65" s="14" t="n">
        <x:v>0</x:v>
      </x:c>
      <x:c r="F65" s="14" t="n">
        <x:v>1.6300000000000001</x:v>
      </x:c>
      <x:c r="G65" s="14" t="n">
        <x:f>F65-E65</x:f>
        <x:v>1.6300000000000001</x:v>
      </x:c>
      <x:c r="H65" s="14" t="n">
        <x:f>'처리단계'!L870</x:f>
        <x:v>3.518</x:v>
      </x:c>
      <x:c r="I65" s="16" t="n">
        <x:f>SUM('비용원장'!H437:H445)</x:f>
        <x:v>0.023304000000000002</x:v>
      </x:c>
      <x:c r="J65" s="14" t="n">
        <x:f>SUM('메모리상태'!E453:E462)</x:f>
        <x:v>1724</x:v>
      </x:c>
      <x:c r="K65" s="14" t="n">
        <x:v>2.064</x:v>
      </x:c>
      <x:c r="L65" s="7" t="str">
        <x:v>CONDITIONAL_NORMAL_PATH_SIMULATION</x:v>
      </x:c>
    </x:row>
    <x:row r="66" ht="56" customHeight="1">
      <x:c r="A66" s="12" t="str">
        <x:v>DP3-B-R1</x:v>
      </x:c>
      <x:c r="B66" s="12" t="str">
        <x:v>U13</x:v>
      </x:c>
      <x:c r="C66" s="12" t="str">
        <x:v>자료 D2를 작성한 Agent에게 새 발표를 맡겨줘.</x:v>
      </x:c>
      <x:c r="D66" s="13" t="n">
        <x:v>0</x:v>
      </x:c>
      <x:c r="E66" s="13" t="n">
        <x:v>0</x:v>
      </x:c>
      <x:c r="F66" s="13" t="n">
        <x:v>1.3100000000000003</x:v>
      </x:c>
      <x:c r="G66" s="13" t="n">
        <x:f>F66-E66</x:f>
        <x:v>1.3100000000000003</x:v>
      </x:c>
      <x:c r="H66" s="13" t="n">
        <x:f>'처리단계'!L885</x:f>
        <x:v>3.1980000000000004</x:v>
      </x:c>
      <x:c r="I66" s="15" t="n">
        <x:f>SUM('비용원장'!H446:H451)</x:f>
        <x:v>0.018928</x:v>
      </x:c>
      <x:c r="J66" s="13" t="n">
        <x:f>SUM('메모리상태'!E463:E469)</x:f>
        <x:v>588.4</x:v>
      </x:c>
      <x:c r="K66" s="13" t="n">
        <x:v>1.7440000000000002</x:v>
      </x:c>
      <x:c r="L66" s="12" t="str">
        <x:v>CONDITIONAL_NORMAL_PATH_SIMULATION</x:v>
      </x:c>
    </x:row>
    <x:row r="67" ht="56" customHeight="1">
      <x:c r="A67" s="7" t="str">
        <x:v>DP3-B-R1</x:v>
      </x:c>
      <x:c r="B67" s="7" t="str">
        <x:v>U14</x:v>
      </x:c>
      <x:c r="C67" s="7" t="str">
        <x:v>아까 구성이 좋다고 했던 자료의 형식으로 이번 조사를 정리해줘.</x:v>
      </x:c>
      <x:c r="D67" s="14" t="n">
        <x:v>0</x:v>
      </x:c>
      <x:c r="E67" s="14" t="n">
        <x:v>0</x:v>
      </x:c>
      <x:c r="F67" s="14" t="n">
        <x:v>1.95</x:v>
      </x:c>
      <x:c r="G67" s="14" t="n">
        <x:f>F67-E67</x:f>
        <x:v>1.95</x:v>
      </x:c>
      <x:c r="H67" s="14" t="n">
        <x:f>'처리단계'!L900</x:f>
        <x:v>3.838</x:v>
      </x:c>
      <x:c r="I67" s="16" t="n">
        <x:f>SUM('비용원장'!H452:H458)</x:f>
        <x:v>0.024328</x:v>
      </x:c>
      <x:c r="J67" s="14" t="n">
        <x:f>SUM('메모리상태'!E470:E476)</x:f>
        <x:v>598</x:v>
      </x:c>
      <x:c r="K67" s="14" t="n">
        <x:v>2.384</x:v>
      </x:c>
      <x:c r="L67" s="7" t="str">
        <x:v>CONDITIONAL_NORMAL_PATH_SIMULATION</x:v>
      </x:c>
    </x:row>
    <x:row r="68" ht="56" customHeight="1">
      <x:c r="A68" s="12" t="str">
        <x:v>DP3-B-R1</x:v>
      </x:c>
      <x:c r="B68" s="12" t="str">
        <x:v>U15</x:v>
      </x:c>
      <x:c r="C68" s="12" t="str">
        <x:v>지난번 확정했던 D2 형식을 이번 자료에도 적용해줘.</x:v>
      </x:c>
      <x:c r="D68" s="13" t="n">
        <x:v>0</x:v>
      </x:c>
      <x:c r="E68" s="13" t="n">
        <x:v>0</x:v>
      </x:c>
      <x:c r="F68" s="13" t="n">
        <x:v>1.3100000000000003</x:v>
      </x:c>
      <x:c r="G68" s="13" t="n">
        <x:f>F68-E68</x:f>
        <x:v>1.3100000000000003</x:v>
      </x:c>
      <x:c r="H68" s="13" t="n">
        <x:f>'처리단계'!L915</x:f>
        <x:v>3.1980000000000004</x:v>
      </x:c>
      <x:c r="I68" s="15" t="n">
        <x:f>SUM('비용원장'!H459:H464)</x:f>
        <x:v>0.018928</x:v>
      </x:c>
      <x:c r="J68" s="13" t="n">
        <x:f>SUM('메모리상태'!E477:E483)</x:f>
        <x:v>588.4</x:v>
      </x:c>
      <x:c r="K68" s="13" t="n">
        <x:v>1.7440000000000002</x:v>
      </x:c>
      <x:c r="L68" s="12" t="str">
        <x:v>CONDITIONAL_NORMAL_PATH_SIMULATION</x:v>
      </x:c>
    </x:row>
    <x:row r="69" ht="56" customHeight="1">
      <x:c r="A69" s="7" t="str">
        <x:v>DP3-B-R1</x:v>
      </x:c>
      <x:c r="B69" s="7" t="str">
        <x:v>U16</x:v>
      </x:c>
      <x:c r="C69" s="7" t="str">
        <x:v>방금 정정한 피드백을 반영해 내부 회의용으로 다시 만들어줘.</x:v>
      </x:c>
      <x:c r="D69" s="14" t="n">
        <x:v>-6</x:v>
      </x:c>
      <x:c r="E69" s="14" t="n">
        <x:v>0</x:v>
      </x:c>
      <x:c r="F69" s="14" t="n">
        <x:v>1.95</x:v>
      </x:c>
      <x:c r="G69" s="14" t="n">
        <x:f>F69-E69</x:f>
        <x:v>1.95</x:v>
      </x:c>
      <x:c r="H69" s="14" t="n">
        <x:f>'처리단계'!L931</x:f>
        <x:v>5.838</x:v>
      </x:c>
      <x:c r="I69" s="16" t="n">
        <x:f>SUM('비용원장'!H465:H471)</x:f>
        <x:v>0.024328</x:v>
      </x:c>
      <x:c r="J69" s="14" t="n">
        <x:f>SUM('메모리상태'!E484:E490)</x:f>
        <x:v>598</x:v>
      </x:c>
      <x:c r="K69" s="14" t="n">
        <x:v>2.384</x:v>
      </x:c>
      <x:c r="L69" s="7" t="str">
        <x:v>CONDITIONAL_NORMAL_PATH_SIMULATION</x:v>
      </x:c>
    </x:row>
    <x:row r="70" ht="56" customHeight="1">
      <x:c r="A70" s="12" t="str">
        <x:v>DP3-B-R1</x:v>
      </x:c>
      <x:c r="B70" s="12" t="str">
        <x:v>U17</x:v>
      </x:c>
      <x:c r="C70" s="12" t="str">
        <x:v>대기 중인 메일 질문부터 읽어줘.</x:v>
      </x:c>
      <x:c r="D70" s="13" t="n">
        <x:v>0</x:v>
      </x:c>
      <x:c r="E70" s="13" t="n">
        <x:v>0</x:v>
      </x:c>
      <x:c r="F70" s="13" t="n">
        <x:v>1.55</x:v>
      </x:c>
      <x:c r="G70" s="13" t="n">
        <x:f>F70-E70</x:f>
        <x:v>1.55</x:v>
      </x:c>
      <x:c r="H70" s="13" t="n">
        <x:f>'처리단계'!L942</x:f>
        <x:v>1.55</x:v>
      </x:c>
      <x:c r="I70" s="15" t="n">
        <x:f>SUM('비용원장'!H472:H476)</x:f>
        <x:v>0.01992</x:v>
      </x:c>
      <x:c r="J70" s="13" t="n">
        <x:f>SUM('메모리상태'!E491:E497)</x:f>
        <x:v>588.784</x:v>
      </x:c>
      <x:c r="K70" s="13" t="n">
        <x:v>1.55</x:v>
      </x:c>
      <x:c r="L70" s="12" t="str">
        <x:v>CONDITIONAL_NORMAL_PATH_SIMULATION</x:v>
      </x:c>
    </x:row>
    <x:row r="71" ht="56" customHeight="1">
      <x:c r="A71" s="7" t="str">
        <x:v>DP3-B-R1</x:v>
      </x:c>
      <x:c r="B71" s="7" t="str">
        <x:v>U18</x:v>
      </x:c>
      <x:c r="C71" s="7" t="str">
        <x:v>보고서 안내는 철회하고 메일 질문만 읽어줘.</x:v>
      </x:c>
      <x:c r="D71" s="14" t="n">
        <x:v>0</x:v>
      </x:c>
      <x:c r="E71" s="14" t="n">
        <x:v>0</x:v>
      </x:c>
      <x:c r="F71" s="14" t="n">
        <x:v>1.55</x:v>
      </x:c>
      <x:c r="G71" s="14" t="n">
        <x:f>F71-E71</x:f>
        <x:v>1.55</x:v>
      </x:c>
      <x:c r="H71" s="14" t="n">
        <x:f>'처리단계'!L954</x:f>
        <x:v>1.55</x:v>
      </x:c>
      <x:c r="I71" s="16" t="n">
        <x:f>SUM('비용원장'!H477:H483)</x:f>
        <x:v>0.04000000000000001</x:v>
      </x:c>
      <x:c r="J71" s="14" t="n">
        <x:f>SUM('메모리상태'!E498:E504)</x:f>
        <x:v>589.264</x:v>
      </x:c>
      <x:c r="K71" s="14" t="n">
        <x:v>1.55</x:v>
      </x:c>
      <x:c r="L71" s="7" t="str">
        <x:v>CONDITIONAL_NORMAL_PATH_SIMULATION</x:v>
      </x:c>
    </x:row>
    <x:row r="72" ht="56" customHeight="1">
      <x:c r="A72" s="12" t="str">
        <x:v>DP3-B-R1</x:v>
      </x:c>
      <x:c r="B72" s="12" t="str">
        <x:v>U19</x:v>
      </x:c>
      <x:c r="C72" s="12" t="str">
        <x:v>메일 질문을 먼저 읽고 중단한 설명으로 돌아가줘.</x:v>
      </x:c>
      <x:c r="D72" s="13" t="n">
        <x:v>0</x:v>
      </x:c>
      <x:c r="E72" s="13" t="n">
        <x:v>0</x:v>
      </x:c>
      <x:c r="F72" s="13" t="n">
        <x:v>1.55</x:v>
      </x:c>
      <x:c r="G72" s="13" t="n">
        <x:f>F72-E72</x:f>
        <x:v>1.55</x:v>
      </x:c>
      <x:c r="H72" s="13" t="n">
        <x:f>'처리단계'!L967</x:f>
        <x:v>7.428000000000001</x:v>
      </x:c>
      <x:c r="I72" s="15" t="n">
        <x:f>SUM('비용원장'!H484:H490)</x:f>
        <x:v>0.088192</x:v>
      </x:c>
      <x:c r="J72" s="13" t="n">
        <x:f>SUM('메모리상태'!E505:E511)</x:f>
        <x:v>589.27398399808</x:v>
      </x:c>
      <x:c r="K72" s="13" t="n">
        <x:v>1.55</x:v>
      </x:c>
      <x:c r="L72" s="12" t="str">
        <x:v>CONDITIONAL_NORMAL_PATH_SIMULATION</x:v>
      </x:c>
    </x:row>
    <x:row r="73" ht="56" customHeight="1">
      <x:c r="A73" s="7" t="str">
        <x:v>DP3-B-R1</x:v>
      </x:c>
      <x:c r="B73" s="7" t="str">
        <x:v>U20</x:v>
      </x:c>
      <x:c r="C73" s="7" t="str">
        <x:v>완성된 설명을 멈춘 위치부터 이어 읽어줘.</x:v>
      </x:c>
      <x:c r="D73" s="14" t="n">
        <x:v>0</x:v>
      </x:c>
      <x:c r="E73" s="14" t="n">
        <x:v>0</x:v>
      </x:c>
      <x:c r="F73" s="14" t="n">
        <x:v>1.55</x:v>
      </x:c>
      <x:c r="G73" s="14" t="n">
        <x:f>F73-E73</x:f>
        <x:v>1.55</x:v>
      </x:c>
      <x:c r="H73" s="14" t="n">
        <x:f>'처리단계'!L976</x:f>
        <x:v>1.55</x:v>
      </x:c>
      <x:c r="I73" s="16" t="n">
        <x:f>SUM('비용원장'!H491:H493)</x:f>
        <x:v>0.003856</x:v>
      </x:c>
      <x:c r="J73" s="14" t="n">
        <x:f>SUM('메모리상태'!E512:E518)</x:f>
        <x:v>588.976</x:v>
      </x:c>
      <x:c r="K73" s="14" t="n">
        <x:v>1.55</x:v>
      </x:c>
      <x:c r="L73" s="7" t="str">
        <x:v>CONDITIONAL_NORMAL_PATH_SIMULATION</x:v>
      </x:c>
    </x:row>
    <x:row r="74" ht="56" customHeight="1">
      <x:c r="A74" s="12" t="str">
        <x:v>DP3-B-R1</x:v>
      </x:c>
      <x:c r="B74" s="12" t="str">
        <x:v>U21</x:v>
      </x:c>
      <x:c r="C74" s="12" t="str">
        <x:v>선택한 두 견적을 아까 좋다고 한 표 형식으로 비교해줘. 보고서는 계속해.</x:v>
      </x:c>
      <x:c r="D74" s="13" t="n">
        <x:v>0</x:v>
      </x:c>
      <x:c r="E74" s="13" t="n">
        <x:v>0</x:v>
      </x:c>
      <x:c r="F74" s="13" t="n">
        <x:v>6.086666666666668</x:v>
      </x:c>
      <x:c r="G74" s="13" t="n">
        <x:f>F74-E74</x:f>
        <x:v>6.086666666666668</x:v>
      </x:c>
      <x:c r="H74" s="13" t="n">
        <x:f>'처리단계'!L996</x:f>
        <x:v>7.974666666666668</x:v>
      </x:c>
      <x:c r="I74" s="15" t="n">
        <x:f>SUM('비용원장'!H494:H502)</x:f>
        <x:v>0.027008</x:v>
      </x:c>
      <x:c r="J74" s="13" t="n">
        <x:f>SUM('메모리상태'!E519:E531)</x:f>
        <x:v>1786.8</x:v>
      </x:c>
      <x:c r="K74" s="13" t="n">
        <x:v>6.520666666666668</x:v>
      </x:c>
      <x:c r="L74" s="12" t="str">
        <x:v>CONDITIONAL_NORMAL_PATH_SIMULATION</x:v>
      </x:c>
    </x:row>
    <x:row r="75" ht="56" customHeight="1">
      <x:c r="A75" s="7" t="str">
        <x:v>DP3-B-R1</x:v>
      </x:c>
      <x:c r="B75" s="7" t="str">
        <x:v>U22</x:v>
      </x:c>
      <x:c r="C75" s="7" t="str">
        <x:v>새 화면의 두 카드를 비교하고 일정 질문부터 읽어줘.</x:v>
      </x:c>
      <x:c r="D75" s="14" t="n">
        <x:v>0</x:v>
      </x:c>
      <x:c r="E75" s="14" t="n">
        <x:v>0</x:v>
      </x:c>
      <x:c r="F75" s="14" t="n">
        <x:v>4.486666666666667</x:v>
      </x:c>
      <x:c r="G75" s="14" t="n">
        <x:f>F75-E75</x:f>
        <x:v>4.486666666666667</x:v>
      </x:c>
      <x:c r="H75" s="14" t="n">
        <x:f>'처리단계'!L1020</x:f>
        <x:v>6.374666666666667</x:v>
      </x:c>
      <x:c r="I75" s="16" t="n">
        <x:f>SUM('비용원장'!H503:H511)</x:f>
        <x:v>0.029848</x:v>
      </x:c>
      <x:c r="J75" s="14" t="n">
        <x:f>SUM('메모리상태'!E532:E543)</x:f>
        <x:v>1767.288</x:v>
      </x:c>
      <x:c r="K75" s="14" t="n">
        <x:v>4.486666666666667</x:v>
      </x:c>
      <x:c r="L75" s="7" t="str">
        <x:v>CONDITIONAL_NORMAL_PATH_SIMULATION</x:v>
      </x:c>
    </x:row>
    <x:row r="76" ht="56" customHeight="1">
      <x:c r="A76" s="12" t="str">
        <x:v>DP3-B-R1</x:v>
      </x:c>
      <x:c r="B76" s="12" t="str">
        <x:v>U23</x:v>
      </x:c>
      <x:c r="C76" s="12" t="str">
        <x:v>D2에서 확인한 형식으로 새 자료를 만들고 기존 메일 질문을 먼저 읽어줘.</x:v>
      </x:c>
      <x:c r="D76" s="13" t="n">
        <x:v>0</x:v>
      </x:c>
      <x:c r="E76" s="13" t="n">
        <x:v>0</x:v>
      </x:c>
      <x:c r="F76" s="13" t="n">
        <x:v>1.7100000000000002</x:v>
      </x:c>
      <x:c r="G76" s="13" t="n">
        <x:f>F76-E76</x:f>
        <x:v>1.7100000000000002</x:v>
      </x:c>
      <x:c r="H76" s="13" t="n">
        <x:f>'처리단계'!L1036</x:f>
        <x:v>3.598</x:v>
      </x:c>
      <x:c r="I76" s="15" t="n">
        <x:f>SUM('비용원장'!H512:H517)</x:f>
        <x:v>0.027352</x:v>
      </x:c>
      <x:c r="J76" s="13" t="n">
        <x:f>SUM('메모리상태'!E544:E550)</x:f>
        <x:v>598.288</x:v>
      </x:c>
      <x:c r="K76" s="13" t="n">
        <x:v>1.7100000000000002</x:v>
      </x:c>
      <x:c r="L76" s="12" t="str">
        <x:v>CONDITIONAL_NORMAL_PATH_SIMULATION</x:v>
      </x:c>
    </x:row>
    <x:row r="77" ht="56" customHeight="1">
      <x:c r="A77" s="7" t="str">
        <x:v>DP3-B-R1</x:v>
      </x:c>
      <x:c r="B77" s="7" t="str">
        <x:v>U24</x:v>
      </x:c>
      <x:c r="C77" s="7" t="str">
        <x:v>지금 가리킨 두 항목을 방금 정정한 조건으로 비교해줘.</x:v>
      </x:c>
      <x:c r="D77" s="14" t="n">
        <x:v>-6</x:v>
      </x:c>
      <x:c r="E77" s="14" t="n">
        <x:v>0</x:v>
      </x:c>
      <x:c r="F77" s="14" t="n">
        <x:v>17.906666666666666</x:v>
      </x:c>
      <x:c r="G77" s="14" t="n">
        <x:f>F77-E77</x:f>
        <x:v>17.906666666666666</x:v>
      </x:c>
      <x:c r="H77" s="14" t="n">
        <x:f>'처리단계'!L1069</x:f>
        <x:v>21.794666666666668</x:v>
      </x:c>
      <x:c r="I77" s="16" t="n">
        <x:f>SUM('비용원장'!H518:H528)</x:f>
        <x:v>0.030195999999999997</x:v>
      </x:c>
      <x:c r="J77" s="14" t="n">
        <x:f>SUM('메모리상태'!E551:E562)</x:f>
        <x:v>1817</x:v>
      </x:c>
      <x:c r="K77" s="14" t="n">
        <x:v>18.340666666666667</x:v>
      </x:c>
      <x:c r="L77" s="7" t="str">
        <x:v>CONDITIONAL_NORMAL_PATH_SIMULATION</x:v>
      </x:c>
    </x:row>
    <x:row r="78" ht="56" customHeight="1">
      <x:c r="A78" s="12" t="str">
        <x:v>DP3-B-R2</x:v>
      </x:c>
      <x:c r="B78" s="12" t="str">
        <x:v>U01</x:v>
      </x:c>
      <x:c r="C78" s="12" t="str">
        <x:v>TCP와 UDP의 차이를 간단히 설명해줘.</x:v>
      </x:c>
      <x:c r="D78" s="13" t="n">
        <x:v>0</x:v>
      </x:c>
      <x:c r="E78" s="13" t="n">
        <x:v>0</x:v>
      </x:c>
      <x:c r="F78" s="13" t="n">
        <x:v>1.3100000000000003</x:v>
      </x:c>
      <x:c r="G78" s="13" t="n">
        <x:f>F78-E78</x:f>
        <x:v>1.3100000000000003</x:v>
      </x:c>
      <x:c r="H78" s="13" t="n">
        <x:f>'처리단계'!L1079</x:f>
        <x:v>3.1580000000000004</x:v>
      </x:c>
      <x:c r="I78" s="15" t="n">
        <x:f>SUM('비용원장'!H529:H532)</x:f>
        <x:v>0.012904</x:v>
      </x:c>
      <x:c r="J78" s="13" t="n">
        <x:f>SUM('메모리상태'!E563:E569)</x:f>
        <x:v>588.4</x:v>
      </x:c>
      <x:c r="K78" s="13" t="n">
        <x:v>1.7480000000000002</x:v>
      </x:c>
      <x:c r="L78" s="12" t="str">
        <x:v>CONDITIONAL_NORMAL_PATH_SIMULATION</x:v>
      </x:c>
    </x:row>
    <x:row r="79" ht="56" customHeight="1">
      <x:c r="A79" s="7" t="str">
        <x:v>DP3-B-R2</x:v>
      </x:c>
      <x:c r="B79" s="7" t="str">
        <x:v>U02</x:v>
      </x:c>
      <x:c r="C79" s="7" t="str">
        <x:v>방금 네 설명의 결론만 한 문장으로 말해줘.</x:v>
      </x:c>
      <x:c r="D79" s="14" t="n">
        <x:v>0</x:v>
      </x:c>
      <x:c r="E79" s="14" t="n">
        <x:v>0</x:v>
      </x:c>
      <x:c r="F79" s="14" t="n">
        <x:v>1.55</x:v>
      </x:c>
      <x:c r="G79" s="14" t="n">
        <x:f>F79-E79</x:f>
        <x:v>1.55</x:v>
      </x:c>
      <x:c r="H79" s="14" t="n">
        <x:f>'처리단계'!L1089</x:f>
        <x:v>2.644</x:v>
      </x:c>
      <x:c r="I79" s="16" t="n">
        <x:f>SUM('비용원장'!H533:H537)</x:f>
        <x:v>0.00988</x:v>
      </x:c>
      <x:c r="J79" s="14" t="n">
        <x:f>SUM('메모리상태'!E570:E576)</x:f>
        <x:v>588.4</x:v>
      </x:c>
      <x:c r="K79" s="14" t="n">
        <x:v>1.984</x:v>
      </x:c>
      <x:c r="L79" s="7" t="str">
        <x:v>CONDITIONAL_NORMAL_PATH_SIMULATION</x:v>
      </x:c>
    </x:row>
    <x:row r="80" ht="56" customHeight="1">
      <x:c r="A80" s="12" t="str">
        <x:v>DP3-B-R2</x:v>
      </x:c>
      <x:c r="B80" s="12" t="str">
        <x:v>U03</x:v>
      </x:c>
      <x:c r="C80" s="12" t="str">
        <x:v>자료 D1의 결론을 설명해줘.</x:v>
      </x:c>
      <x:c r="D80" s="13" t="n">
        <x:v>0</x:v>
      </x:c>
      <x:c r="E80" s="13" t="n">
        <x:v>0</x:v>
      </x:c>
      <x:c r="F80" s="13" t="n">
        <x:v>1.3100000000000003</x:v>
      </x:c>
      <x:c r="G80" s="13" t="n">
        <x:f>F80-E80</x:f>
        <x:v>1.3100000000000003</x:v>
      </x:c>
      <x:c r="H80" s="13" t="n">
        <x:f>'처리단계'!L1103</x:f>
        <x:v>4.758</x:v>
      </x:c>
      <x:c r="I80" s="15" t="n">
        <x:f>SUM('비용원장'!H538:H545)</x:f>
        <x:v>0.020512</x:v>
      </x:c>
      <x:c r="J80" s="13" t="n">
        <x:f>SUM('메모리상태'!E577:E583)</x:f>
        <x:v>590.944</x:v>
      </x:c>
      <x:c r="K80" s="13" t="n">
        <x:v>1.7440000000000002</x:v>
      </x:c>
      <x:c r="L80" s="12" t="str">
        <x:v>CONDITIONAL_NORMAL_PATH_SIMULATION</x:v>
      </x:c>
    </x:row>
    <x:row r="81" ht="56" customHeight="1">
      <x:c r="A81" s="7" t="str">
        <x:v>DP3-B-R2</x:v>
      </x:c>
      <x:c r="B81" s="7" t="str">
        <x:v>U04</x:v>
      </x:c>
      <x:c r="C81" s="7" t="str">
        <x:v>조사는 계속하고 TCP의 특징을 알려줘.</x:v>
      </x:c>
      <x:c r="D81" s="14" t="n">
        <x:v>0</x:v>
      </x:c>
      <x:c r="E81" s="14" t="n">
        <x:v>0</x:v>
      </x:c>
      <x:c r="F81" s="14" t="n">
        <x:v>1.55</x:v>
      </x:c>
      <x:c r="G81" s="14" t="n">
        <x:f>F81-E81</x:f>
        <x:v>1.55</x:v>
      </x:c>
      <x:c r="H81" s="14" t="n">
        <x:f>'처리단계'!L1113</x:f>
        <x:v>3.3979999999999997</x:v>
      </x:c>
      <x:c r="I81" s="16" t="n">
        <x:f>SUM('비용원장'!H546:H550)</x:f>
        <x:v>0.015904</x:v>
      </x:c>
      <x:c r="J81" s="14" t="n">
        <x:f>SUM('메모리상태'!E584:E590)</x:f>
        <x:v>588.4</x:v>
      </x:c>
      <x:c r="K81" s="14" t="n">
        <x:v>1.988</x:v>
      </x:c>
      <x:c r="L81" s="7" t="str">
        <x:v>CONDITIONAL_NORMAL_PATH_SIMULATION</x:v>
      </x:c>
    </x:row>
    <x:row r="82" ht="56" customHeight="1">
      <x:c r="A82" s="12" t="str">
        <x:v>DP3-B-R2</x:v>
      </x:c>
      <x:c r="B82" s="12" t="str">
        <x:v>U05</x:v>
      </x:c>
      <x:c r="C82" s="12" t="str">
        <x:v>D1 비교는 계속하고 TCP와 UDP 차이도 알려줘.</x:v>
      </x:c>
      <x:c r="D82" s="13" t="n">
        <x:v>0</x:v>
      </x:c>
      <x:c r="E82" s="13" t="n">
        <x:v>0</x:v>
      </x:c>
      <x:c r="F82" s="13" t="n">
        <x:v>3.57</x:v>
      </x:c>
      <x:c r="G82" s="13" t="n">
        <x:f>F82-E82</x:f>
        <x:v>3.57</x:v>
      </x:c>
      <x:c r="H82" s="13" t="n">
        <x:f>'처리단계'!L1124</x:f>
        <x:v>5.417999999999999</x:v>
      </x:c>
      <x:c r="I82" s="15" t="n">
        <x:f>SUM('비용원장'!H551:H557)</x:f>
        <x:v>0.018064</x:v>
      </x:c>
      <x:c r="J82" s="13" t="n">
        <x:f>SUM('메모리상태'!E591:E597)</x:f>
        <x:v>590.8</x:v>
      </x:c>
      <x:c r="K82" s="13" t="n">
        <x:v>4.008</x:v>
      </x:c>
      <x:c r="L82" s="12" t="str">
        <x:v>CONDITIONAL_NORMAL_PATH_SIMULATION</x:v>
      </x:c>
    </x:row>
    <x:row r="83" ht="56" customHeight="1">
      <x:c r="A83" s="7" t="str">
        <x:v>DP3-B-R2</x:v>
      </x:c>
      <x:c r="B83" s="7" t="str">
        <x:v>U06</x:v>
      </x:c>
      <x:c r="C83" s="7" t="str">
        <x:v>D1 분석은 유지하고 D2의 결론도 설명해줘.</x:v>
      </x:c>
      <x:c r="D83" s="14" t="n">
        <x:v>0</x:v>
      </x:c>
      <x:c r="E83" s="14" t="n">
        <x:v>0</x:v>
      </x:c>
      <x:c r="F83" s="14" t="n">
        <x:v>3.57</x:v>
      </x:c>
      <x:c r="G83" s="14" t="n">
        <x:f>F83-E83</x:f>
        <x:v>3.57</x:v>
      </x:c>
      <x:c r="H83" s="14" t="n">
        <x:f>'처리단계'!L1139</x:f>
        <x:v>7.018</x:v>
      </x:c>
      <x:c r="I83" s="16" t="n">
        <x:f>SUM('비용원장'!H558:H567)</x:f>
        <x:v>0.022671999999999998</x:v>
      </x:c>
      <x:c r="J83" s="14" t="n">
        <x:f>SUM('메모리상태'!E598:E604)</x:f>
        <x:v>590.944</x:v>
      </x:c>
      <x:c r="K83" s="14" t="n">
        <x:v>4.004</x:v>
      </x:c>
      <x:c r="L83" s="7" t="str">
        <x:v>CONDITIONAL_NORMAL_PATH_SIMULATION</x:v>
      </x:c>
    </x:row>
    <x:row r="84" ht="56" customHeight="1">
      <x:c r="A84" s="12" t="str">
        <x:v>DP3-B-R2</x:v>
      </x:c>
      <x:c r="B84" s="12" t="str">
        <x:v>U07</x:v>
      </x:c>
      <x:c r="C84" s="12" t="str">
        <x:v>진행 중인 일은 유지하고 D2의 핵심도 알려줘.</x:v>
      </x:c>
      <x:c r="D84" s="13" t="n">
        <x:v>0</x:v>
      </x:c>
      <x:c r="E84" s="13" t="n">
        <x:v>0</x:v>
      </x:c>
      <x:c r="F84" s="13" t="n">
        <x:v>3.57</x:v>
      </x:c>
      <x:c r="G84" s="13" t="n">
        <x:f>F84-E84</x:f>
        <x:v>3.57</x:v>
      </x:c>
      <x:c r="H84" s="13" t="n">
        <x:f>'처리단계'!L1155</x:f>
        <x:v>7.018</x:v>
      </x:c>
      <x:c r="I84" s="15" t="n">
        <x:f>SUM('비용원장'!H568:H580)</x:f>
        <x:v>0.027832</x:v>
      </x:c>
      <x:c r="J84" s="13" t="n">
        <x:f>SUM('메모리상태'!E605:E612)</x:f>
        <x:v>610.5999999999999</x:v>
      </x:c>
      <x:c r="K84" s="13" t="n">
        <x:v>4.004</x:v>
      </x:c>
      <x:c r="L84" s="12" t="str">
        <x:v>CONDITIONAL_NORMAL_PATH_SIMULATION</x:v>
      </x:c>
    </x:row>
    <x:row r="85" ht="56" customHeight="1">
      <x:c r="A85" s="7" t="str">
        <x:v>DP3-B-R2</x:v>
      </x:c>
      <x:c r="B85" s="7" t="str">
        <x:v>U08</x:v>
      </x:c>
      <x:c r="C85" s="7" t="str">
        <x:v>방금 읽는 D1에서 확인한 수치를 기준으로 범위를 비용만으로 바꿔줘.</x:v>
      </x:c>
      <x:c r="D85" s="14" t="n">
        <x:v>-6</x:v>
      </x:c>
      <x:c r="E85" s="14" t="n">
        <x:v>0</x:v>
      </x:c>
      <x:c r="F85" s="14" t="n">
        <x:v>3.57</x:v>
      </x:c>
      <x:c r="G85" s="14" t="n">
        <x:f>F85-E85</x:f>
        <x:v>3.57</x:v>
      </x:c>
      <x:c r="H85" s="14" t="n">
        <x:f>'처리단계'!L1171</x:f>
        <x:v>10.017999999999999</x:v>
      </x:c>
      <x:c r="I85" s="16" t="n">
        <x:f>SUM('비용원장'!H581:H590)</x:f>
        <x:v>0.022671999999999998</x:v>
      </x:c>
      <x:c r="J85" s="14" t="n">
        <x:f>SUM('메모리상태'!E613:E619)</x:f>
        <x:v>590.944</x:v>
      </x:c>
      <x:c r="K85" s="14" t="n">
        <x:v>4.004</x:v>
      </x:c>
      <x:c r="L85" s="7" t="str">
        <x:v>CONDITIONAL_NORMAL_PATH_SIMULATION</x:v>
      </x:c>
    </x:row>
    <x:row r="86" ht="56" customHeight="1">
      <x:c r="A86" s="12" t="str">
        <x:v>DP3-B-R2</x:v>
      </x:c>
      <x:c r="B86" s="12" t="str">
        <x:v>U09</x:v>
      </x:c>
      <x:c r="C86" s="12" t="str">
        <x:v>선택한 두 견적을 비교해줘.</x:v>
      </x:c>
      <x:c r="D86" s="13" t="n">
        <x:v>0</x:v>
      </x:c>
      <x:c r="E86" s="13" t="n">
        <x:v>0</x:v>
      </x:c>
      <x:c r="F86" s="13" t="n">
        <x:v>1.6300000000000001</x:v>
      </x:c>
      <x:c r="G86" s="13" t="n">
        <x:f>F86-E86</x:f>
        <x:v>1.6300000000000001</x:v>
      </x:c>
      <x:c r="H86" s="13" t="n">
        <x:f>'처리단계'!L1187</x:f>
        <x:v>3.518</x:v>
      </x:c>
      <x:c r="I86" s="15" t="n">
        <x:f>SUM('비용원장'!H591:H597)</x:f>
        <x:v>0.021928</x:v>
      </x:c>
      <x:c r="J86" s="13" t="n">
        <x:f>SUM('메모리상태'!E620:E626)</x:f>
        <x:v>588.4</x:v>
      </x:c>
      <x:c r="K86" s="13" t="n">
        <x:v>2.064</x:v>
      </x:c>
      <x:c r="L86" s="12" t="str">
        <x:v>CONDITIONAL_NORMAL_PATH_SIMULATION</x:v>
      </x:c>
    </x:row>
    <x:row r="87" ht="56" customHeight="1">
      <x:c r="A87" s="7" t="str">
        <x:v>DP3-B-R2</x:v>
      </x:c>
      <x:c r="B87" s="7" t="str">
        <x:v>U10</x:v>
      </x:c>
      <x:c r="C87" s="7" t="str">
        <x:v>내가 원으로 표시한 두 카드를 비교해줘.</x:v>
      </x:c>
      <x:c r="D87" s="14" t="n">
        <x:v>0</x:v>
      </x:c>
      <x:c r="E87" s="14" t="n">
        <x:v>0</x:v>
      </x:c>
      <x:c r="F87" s="14" t="n">
        <x:v>5.536666666666667</x:v>
      </x:c>
      <x:c r="G87" s="14" t="n">
        <x:f>F87-E87</x:f>
        <x:v>5.536666666666667</x:v>
      </x:c>
      <x:c r="H87" s="14" t="n">
        <x:f>'처리단계'!L1205</x:f>
        <x:v>7.424666666666667</x:v>
      </x:c>
      <x:c r="I87" s="16" t="n">
        <x:f>SUM('비용원장'!H598:H604)</x:f>
        <x:v>0.022448</x:v>
      </x:c>
      <x:c r="J87" s="14" t="n">
        <x:f>SUM('메모리상태'!E627:E638)</x:f>
        <x:v>1767</x:v>
      </x:c>
      <x:c r="K87" s="14" t="n">
        <x:v>5.970666666666667</x:v>
      </x:c>
      <x:c r="L87" s="7" t="str">
        <x:v>CONDITIONAL_NORMAL_PATH_SIMULATION</x:v>
      </x:c>
    </x:row>
    <x:row r="88" ht="56" customHeight="1">
      <x:c r="A88" s="12" t="str">
        <x:v>DP3-B-R2</x:v>
      </x:c>
      <x:c r="B88" s="12" t="str">
        <x:v>U11</x:v>
      </x:c>
      <x:c r="C88" s="12" t="str">
        <x:v>처음 가리킨 견적과 화면 이동 뒤 가리킨 견적을 비교해줘.</x:v>
      </x:c>
      <x:c r="D88" s="13" t="n">
        <x:v>0</x:v>
      </x:c>
      <x:c r="E88" s="13" t="n">
        <x:v>0</x:v>
      </x:c>
      <x:c r="F88" s="13" t="n">
        <x:v>15.156666666666665</x:v>
      </x:c>
      <x:c r="G88" s="13" t="n">
        <x:f>F88-E88</x:f>
        <x:v>15.156666666666665</x:v>
      </x:c>
      <x:c r="H88" s="13" t="n">
        <x:f>'처리단계'!L1230</x:f>
        <x:v>17.044666666666664</x:v>
      </x:c>
      <x:c r="I88" s="15" t="n">
        <x:f>SUM('비용원장'!H605:H613)</x:f>
        <x:v>0.025636000000000003</x:v>
      </x:c>
      <x:c r="J88" s="13" t="n">
        <x:f>SUM('메모리상태'!E639:E651)</x:f>
        <x:v>2237</x:v>
      </x:c>
      <x:c r="K88" s="13" t="n">
        <x:v>15.590666666666664</x:v>
      </x:c>
      <x:c r="L88" s="12" t="str">
        <x:v>CONDITIONAL_NORMAL_PATH_SIMULATION</x:v>
      </x:c>
    </x:row>
    <x:row r="89" ht="56" customHeight="1">
      <x:c r="A89" s="7" t="str">
        <x:v>DP3-B-R2</x:v>
      </x:c>
      <x:c r="B89" s="7" t="str">
        <x:v>U12</x:v>
      </x:c>
      <x:c r="C89" s="7" t="str">
        <x:v>같은 화면에서 확정한 두 견적의 납기만 비교해줘.</x:v>
      </x:c>
      <x:c r="D89" s="14" t="n">
        <x:v>0</x:v>
      </x:c>
      <x:c r="E89" s="14" t="n">
        <x:v>0</x:v>
      </x:c>
      <x:c r="F89" s="14" t="n">
        <x:v>1.6300000000000001</x:v>
      </x:c>
      <x:c r="G89" s="14" t="n">
        <x:f>F89-E89</x:f>
        <x:v>1.6300000000000001</x:v>
      </x:c>
      <x:c r="H89" s="14" t="n">
        <x:f>'처리단계'!L1250</x:f>
        <x:v>3.518</x:v>
      </x:c>
      <x:c r="I89" s="16" t="n">
        <x:f>SUM('비용원장'!H614:H622)</x:f>
        <x:v>0.023304000000000002</x:v>
      </x:c>
      <x:c r="J89" s="14" t="n">
        <x:f>SUM('메모리상태'!E652:E661)</x:f>
        <x:v>1724</x:v>
      </x:c>
      <x:c r="K89" s="14" t="n">
        <x:v>2.064</x:v>
      </x:c>
      <x:c r="L89" s="7" t="str">
        <x:v>CONDITIONAL_NORMAL_PATH_SIMULATION</x:v>
      </x:c>
    </x:row>
    <x:row r="90" ht="56" customHeight="1">
      <x:c r="A90" s="12" t="str">
        <x:v>DP3-B-R2</x:v>
      </x:c>
      <x:c r="B90" s="12" t="str">
        <x:v>U13</x:v>
      </x:c>
      <x:c r="C90" s="12" t="str">
        <x:v>자료 D2를 작성한 Agent에게 새 발표를 맡겨줘.</x:v>
      </x:c>
      <x:c r="D90" s="13" t="n">
        <x:v>0</x:v>
      </x:c>
      <x:c r="E90" s="13" t="n">
        <x:v>0</x:v>
      </x:c>
      <x:c r="F90" s="13" t="n">
        <x:v>1.3100000000000003</x:v>
      </x:c>
      <x:c r="G90" s="13" t="n">
        <x:f>F90-E90</x:f>
        <x:v>1.3100000000000003</x:v>
      </x:c>
      <x:c r="H90" s="13" t="n">
        <x:f>'처리단계'!L1265</x:f>
        <x:v>3.1980000000000004</x:v>
      </x:c>
      <x:c r="I90" s="15" t="n">
        <x:f>SUM('비용원장'!H623:H628)</x:f>
        <x:v>0.018928</x:v>
      </x:c>
      <x:c r="J90" s="13" t="n">
        <x:f>SUM('메모리상태'!E662:E668)</x:f>
        <x:v>588.4</x:v>
      </x:c>
      <x:c r="K90" s="13" t="n">
        <x:v>1.7440000000000002</x:v>
      </x:c>
      <x:c r="L90" s="12" t="str">
        <x:v>CONDITIONAL_NORMAL_PATH_SIMULATION</x:v>
      </x:c>
    </x:row>
    <x:row r="91" ht="56" customHeight="1">
      <x:c r="A91" s="7" t="str">
        <x:v>DP3-B-R2</x:v>
      </x:c>
      <x:c r="B91" s="7" t="str">
        <x:v>U14</x:v>
      </x:c>
      <x:c r="C91" s="7" t="str">
        <x:v>아까 구성이 좋다고 했던 자료의 형식으로 이번 조사를 정리해줘.</x:v>
      </x:c>
      <x:c r="D91" s="14" t="n">
        <x:v>0</x:v>
      </x:c>
      <x:c r="E91" s="14" t="n">
        <x:v>0</x:v>
      </x:c>
      <x:c r="F91" s="14" t="n">
        <x:v>1.95</x:v>
      </x:c>
      <x:c r="G91" s="14" t="n">
        <x:f>F91-E91</x:f>
        <x:v>1.95</x:v>
      </x:c>
      <x:c r="H91" s="14" t="n">
        <x:f>'처리단계'!L1280</x:f>
        <x:v>3.838</x:v>
      </x:c>
      <x:c r="I91" s="16" t="n">
        <x:f>SUM('비용원장'!H629:H635)</x:f>
        <x:v>0.024328</x:v>
      </x:c>
      <x:c r="J91" s="14" t="n">
        <x:f>SUM('메모리상태'!E669:E675)</x:f>
        <x:v>598</x:v>
      </x:c>
      <x:c r="K91" s="14" t="n">
        <x:v>2.384</x:v>
      </x:c>
      <x:c r="L91" s="7" t="str">
        <x:v>CONDITIONAL_NORMAL_PATH_SIMULATION</x:v>
      </x:c>
    </x:row>
    <x:row r="92" ht="56" customHeight="1">
      <x:c r="A92" s="12" t="str">
        <x:v>DP3-B-R2</x:v>
      </x:c>
      <x:c r="B92" s="12" t="str">
        <x:v>U15</x:v>
      </x:c>
      <x:c r="C92" s="12" t="str">
        <x:v>지난번 확정했던 D2 형식을 이번 자료에도 적용해줘.</x:v>
      </x:c>
      <x:c r="D92" s="13" t="n">
        <x:v>0</x:v>
      </x:c>
      <x:c r="E92" s="13" t="n">
        <x:v>0</x:v>
      </x:c>
      <x:c r="F92" s="13" t="n">
        <x:v>1.3100000000000003</x:v>
      </x:c>
      <x:c r="G92" s="13" t="n">
        <x:f>F92-E92</x:f>
        <x:v>1.3100000000000003</x:v>
      </x:c>
      <x:c r="H92" s="13" t="n">
        <x:f>'처리단계'!L1295</x:f>
        <x:v>3.1980000000000004</x:v>
      </x:c>
      <x:c r="I92" s="15" t="n">
        <x:f>SUM('비용원장'!H636:H641)</x:f>
        <x:v>0.018928</x:v>
      </x:c>
      <x:c r="J92" s="13" t="n">
        <x:f>SUM('메모리상태'!E676:E682)</x:f>
        <x:v>588.4</x:v>
      </x:c>
      <x:c r="K92" s="13" t="n">
        <x:v>1.7440000000000002</x:v>
      </x:c>
      <x:c r="L92" s="12" t="str">
        <x:v>CONDITIONAL_NORMAL_PATH_SIMULATION</x:v>
      </x:c>
    </x:row>
    <x:row r="93" ht="56" customHeight="1">
      <x:c r="A93" s="7" t="str">
        <x:v>DP3-B-R2</x:v>
      </x:c>
      <x:c r="B93" s="7" t="str">
        <x:v>U16</x:v>
      </x:c>
      <x:c r="C93" s="7" t="str">
        <x:v>방금 정정한 피드백을 반영해 내부 회의용으로 다시 만들어줘.</x:v>
      </x:c>
      <x:c r="D93" s="14" t="n">
        <x:v>-6</x:v>
      </x:c>
      <x:c r="E93" s="14" t="n">
        <x:v>0</x:v>
      </x:c>
      <x:c r="F93" s="14" t="n">
        <x:v>1.95</x:v>
      </x:c>
      <x:c r="G93" s="14" t="n">
        <x:f>F93-E93</x:f>
        <x:v>1.95</x:v>
      </x:c>
      <x:c r="H93" s="14" t="n">
        <x:f>'처리단계'!L1311</x:f>
        <x:v>5.838</x:v>
      </x:c>
      <x:c r="I93" s="16" t="n">
        <x:f>SUM('비용원장'!H642:H648)</x:f>
        <x:v>0.024328</x:v>
      </x:c>
      <x:c r="J93" s="14" t="n">
        <x:f>SUM('메모리상태'!E683:E689)</x:f>
        <x:v>598</x:v>
      </x:c>
      <x:c r="K93" s="14" t="n">
        <x:v>2.384</x:v>
      </x:c>
      <x:c r="L93" s="7" t="str">
        <x:v>CONDITIONAL_NORMAL_PATH_SIMULATION</x:v>
      </x:c>
    </x:row>
    <x:row r="94" ht="56" customHeight="1">
      <x:c r="A94" s="12" t="str">
        <x:v>DP3-B-R2</x:v>
      </x:c>
      <x:c r="B94" s="12" t="str">
        <x:v>U17</x:v>
      </x:c>
      <x:c r="C94" s="12" t="str">
        <x:v>대기 중인 메일 질문부터 읽어줘.</x:v>
      </x:c>
      <x:c r="D94" s="13" t="n">
        <x:v>0</x:v>
      </x:c>
      <x:c r="E94" s="13" t="n">
        <x:v>0</x:v>
      </x:c>
      <x:c r="F94" s="13" t="n">
        <x:v>1.55</x:v>
      </x:c>
      <x:c r="G94" s="13" t="n">
        <x:f>F94-E94</x:f>
        <x:v>1.55</x:v>
      </x:c>
      <x:c r="H94" s="13" t="n">
        <x:f>'처리단계'!L1322</x:f>
        <x:v>1.55</x:v>
      </x:c>
      <x:c r="I94" s="15" t="n">
        <x:f>SUM('비용원장'!H649:H653)</x:f>
        <x:v>0.01992</x:v>
      </x:c>
      <x:c r="J94" s="13" t="n">
        <x:f>SUM('메모리상태'!E690:E696)</x:f>
        <x:v>588.784</x:v>
      </x:c>
      <x:c r="K94" s="13" t="n">
        <x:v>1.55</x:v>
      </x:c>
      <x:c r="L94" s="12" t="str">
        <x:v>CONDITIONAL_NORMAL_PATH_SIMULATION</x:v>
      </x:c>
    </x:row>
    <x:row r="95" ht="56" customHeight="1">
      <x:c r="A95" s="7" t="str">
        <x:v>DP3-B-R2</x:v>
      </x:c>
      <x:c r="B95" s="7" t="str">
        <x:v>U18</x:v>
      </x:c>
      <x:c r="C95" s="7" t="str">
        <x:v>보고서 안내는 철회하고 메일 질문만 읽어줘.</x:v>
      </x:c>
      <x:c r="D95" s="14" t="n">
        <x:v>0</x:v>
      </x:c>
      <x:c r="E95" s="14" t="n">
        <x:v>0</x:v>
      </x:c>
      <x:c r="F95" s="14" t="n">
        <x:v>1.55</x:v>
      </x:c>
      <x:c r="G95" s="14" t="n">
        <x:f>F95-E95</x:f>
        <x:v>1.55</x:v>
      </x:c>
      <x:c r="H95" s="14" t="n">
        <x:f>'처리단계'!L1334</x:f>
        <x:v>1.55</x:v>
      </x:c>
      <x:c r="I95" s="16" t="n">
        <x:f>SUM('비용원장'!H654:H660)</x:f>
        <x:v>0.04000000000000001</x:v>
      </x:c>
      <x:c r="J95" s="14" t="n">
        <x:f>SUM('메모리상태'!E697:E703)</x:f>
        <x:v>589.264</x:v>
      </x:c>
      <x:c r="K95" s="14" t="n">
        <x:v>1.55</x:v>
      </x:c>
      <x:c r="L95" s="7" t="str">
        <x:v>CONDITIONAL_NORMAL_PATH_SIMULATION</x:v>
      </x:c>
    </x:row>
    <x:row r="96" ht="56" customHeight="1">
      <x:c r="A96" s="12" t="str">
        <x:v>DP3-B-R2</x:v>
      </x:c>
      <x:c r="B96" s="12" t="str">
        <x:v>U19</x:v>
      </x:c>
      <x:c r="C96" s="12" t="str">
        <x:v>메일 질문을 먼저 읽고 중단한 설명으로 돌아가줘.</x:v>
      </x:c>
      <x:c r="D96" s="13" t="n">
        <x:v>0</x:v>
      </x:c>
      <x:c r="E96" s="13" t="n">
        <x:v>0</x:v>
      </x:c>
      <x:c r="F96" s="13" t="n">
        <x:v>1.55</x:v>
      </x:c>
      <x:c r="G96" s="13" t="n">
        <x:f>F96-E96</x:f>
        <x:v>1.55</x:v>
      </x:c>
      <x:c r="H96" s="13" t="n">
        <x:f>'처리단계'!L1347</x:f>
        <x:v>7.428000000000001</x:v>
      </x:c>
      <x:c r="I96" s="15" t="n">
        <x:f>SUM('비용원장'!H661:H667)</x:f>
        <x:v>0.088192</x:v>
      </x:c>
      <x:c r="J96" s="13" t="n">
        <x:f>SUM('메모리상태'!E704:E710)</x:f>
        <x:v>589.27398399808</x:v>
      </x:c>
      <x:c r="K96" s="13" t="n">
        <x:v>1.55</x:v>
      </x:c>
      <x:c r="L96" s="12" t="str">
        <x:v>CONDITIONAL_NORMAL_PATH_SIMULATION</x:v>
      </x:c>
    </x:row>
    <x:row r="97" ht="56" customHeight="1">
      <x:c r="A97" s="7" t="str">
        <x:v>DP3-B-R2</x:v>
      </x:c>
      <x:c r="B97" s="7" t="str">
        <x:v>U20</x:v>
      </x:c>
      <x:c r="C97" s="7" t="str">
        <x:v>완성된 설명을 멈춘 위치부터 이어 읽어줘.</x:v>
      </x:c>
      <x:c r="D97" s="14" t="n">
        <x:v>0</x:v>
      </x:c>
      <x:c r="E97" s="14" t="n">
        <x:v>0</x:v>
      </x:c>
      <x:c r="F97" s="14" t="n">
        <x:v>1.55</x:v>
      </x:c>
      <x:c r="G97" s="14" t="n">
        <x:f>F97-E97</x:f>
        <x:v>1.55</x:v>
      </x:c>
      <x:c r="H97" s="14" t="n">
        <x:f>'처리단계'!L1356</x:f>
        <x:v>1.55</x:v>
      </x:c>
      <x:c r="I97" s="16" t="n">
        <x:f>SUM('비용원장'!H668:H670)</x:f>
        <x:v>0.003856</x:v>
      </x:c>
      <x:c r="J97" s="14" t="n">
        <x:f>SUM('메모리상태'!E711:E717)</x:f>
        <x:v>588.976</x:v>
      </x:c>
      <x:c r="K97" s="14" t="n">
        <x:v>1.55</x:v>
      </x:c>
      <x:c r="L97" s="7" t="str">
        <x:v>CONDITIONAL_NORMAL_PATH_SIMULATION</x:v>
      </x:c>
    </x:row>
    <x:row r="98" ht="56" customHeight="1">
      <x:c r="A98" s="12" t="str">
        <x:v>DP3-B-R2</x:v>
      </x:c>
      <x:c r="B98" s="12" t="str">
        <x:v>U21</x:v>
      </x:c>
      <x:c r="C98" s="12" t="str">
        <x:v>선택한 두 견적을 아까 좋다고 한 표 형식으로 비교해줘. 보고서는 계속해.</x:v>
      </x:c>
      <x:c r="D98" s="13" t="n">
        <x:v>0</x:v>
      </x:c>
      <x:c r="E98" s="13" t="n">
        <x:v>0</x:v>
      </x:c>
      <x:c r="F98" s="13" t="n">
        <x:v>5.936666666666667</x:v>
      </x:c>
      <x:c r="G98" s="13" t="n">
        <x:f>F98-E98</x:f>
        <x:v>5.936666666666667</x:v>
      </x:c>
      <x:c r="H98" s="13" t="n">
        <x:f>'처리단계'!L1375</x:f>
        <x:v>7.824666666666667</x:v>
      </x:c>
      <x:c r="I98" s="15" t="n">
        <x:f>SUM('비용원장'!H671:H679)</x:f>
        <x:v>0.027008</x:v>
      </x:c>
      <x:c r="J98" s="13" t="n">
        <x:f>SUM('메모리상태'!E718:E730)</x:f>
        <x:v>1786.8</x:v>
      </x:c>
      <x:c r="K98" s="13" t="n">
        <x:v>6.370666666666668</x:v>
      </x:c>
      <x:c r="L98" s="12" t="str">
        <x:v>CONDITIONAL_NORMAL_PATH_SIMULATION</x:v>
      </x:c>
    </x:row>
    <x:row r="99" ht="56" customHeight="1">
      <x:c r="A99" s="7" t="str">
        <x:v>DP3-B-R2</x:v>
      </x:c>
      <x:c r="B99" s="7" t="str">
        <x:v>U22</x:v>
      </x:c>
      <x:c r="C99" s="7" t="str">
        <x:v>새 화면의 두 카드를 비교하고 일정 질문부터 읽어줘.</x:v>
      </x:c>
      <x:c r="D99" s="14" t="n">
        <x:v>0</x:v>
      </x:c>
      <x:c r="E99" s="14" t="n">
        <x:v>0</x:v>
      </x:c>
      <x:c r="F99" s="14" t="n">
        <x:v>3.236666666666667</x:v>
      </x:c>
      <x:c r="G99" s="14" t="n">
        <x:f>F99-E99</x:f>
        <x:v>3.236666666666667</x:v>
      </x:c>
      <x:c r="H99" s="14" t="n">
        <x:f>'처리단계'!L1396</x:f>
        <x:v>5.124666666666666</x:v>
      </x:c>
      <x:c r="I99" s="16" t="n">
        <x:f>SUM('비용원장'!H680:H688)</x:f>
        <x:v>0.029848</x:v>
      </x:c>
      <x:c r="J99" s="14" t="n">
        <x:f>SUM('메모리상태'!E731:E740)</x:f>
        <x:v>1724</x:v>
      </x:c>
      <x:c r="K99" s="14" t="n">
        <x:v>3.236666666666667</x:v>
      </x:c>
      <x:c r="L99" s="7" t="str">
        <x:v>CONDITIONAL_NORMAL_PATH_SIMULATION</x:v>
      </x:c>
    </x:row>
    <x:row r="100" ht="56" customHeight="1">
      <x:c r="A100" s="12" t="str">
        <x:v>DP3-B-R2</x:v>
      </x:c>
      <x:c r="B100" s="12" t="str">
        <x:v>U23</x:v>
      </x:c>
      <x:c r="C100" s="12" t="str">
        <x:v>D2에서 확인한 형식으로 새 자료를 만들고 기존 메일 질문을 먼저 읽어줘.</x:v>
      </x:c>
      <x:c r="D100" s="13" t="n">
        <x:v>0</x:v>
      </x:c>
      <x:c r="E100" s="13" t="n">
        <x:v>0</x:v>
      </x:c>
      <x:c r="F100" s="13" t="n">
        <x:v>1.7100000000000002</x:v>
      </x:c>
      <x:c r="G100" s="13" t="n">
        <x:f>F100-E100</x:f>
        <x:v>1.7100000000000002</x:v>
      </x:c>
      <x:c r="H100" s="13" t="n">
        <x:f>'처리단계'!L1412</x:f>
        <x:v>3.598</x:v>
      </x:c>
      <x:c r="I100" s="15" t="n">
        <x:f>SUM('비용원장'!H689:H694)</x:f>
        <x:v>0.027352</x:v>
      </x:c>
      <x:c r="J100" s="13" t="n">
        <x:f>SUM('메모리상태'!E741:E747)</x:f>
        <x:v>598.288</x:v>
      </x:c>
      <x:c r="K100" s="13" t="n">
        <x:v>1.7100000000000002</x:v>
      </x:c>
      <x:c r="L100" s="12" t="str">
        <x:v>CONDITIONAL_NORMAL_PATH_SIMULATION</x:v>
      </x:c>
    </x:row>
    <x:row r="101" ht="56" customHeight="1">
      <x:c r="A101" s="7" t="str">
        <x:v>DP3-B-R2</x:v>
      </x:c>
      <x:c r="B101" s="7" t="str">
        <x:v>U24</x:v>
      </x:c>
      <x:c r="C101" s="7" t="str">
        <x:v>지금 가리킨 두 항목을 방금 정정한 조건으로 비교해줘.</x:v>
      </x:c>
      <x:c r="D101" s="14" t="n">
        <x:v>-6</x:v>
      </x:c>
      <x:c r="E101" s="14" t="n">
        <x:v>0</x:v>
      </x:c>
      <x:c r="F101" s="14" t="n">
        <x:v>15.556666666666665</x:v>
      </x:c>
      <x:c r="G101" s="14" t="n">
        <x:f>F101-E101</x:f>
        <x:v>15.556666666666665</x:v>
      </x:c>
      <x:c r="H101" s="14" t="n">
        <x:f>'처리단계'!L1439</x:f>
        <x:v>19.444666666666663</x:v>
      </x:c>
      <x:c r="I101" s="16" t="n">
        <x:f>SUM('비용원장'!H695:H705)</x:f>
        <x:v>0.030195999999999997</x:v>
      </x:c>
      <x:c r="J101" s="14" t="n">
        <x:f>SUM('메모리상태'!E748:E760)</x:f>
        <x:v>2237</x:v>
      </x:c>
      <x:c r="K101" s="14" t="n">
        <x:v>15.990666666666664</x:v>
      </x:c>
      <x:c r="L101" s="7" t="str">
        <x:v>CONDITIONAL_NORMAL_PATH_SIMULATION</x:v>
      </x:c>
    </x:row>
    <x:row r="102" ht="56" customHeight="1">
      <x:c r="A102" s="12" t="str">
        <x:v>DP3-B-R3</x:v>
      </x:c>
      <x:c r="B102" s="12" t="str">
        <x:v>U01</x:v>
      </x:c>
      <x:c r="C102" s="12" t="str">
        <x:v>TCP와 UDP의 차이를 간단히 설명해줘.</x:v>
      </x:c>
      <x:c r="D102" s="13" t="n">
        <x:v>0</x:v>
      </x:c>
      <x:c r="E102" s="13" t="n">
        <x:v>0</x:v>
      </x:c>
      <x:c r="F102" s="13" t="n">
        <x:v>1.3100000000000003</x:v>
      </x:c>
      <x:c r="G102" s="13" t="n">
        <x:f>F102-E102</x:f>
        <x:v>1.3100000000000003</x:v>
      </x:c>
      <x:c r="H102" s="13" t="n">
        <x:f>'처리단계'!L1449</x:f>
        <x:v>3.1580000000000004</x:v>
      </x:c>
      <x:c r="I102" s="15" t="n">
        <x:f>SUM('비용원장'!H706:H709)</x:f>
        <x:v>0.012904</x:v>
      </x:c>
      <x:c r="J102" s="13" t="n">
        <x:f>SUM('메모리상태'!E761:E767)</x:f>
        <x:v>588.4</x:v>
      </x:c>
      <x:c r="K102" s="13" t="n">
        <x:v>1.7480000000000002</x:v>
      </x:c>
      <x:c r="L102" s="12" t="str">
        <x:v>CONDITIONAL_NORMAL_PATH_SIMULATION</x:v>
      </x:c>
    </x:row>
    <x:row r="103" ht="56" customHeight="1">
      <x:c r="A103" s="7" t="str">
        <x:v>DP3-B-R3</x:v>
      </x:c>
      <x:c r="B103" s="7" t="str">
        <x:v>U02</x:v>
      </x:c>
      <x:c r="C103" s="7" t="str">
        <x:v>방금 네 설명의 결론만 한 문장으로 말해줘.</x:v>
      </x:c>
      <x:c r="D103" s="14" t="n">
        <x:v>0</x:v>
      </x:c>
      <x:c r="E103" s="14" t="n">
        <x:v>0</x:v>
      </x:c>
      <x:c r="F103" s="14" t="n">
        <x:v>1.55</x:v>
      </x:c>
      <x:c r="G103" s="14" t="n">
        <x:f>F103-E103</x:f>
        <x:v>1.55</x:v>
      </x:c>
      <x:c r="H103" s="14" t="n">
        <x:f>'처리단계'!L1459</x:f>
        <x:v>2.644</x:v>
      </x:c>
      <x:c r="I103" s="16" t="n">
        <x:f>SUM('비용원장'!H710:H714)</x:f>
        <x:v>0.00988</x:v>
      </x:c>
      <x:c r="J103" s="14" t="n">
        <x:f>SUM('메모리상태'!E768:E774)</x:f>
        <x:v>588.4</x:v>
      </x:c>
      <x:c r="K103" s="14" t="n">
        <x:v>1.984</x:v>
      </x:c>
      <x:c r="L103" s="7" t="str">
        <x:v>CONDITIONAL_NORMAL_PATH_SIMULATION</x:v>
      </x:c>
    </x:row>
    <x:row r="104" ht="56" customHeight="1">
      <x:c r="A104" s="12" t="str">
        <x:v>DP3-B-R3</x:v>
      </x:c>
      <x:c r="B104" s="12" t="str">
        <x:v>U03</x:v>
      </x:c>
      <x:c r="C104" s="12" t="str">
        <x:v>자료 D1의 결론을 설명해줘.</x:v>
      </x:c>
      <x:c r="D104" s="13" t="n">
        <x:v>0</x:v>
      </x:c>
      <x:c r="E104" s="13" t="n">
        <x:v>0</x:v>
      </x:c>
      <x:c r="F104" s="13" t="n">
        <x:v>1.3100000000000003</x:v>
      </x:c>
      <x:c r="G104" s="13" t="n">
        <x:f>F104-E104</x:f>
        <x:v>1.3100000000000003</x:v>
      </x:c>
      <x:c r="H104" s="13" t="n">
        <x:f>'처리단계'!L1473</x:f>
        <x:v>4.758</x:v>
      </x:c>
      <x:c r="I104" s="15" t="n">
        <x:f>SUM('비용원장'!H715:H722)</x:f>
        <x:v>0.020512</x:v>
      </x:c>
      <x:c r="J104" s="13" t="n">
        <x:f>SUM('메모리상태'!E775:E781)</x:f>
        <x:v>590.944</x:v>
      </x:c>
      <x:c r="K104" s="13" t="n">
        <x:v>1.7440000000000002</x:v>
      </x:c>
      <x:c r="L104" s="12" t="str">
        <x:v>CONDITIONAL_NORMAL_PATH_SIMULATION</x:v>
      </x:c>
    </x:row>
    <x:row r="105" ht="56" customHeight="1">
      <x:c r="A105" s="7" t="str">
        <x:v>DP3-B-R3</x:v>
      </x:c>
      <x:c r="B105" s="7" t="str">
        <x:v>U04</x:v>
      </x:c>
      <x:c r="C105" s="7" t="str">
        <x:v>조사는 계속하고 TCP의 특징을 알려줘.</x:v>
      </x:c>
      <x:c r="D105" s="14" t="n">
        <x:v>0</x:v>
      </x:c>
      <x:c r="E105" s="14" t="n">
        <x:v>0</x:v>
      </x:c>
      <x:c r="F105" s="14" t="n">
        <x:v>1.55</x:v>
      </x:c>
      <x:c r="G105" s="14" t="n">
        <x:f>F105-E105</x:f>
        <x:v>1.55</x:v>
      </x:c>
      <x:c r="H105" s="14" t="n">
        <x:f>'처리단계'!L1483</x:f>
        <x:v>3.3979999999999997</x:v>
      </x:c>
      <x:c r="I105" s="16" t="n">
        <x:f>SUM('비용원장'!H723:H727)</x:f>
        <x:v>0.015904</x:v>
      </x:c>
      <x:c r="J105" s="14" t="n">
        <x:f>SUM('메모리상태'!E782:E788)</x:f>
        <x:v>588.4</x:v>
      </x:c>
      <x:c r="K105" s="14" t="n">
        <x:v>1.988</x:v>
      </x:c>
      <x:c r="L105" s="7" t="str">
        <x:v>CONDITIONAL_NORMAL_PATH_SIMULATION</x:v>
      </x:c>
    </x:row>
    <x:row r="106" ht="56" customHeight="1">
      <x:c r="A106" s="12" t="str">
        <x:v>DP3-B-R3</x:v>
      </x:c>
      <x:c r="B106" s="12" t="str">
        <x:v>U05</x:v>
      </x:c>
      <x:c r="C106" s="12" t="str">
        <x:v>D1 비교는 계속하고 TCP와 UDP 차이도 알려줘.</x:v>
      </x:c>
      <x:c r="D106" s="13" t="n">
        <x:v>0</x:v>
      </x:c>
      <x:c r="E106" s="13" t="n">
        <x:v>0</x:v>
      </x:c>
      <x:c r="F106" s="13" t="n">
        <x:v>3.57</x:v>
      </x:c>
      <x:c r="G106" s="13" t="n">
        <x:f>F106-E106</x:f>
        <x:v>3.57</x:v>
      </x:c>
      <x:c r="H106" s="13" t="n">
        <x:f>'처리단계'!L1494</x:f>
        <x:v>5.417999999999999</x:v>
      </x:c>
      <x:c r="I106" s="15" t="n">
        <x:f>SUM('비용원장'!H728:H734)</x:f>
        <x:v>0.018064</x:v>
      </x:c>
      <x:c r="J106" s="13" t="n">
        <x:f>SUM('메모리상태'!E789:E795)</x:f>
        <x:v>590.8</x:v>
      </x:c>
      <x:c r="K106" s="13" t="n">
        <x:v>4.008</x:v>
      </x:c>
      <x:c r="L106" s="12" t="str">
        <x:v>CONDITIONAL_NORMAL_PATH_SIMULATION</x:v>
      </x:c>
    </x:row>
    <x:row r="107" ht="56" customHeight="1">
      <x:c r="A107" s="7" t="str">
        <x:v>DP3-B-R3</x:v>
      </x:c>
      <x:c r="B107" s="7" t="str">
        <x:v>U06</x:v>
      </x:c>
      <x:c r="C107" s="7" t="str">
        <x:v>D1 분석은 유지하고 D2의 결론도 설명해줘.</x:v>
      </x:c>
      <x:c r="D107" s="14" t="n">
        <x:v>0</x:v>
      </x:c>
      <x:c r="E107" s="14" t="n">
        <x:v>0</x:v>
      </x:c>
      <x:c r="F107" s="14" t="n">
        <x:v>3.57</x:v>
      </x:c>
      <x:c r="G107" s="14" t="n">
        <x:f>F107-E107</x:f>
        <x:v>3.57</x:v>
      </x:c>
      <x:c r="H107" s="14" t="n">
        <x:f>'처리단계'!L1509</x:f>
        <x:v>7.018</x:v>
      </x:c>
      <x:c r="I107" s="16" t="n">
        <x:f>SUM('비용원장'!H735:H744)</x:f>
        <x:v>0.022671999999999998</x:v>
      </x:c>
      <x:c r="J107" s="14" t="n">
        <x:f>SUM('메모리상태'!E796:E802)</x:f>
        <x:v>590.944</x:v>
      </x:c>
      <x:c r="K107" s="14" t="n">
        <x:v>4.004</x:v>
      </x:c>
      <x:c r="L107" s="7" t="str">
        <x:v>CONDITIONAL_NORMAL_PATH_SIMULATION</x:v>
      </x:c>
    </x:row>
    <x:row r="108" ht="56" customHeight="1">
      <x:c r="A108" s="12" t="str">
        <x:v>DP3-B-R3</x:v>
      </x:c>
      <x:c r="B108" s="12" t="str">
        <x:v>U07</x:v>
      </x:c>
      <x:c r="C108" s="12" t="str">
        <x:v>진행 중인 일은 유지하고 D2의 핵심도 알려줘.</x:v>
      </x:c>
      <x:c r="D108" s="13" t="n">
        <x:v>0</x:v>
      </x:c>
      <x:c r="E108" s="13" t="n">
        <x:v>0</x:v>
      </x:c>
      <x:c r="F108" s="13" t="n">
        <x:v>3.57</x:v>
      </x:c>
      <x:c r="G108" s="13" t="n">
        <x:f>F108-E108</x:f>
        <x:v>3.57</x:v>
      </x:c>
      <x:c r="H108" s="13" t="n">
        <x:f>'처리단계'!L1525</x:f>
        <x:v>7.018</x:v>
      </x:c>
      <x:c r="I108" s="15" t="n">
        <x:f>SUM('비용원장'!H745:H757)</x:f>
        <x:v>0.027832</x:v>
      </x:c>
      <x:c r="J108" s="13" t="n">
        <x:f>SUM('메모리상태'!E803:E810)</x:f>
        <x:v>610.5999999999999</x:v>
      </x:c>
      <x:c r="K108" s="13" t="n">
        <x:v>4.004</x:v>
      </x:c>
      <x:c r="L108" s="12" t="str">
        <x:v>CONDITIONAL_NORMAL_PATH_SIMULATION</x:v>
      </x:c>
    </x:row>
    <x:row r="109" ht="56" customHeight="1">
      <x:c r="A109" s="7" t="str">
        <x:v>DP3-B-R3</x:v>
      </x:c>
      <x:c r="B109" s="7" t="str">
        <x:v>U08</x:v>
      </x:c>
      <x:c r="C109" s="7" t="str">
        <x:v>방금 읽는 D1에서 확인한 수치를 기준으로 범위를 비용만으로 바꿔줘.</x:v>
      </x:c>
      <x:c r="D109" s="14" t="n">
        <x:v>-6</x:v>
      </x:c>
      <x:c r="E109" s="14" t="n">
        <x:v>0</x:v>
      </x:c>
      <x:c r="F109" s="14" t="n">
        <x:v>3.57</x:v>
      </x:c>
      <x:c r="G109" s="14" t="n">
        <x:f>F109-E109</x:f>
        <x:v>3.57</x:v>
      </x:c>
      <x:c r="H109" s="14" t="n">
        <x:f>'처리단계'!L1541</x:f>
        <x:v>10.017999999999999</x:v>
      </x:c>
      <x:c r="I109" s="16" t="n">
        <x:f>SUM('비용원장'!H758:H767)</x:f>
        <x:v>0.022671999999999998</x:v>
      </x:c>
      <x:c r="J109" s="14" t="n">
        <x:f>SUM('메모리상태'!E811:E817)</x:f>
        <x:v>590.944</x:v>
      </x:c>
      <x:c r="K109" s="14" t="n">
        <x:v>4.004</x:v>
      </x:c>
      <x:c r="L109" s="7" t="str">
        <x:v>CONDITIONAL_NORMAL_PATH_SIMULATION</x:v>
      </x:c>
    </x:row>
    <x:row r="110" ht="56" customHeight="1">
      <x:c r="A110" s="12" t="str">
        <x:v>DP3-B-R3</x:v>
      </x:c>
      <x:c r="B110" s="12" t="str">
        <x:v>U09</x:v>
      </x:c>
      <x:c r="C110" s="12" t="str">
        <x:v>선택한 두 견적을 비교해줘.</x:v>
      </x:c>
      <x:c r="D110" s="13" t="n">
        <x:v>0</x:v>
      </x:c>
      <x:c r="E110" s="13" t="n">
        <x:v>0</x:v>
      </x:c>
      <x:c r="F110" s="13" t="n">
        <x:v>1.6300000000000001</x:v>
      </x:c>
      <x:c r="G110" s="13" t="n">
        <x:f>F110-E110</x:f>
        <x:v>1.6300000000000001</x:v>
      </x:c>
      <x:c r="H110" s="13" t="n">
        <x:f>'처리단계'!L1557</x:f>
        <x:v>3.518</x:v>
      </x:c>
      <x:c r="I110" s="15" t="n">
        <x:f>SUM('비용원장'!H768:H774)</x:f>
        <x:v>0.021928</x:v>
      </x:c>
      <x:c r="J110" s="13" t="n">
        <x:f>SUM('메모리상태'!E818:E824)</x:f>
        <x:v>588.4</x:v>
      </x:c>
      <x:c r="K110" s="13" t="n">
        <x:v>2.064</x:v>
      </x:c>
      <x:c r="L110" s="12" t="str">
        <x:v>CONDITIONAL_NORMAL_PATH_SIMULATION</x:v>
      </x:c>
    </x:row>
    <x:row r="111" ht="56" customHeight="1">
      <x:c r="A111" s="7" t="str">
        <x:v>DP3-B-R3</x:v>
      </x:c>
      <x:c r="B111" s="7" t="str">
        <x:v>U10</x:v>
      </x:c>
      <x:c r="C111" s="7" t="str">
        <x:v>내가 원으로 표시한 두 카드를 비교해줘.</x:v>
      </x:c>
      <x:c r="D111" s="14" t="n">
        <x:v>0</x:v>
      </x:c>
      <x:c r="E111" s="14" t="n">
        <x:v>0</x:v>
      </x:c>
      <x:c r="F111" s="14" t="n">
        <x:v>5.596666666666667</x:v>
      </x:c>
      <x:c r="G111" s="14" t="n">
        <x:f>F111-E111</x:f>
        <x:v>5.596666666666667</x:v>
      </x:c>
      <x:c r="H111" s="14" t="n">
        <x:f>'처리단계'!L1576</x:f>
        <x:v>7.484666666666667</x:v>
      </x:c>
      <x:c r="I111" s="16" t="n">
        <x:f>SUM('비용원장'!H775:H781)</x:f>
        <x:v>0.022448</x:v>
      </x:c>
      <x:c r="J111" s="14" t="n">
        <x:f>SUM('메모리상태'!E825:E836)</x:f>
        <x:v>1775</x:v>
      </x:c>
      <x:c r="K111" s="14" t="n">
        <x:v>6.030666666666667</x:v>
      </x:c>
      <x:c r="L111" s="7" t="str">
        <x:v>CONDITIONAL_NORMAL_PATH_SIMULATION</x:v>
      </x:c>
    </x:row>
    <x:row r="112" ht="56" customHeight="1">
      <x:c r="A112" s="12" t="str">
        <x:v>DP3-B-R3</x:v>
      </x:c>
      <x:c r="B112" s="12" t="str">
        <x:v>U11</x:v>
      </x:c>
      <x:c r="C112" s="12" t="str">
        <x:v>처음 가리킨 견적과 화면 이동 뒤 가리킨 견적을 비교해줘.</x:v>
      </x:c>
      <x:c r="D112" s="13" t="n">
        <x:v>0</x:v>
      </x:c>
      <x:c r="E112" s="13" t="n">
        <x:v>0</x:v>
      </x:c>
      <x:c r="F112" s="13" t="n">
        <x:v>16.596666666666664</x:v>
      </x:c>
      <x:c r="G112" s="13" t="n">
        <x:f>F112-E112</x:f>
        <x:v>16.596666666666664</x:v>
      </x:c>
      <x:c r="H112" s="13" t="n">
        <x:f>'처리단계'!L1606</x:f>
        <x:v>18.484666666666662</x:v>
      </x:c>
      <x:c r="I112" s="15" t="n">
        <x:f>SUM('비용원장'!H782:H790)</x:f>
        <x:v>0.025636000000000003</x:v>
      </x:c>
      <x:c r="J112" s="13" t="n">
        <x:f>SUM('메모리상태'!E837:E850)</x:f>
        <x:v>2525</x:v>
      </x:c>
      <x:c r="K112" s="13" t="n">
        <x:v>17.030666666666665</x:v>
      </x:c>
      <x:c r="L112" s="12" t="str">
        <x:v>CONDITIONAL_NORMAL_PATH_SIMULATION</x:v>
      </x:c>
    </x:row>
    <x:row r="113" ht="56" customHeight="1">
      <x:c r="A113" s="7" t="str">
        <x:v>DP3-B-R3</x:v>
      </x:c>
      <x:c r="B113" s="7" t="str">
        <x:v>U12</x:v>
      </x:c>
      <x:c r="C113" s="7" t="str">
        <x:v>같은 화면에서 확정한 두 견적의 납기만 비교해줘.</x:v>
      </x:c>
      <x:c r="D113" s="14" t="n">
        <x:v>0</x:v>
      </x:c>
      <x:c r="E113" s="14" t="n">
        <x:v>0</x:v>
      </x:c>
      <x:c r="F113" s="14" t="n">
        <x:v>1.6300000000000001</x:v>
      </x:c>
      <x:c r="G113" s="14" t="n">
        <x:f>F113-E113</x:f>
        <x:v>1.6300000000000001</x:v>
      </x:c>
      <x:c r="H113" s="14" t="n">
        <x:f>'처리단계'!L1627</x:f>
        <x:v>3.518</x:v>
      </x:c>
      <x:c r="I113" s="16" t="n">
        <x:f>SUM('비용원장'!H791:H799)</x:f>
        <x:v>0.023304000000000002</x:v>
      </x:c>
      <x:c r="J113" s="14" t="n">
        <x:f>SUM('메모리상태'!E851:E860)</x:f>
        <x:v>1732</x:v>
      </x:c>
      <x:c r="K113" s="14" t="n">
        <x:v>2.064</x:v>
      </x:c>
      <x:c r="L113" s="7" t="str">
        <x:v>CONDITIONAL_NORMAL_PATH_SIMULATION</x:v>
      </x:c>
    </x:row>
    <x:row r="114" ht="56" customHeight="1">
      <x:c r="A114" s="12" t="str">
        <x:v>DP3-B-R3</x:v>
      </x:c>
      <x:c r="B114" s="12" t="str">
        <x:v>U13</x:v>
      </x:c>
      <x:c r="C114" s="12" t="str">
        <x:v>자료 D2를 작성한 Agent에게 새 발표를 맡겨줘.</x:v>
      </x:c>
      <x:c r="D114" s="13" t="n">
        <x:v>0</x:v>
      </x:c>
      <x:c r="E114" s="13" t="n">
        <x:v>0</x:v>
      </x:c>
      <x:c r="F114" s="13" t="n">
        <x:v>1.3100000000000003</x:v>
      </x:c>
      <x:c r="G114" s="13" t="n">
        <x:f>F114-E114</x:f>
        <x:v>1.3100000000000003</x:v>
      </x:c>
      <x:c r="H114" s="13" t="n">
        <x:f>'처리단계'!L1642</x:f>
        <x:v>3.1980000000000004</x:v>
      </x:c>
      <x:c r="I114" s="15" t="n">
        <x:f>SUM('비용원장'!H800:H805)</x:f>
        <x:v>0.018928</x:v>
      </x:c>
      <x:c r="J114" s="13" t="n">
        <x:f>SUM('메모리상태'!E861:E867)</x:f>
        <x:v>588.4</x:v>
      </x:c>
      <x:c r="K114" s="13" t="n">
        <x:v>1.7440000000000002</x:v>
      </x:c>
      <x:c r="L114" s="12" t="str">
        <x:v>CONDITIONAL_NORMAL_PATH_SIMULATION</x:v>
      </x:c>
    </x:row>
    <x:row r="115" ht="56" customHeight="1">
      <x:c r="A115" s="7" t="str">
        <x:v>DP3-B-R3</x:v>
      </x:c>
      <x:c r="B115" s="7" t="str">
        <x:v>U14</x:v>
      </x:c>
      <x:c r="C115" s="7" t="str">
        <x:v>아까 구성이 좋다고 했던 자료의 형식으로 이번 조사를 정리해줘.</x:v>
      </x:c>
      <x:c r="D115" s="14" t="n">
        <x:v>0</x:v>
      </x:c>
      <x:c r="E115" s="14" t="n">
        <x:v>0</x:v>
      </x:c>
      <x:c r="F115" s="14" t="n">
        <x:v>1.95</x:v>
      </x:c>
      <x:c r="G115" s="14" t="n">
        <x:f>F115-E115</x:f>
        <x:v>1.95</x:v>
      </x:c>
      <x:c r="H115" s="14" t="n">
        <x:f>'처리단계'!L1657</x:f>
        <x:v>3.838</x:v>
      </x:c>
      <x:c r="I115" s="16" t="n">
        <x:f>SUM('비용원장'!H806:H812)</x:f>
        <x:v>0.024328</x:v>
      </x:c>
      <x:c r="J115" s="14" t="n">
        <x:f>SUM('메모리상태'!E868:E874)</x:f>
        <x:v>598</x:v>
      </x:c>
      <x:c r="K115" s="14" t="n">
        <x:v>2.384</x:v>
      </x:c>
      <x:c r="L115" s="7" t="str">
        <x:v>CONDITIONAL_NORMAL_PATH_SIMULATION</x:v>
      </x:c>
    </x:row>
    <x:row r="116" ht="56" customHeight="1">
      <x:c r="A116" s="12" t="str">
        <x:v>DP3-B-R3</x:v>
      </x:c>
      <x:c r="B116" s="12" t="str">
        <x:v>U15</x:v>
      </x:c>
      <x:c r="C116" s="12" t="str">
        <x:v>지난번 확정했던 D2 형식을 이번 자료에도 적용해줘.</x:v>
      </x:c>
      <x:c r="D116" s="13" t="n">
        <x:v>0</x:v>
      </x:c>
      <x:c r="E116" s="13" t="n">
        <x:v>0</x:v>
      </x:c>
      <x:c r="F116" s="13" t="n">
        <x:v>1.3100000000000003</x:v>
      </x:c>
      <x:c r="G116" s="13" t="n">
        <x:f>F116-E116</x:f>
        <x:v>1.3100000000000003</x:v>
      </x:c>
      <x:c r="H116" s="13" t="n">
        <x:f>'처리단계'!L1672</x:f>
        <x:v>3.1980000000000004</x:v>
      </x:c>
      <x:c r="I116" s="15" t="n">
        <x:f>SUM('비용원장'!H813:H818)</x:f>
        <x:v>0.018928</x:v>
      </x:c>
      <x:c r="J116" s="13" t="n">
        <x:f>SUM('메모리상태'!E875:E881)</x:f>
        <x:v>588.4</x:v>
      </x:c>
      <x:c r="K116" s="13" t="n">
        <x:v>1.7440000000000002</x:v>
      </x:c>
      <x:c r="L116" s="12" t="str">
        <x:v>CONDITIONAL_NORMAL_PATH_SIMULATION</x:v>
      </x:c>
    </x:row>
    <x:row r="117" ht="56" customHeight="1">
      <x:c r="A117" s="7" t="str">
        <x:v>DP3-B-R3</x:v>
      </x:c>
      <x:c r="B117" s="7" t="str">
        <x:v>U16</x:v>
      </x:c>
      <x:c r="C117" s="7" t="str">
        <x:v>방금 정정한 피드백을 반영해 내부 회의용으로 다시 만들어줘.</x:v>
      </x:c>
      <x:c r="D117" s="14" t="n">
        <x:v>-6</x:v>
      </x:c>
      <x:c r="E117" s="14" t="n">
        <x:v>0</x:v>
      </x:c>
      <x:c r="F117" s="14" t="n">
        <x:v>1.95</x:v>
      </x:c>
      <x:c r="G117" s="14" t="n">
        <x:f>F117-E117</x:f>
        <x:v>1.95</x:v>
      </x:c>
      <x:c r="H117" s="14" t="n">
        <x:f>'처리단계'!L1688</x:f>
        <x:v>5.838</x:v>
      </x:c>
      <x:c r="I117" s="16" t="n">
        <x:f>SUM('비용원장'!H819:H825)</x:f>
        <x:v>0.024328</x:v>
      </x:c>
      <x:c r="J117" s="14" t="n">
        <x:f>SUM('메모리상태'!E882:E888)</x:f>
        <x:v>598</x:v>
      </x:c>
      <x:c r="K117" s="14" t="n">
        <x:v>2.384</x:v>
      </x:c>
      <x:c r="L117" s="7" t="str">
        <x:v>CONDITIONAL_NORMAL_PATH_SIMULATION</x:v>
      </x:c>
    </x:row>
    <x:row r="118" ht="56" customHeight="1">
      <x:c r="A118" s="12" t="str">
        <x:v>DP3-B-R3</x:v>
      </x:c>
      <x:c r="B118" s="12" t="str">
        <x:v>U17</x:v>
      </x:c>
      <x:c r="C118" s="12" t="str">
        <x:v>대기 중인 메일 질문부터 읽어줘.</x:v>
      </x:c>
      <x:c r="D118" s="13" t="n">
        <x:v>0</x:v>
      </x:c>
      <x:c r="E118" s="13" t="n">
        <x:v>0</x:v>
      </x:c>
      <x:c r="F118" s="13" t="n">
        <x:v>1.55</x:v>
      </x:c>
      <x:c r="G118" s="13" t="n">
        <x:f>F118-E118</x:f>
        <x:v>1.55</x:v>
      </x:c>
      <x:c r="H118" s="13" t="n">
        <x:f>'처리단계'!L1699</x:f>
        <x:v>1.55</x:v>
      </x:c>
      <x:c r="I118" s="15" t="n">
        <x:f>SUM('비용원장'!H826:H830)</x:f>
        <x:v>0.01992</x:v>
      </x:c>
      <x:c r="J118" s="13" t="n">
        <x:f>SUM('메모리상태'!E889:E895)</x:f>
        <x:v>588.784</x:v>
      </x:c>
      <x:c r="K118" s="13" t="n">
        <x:v>1.55</x:v>
      </x:c>
      <x:c r="L118" s="12" t="str">
        <x:v>CONDITIONAL_NORMAL_PATH_SIMULATION</x:v>
      </x:c>
    </x:row>
    <x:row r="119" ht="56" customHeight="1">
      <x:c r="A119" s="7" t="str">
        <x:v>DP3-B-R3</x:v>
      </x:c>
      <x:c r="B119" s="7" t="str">
        <x:v>U18</x:v>
      </x:c>
      <x:c r="C119" s="7" t="str">
        <x:v>보고서 안내는 철회하고 메일 질문만 읽어줘.</x:v>
      </x:c>
      <x:c r="D119" s="14" t="n">
        <x:v>0</x:v>
      </x:c>
      <x:c r="E119" s="14" t="n">
        <x:v>0</x:v>
      </x:c>
      <x:c r="F119" s="14" t="n">
        <x:v>1.55</x:v>
      </x:c>
      <x:c r="G119" s="14" t="n">
        <x:f>F119-E119</x:f>
        <x:v>1.55</x:v>
      </x:c>
      <x:c r="H119" s="14" t="n">
        <x:f>'처리단계'!L1711</x:f>
        <x:v>1.55</x:v>
      </x:c>
      <x:c r="I119" s="16" t="n">
        <x:f>SUM('비용원장'!H831:H837)</x:f>
        <x:v>0.04000000000000001</x:v>
      </x:c>
      <x:c r="J119" s="14" t="n">
        <x:f>SUM('메모리상태'!E896:E902)</x:f>
        <x:v>589.264</x:v>
      </x:c>
      <x:c r="K119" s="14" t="n">
        <x:v>1.55</x:v>
      </x:c>
      <x:c r="L119" s="7" t="str">
        <x:v>CONDITIONAL_NORMAL_PATH_SIMULATION</x:v>
      </x:c>
    </x:row>
    <x:row r="120" ht="56" customHeight="1">
      <x:c r="A120" s="12" t="str">
        <x:v>DP3-B-R3</x:v>
      </x:c>
      <x:c r="B120" s="12" t="str">
        <x:v>U19</x:v>
      </x:c>
      <x:c r="C120" s="12" t="str">
        <x:v>메일 질문을 먼저 읽고 중단한 설명으로 돌아가줘.</x:v>
      </x:c>
      <x:c r="D120" s="13" t="n">
        <x:v>0</x:v>
      </x:c>
      <x:c r="E120" s="13" t="n">
        <x:v>0</x:v>
      </x:c>
      <x:c r="F120" s="13" t="n">
        <x:v>1.55</x:v>
      </x:c>
      <x:c r="G120" s="13" t="n">
        <x:f>F120-E120</x:f>
        <x:v>1.55</x:v>
      </x:c>
      <x:c r="H120" s="13" t="n">
        <x:f>'처리단계'!L1724</x:f>
        <x:v>7.428000000000001</x:v>
      </x:c>
      <x:c r="I120" s="15" t="n">
        <x:f>SUM('비용원장'!H838:H844)</x:f>
        <x:v>0.088192</x:v>
      </x:c>
      <x:c r="J120" s="13" t="n">
        <x:f>SUM('메모리상태'!E903:E909)</x:f>
        <x:v>589.27398399808</x:v>
      </x:c>
      <x:c r="K120" s="13" t="n">
        <x:v>1.55</x:v>
      </x:c>
      <x:c r="L120" s="12" t="str">
        <x:v>CONDITIONAL_NORMAL_PATH_SIMULATION</x:v>
      </x:c>
    </x:row>
    <x:row r="121" ht="56" customHeight="1">
      <x:c r="A121" s="7" t="str">
        <x:v>DP3-B-R3</x:v>
      </x:c>
      <x:c r="B121" s="7" t="str">
        <x:v>U20</x:v>
      </x:c>
      <x:c r="C121" s="7" t="str">
        <x:v>완성된 설명을 멈춘 위치부터 이어 읽어줘.</x:v>
      </x:c>
      <x:c r="D121" s="14" t="n">
        <x:v>0</x:v>
      </x:c>
      <x:c r="E121" s="14" t="n">
        <x:v>0</x:v>
      </x:c>
      <x:c r="F121" s="14" t="n">
        <x:v>1.55</x:v>
      </x:c>
      <x:c r="G121" s="14" t="n">
        <x:f>F121-E121</x:f>
        <x:v>1.55</x:v>
      </x:c>
      <x:c r="H121" s="14" t="n">
        <x:f>'처리단계'!L1733</x:f>
        <x:v>1.55</x:v>
      </x:c>
      <x:c r="I121" s="16" t="n">
        <x:f>SUM('비용원장'!H845:H847)</x:f>
        <x:v>0.003856</x:v>
      </x:c>
      <x:c r="J121" s="14" t="n">
        <x:f>SUM('메모리상태'!E910:E916)</x:f>
        <x:v>588.976</x:v>
      </x:c>
      <x:c r="K121" s="14" t="n">
        <x:v>1.55</x:v>
      </x:c>
      <x:c r="L121" s="7" t="str">
        <x:v>CONDITIONAL_NORMAL_PATH_SIMULATION</x:v>
      </x:c>
    </x:row>
    <x:row r="122" ht="56" customHeight="1">
      <x:c r="A122" s="12" t="str">
        <x:v>DP3-B-R3</x:v>
      </x:c>
      <x:c r="B122" s="12" t="str">
        <x:v>U21</x:v>
      </x:c>
      <x:c r="C122" s="12" t="str">
        <x:v>선택한 두 견적을 아까 좋다고 한 표 형식으로 비교해줘. 보고서는 계속해.</x:v>
      </x:c>
      <x:c r="D122" s="13" t="n">
        <x:v>0</x:v>
      </x:c>
      <x:c r="E122" s="13" t="n">
        <x:v>0</x:v>
      </x:c>
      <x:c r="F122" s="13" t="n">
        <x:v>5.996666666666667</x:v>
      </x:c>
      <x:c r="G122" s="13" t="n">
        <x:f>F122-E122</x:f>
        <x:v>5.996666666666667</x:v>
      </x:c>
      <x:c r="H122" s="13" t="n">
        <x:f>'처리단계'!L1753</x:f>
        <x:v>7.884666666666667</x:v>
      </x:c>
      <x:c r="I122" s="15" t="n">
        <x:f>SUM('비용원장'!H848:H856)</x:f>
        <x:v>0.027008</x:v>
      </x:c>
      <x:c r="J122" s="13" t="n">
        <x:f>SUM('메모리상태'!E917:E929)</x:f>
        <x:v>1794.8</x:v>
      </x:c>
      <x:c r="K122" s="13" t="n">
        <x:v>6.430666666666667</x:v>
      </x:c>
      <x:c r="L122" s="12" t="str">
        <x:v>CONDITIONAL_NORMAL_PATH_SIMULATION</x:v>
      </x:c>
    </x:row>
    <x:row r="123" ht="56" customHeight="1">
      <x:c r="A123" s="7" t="str">
        <x:v>DP3-B-R3</x:v>
      </x:c>
      <x:c r="B123" s="7" t="str">
        <x:v>U22</x:v>
      </x:c>
      <x:c r="C123" s="7" t="str">
        <x:v>새 화면의 두 카드를 비교하고 일정 질문부터 읽어줘.</x:v>
      </x:c>
      <x:c r="D123" s="14" t="n">
        <x:v>0</x:v>
      </x:c>
      <x:c r="E123" s="14" t="n">
        <x:v>0</x:v>
      </x:c>
      <x:c r="F123" s="14" t="n">
        <x:v>3.2966666666666664</x:v>
      </x:c>
      <x:c r="G123" s="14" t="n">
        <x:f>F123-E123</x:f>
        <x:v>3.2966666666666664</x:v>
      </x:c>
      <x:c r="H123" s="14" t="n">
        <x:f>'처리단계'!L1776</x:f>
        <x:v>5.184666666666667</x:v>
      </x:c>
      <x:c r="I123" s="16" t="n">
        <x:f>SUM('비용원장'!H857:H865)</x:f>
        <x:v>0.029848</x:v>
      </x:c>
      <x:c r="J123" s="14" t="n">
        <x:f>SUM('메모리상태'!E930:E939)</x:f>
        <x:v>1732</x:v>
      </x:c>
      <x:c r="K123" s="14" t="n">
        <x:v>3.2966666666666664</x:v>
      </x:c>
      <x:c r="L123" s="7" t="str">
        <x:v>CONDITIONAL_NORMAL_PATH_SIMULATION</x:v>
      </x:c>
    </x:row>
    <x:row r="124" ht="56" customHeight="1">
      <x:c r="A124" s="12" t="str">
        <x:v>DP3-B-R3</x:v>
      </x:c>
      <x:c r="B124" s="12" t="str">
        <x:v>U23</x:v>
      </x:c>
      <x:c r="C124" s="12" t="str">
        <x:v>D2에서 확인한 형식으로 새 자료를 만들고 기존 메일 질문을 먼저 읽어줘.</x:v>
      </x:c>
      <x:c r="D124" s="13" t="n">
        <x:v>0</x:v>
      </x:c>
      <x:c r="E124" s="13" t="n">
        <x:v>0</x:v>
      </x:c>
      <x:c r="F124" s="13" t="n">
        <x:v>1.7100000000000002</x:v>
      </x:c>
      <x:c r="G124" s="13" t="n">
        <x:f>F124-E124</x:f>
        <x:v>1.7100000000000002</x:v>
      </x:c>
      <x:c r="H124" s="13" t="n">
        <x:f>'처리단계'!L1792</x:f>
        <x:v>3.598</x:v>
      </x:c>
      <x:c r="I124" s="15" t="n">
        <x:f>SUM('비용원장'!H866:H871)</x:f>
        <x:v>0.027352</x:v>
      </x:c>
      <x:c r="J124" s="13" t="n">
        <x:f>SUM('메모리상태'!E940:E946)</x:f>
        <x:v>598.288</x:v>
      </x:c>
      <x:c r="K124" s="13" t="n">
        <x:v>1.7100000000000002</x:v>
      </x:c>
      <x:c r="L124" s="12" t="str">
        <x:v>CONDITIONAL_NORMAL_PATH_SIMULATION</x:v>
      </x:c>
    </x:row>
    <x:row r="125" ht="56" customHeight="1">
      <x:c r="A125" s="7" t="str">
        <x:v>DP3-B-R3</x:v>
      </x:c>
      <x:c r="B125" s="7" t="str">
        <x:v>U24</x:v>
      </x:c>
      <x:c r="C125" s="7" t="str">
        <x:v>지금 가리킨 두 항목을 방금 정정한 조건으로 비교해줘.</x:v>
      </x:c>
      <x:c r="D125" s="14" t="n">
        <x:v>-6</x:v>
      </x:c>
      <x:c r="E125" s="14" t="n">
        <x:v>0</x:v>
      </x:c>
      <x:c r="F125" s="14" t="n">
        <x:v>16.996666666666666</x:v>
      </x:c>
      <x:c r="G125" s="14" t="n">
        <x:f>F125-E125</x:f>
        <x:v>16.996666666666666</x:v>
      </x:c>
      <x:c r="H125" s="14" t="n">
        <x:f>'처리단계'!L1824</x:f>
        <x:v>20.884666666666668</x:v>
      </x:c>
      <x:c r="I125" s="16" t="n">
        <x:f>SUM('비용원장'!H872:H882)</x:f>
        <x:v>0.030195999999999997</x:v>
      </x:c>
      <x:c r="J125" s="14" t="n">
        <x:f>SUM('메모리상태'!E947:E960)</x:f>
        <x:v>2525</x:v>
      </x:c>
      <x:c r="K125" s="14" t="n">
        <x:v>17.430666666666667</x:v>
      </x:c>
      <x:c r="L125" s="7" t="str">
        <x:v>CONDITIONAL_NORMAL_PATH_SIMULATION</x:v>
      </x:c>
    </x:row>
    <x:row r="126" ht="56" customHeight="1">
      <x:c r="A126" s="12" t="str">
        <x:v>DP5-B</x:v>
      </x:c>
      <x:c r="B126" s="12" t="str">
        <x:v>U01</x:v>
      </x:c>
      <x:c r="C126" s="12" t="str">
        <x:v>TCP와 UDP의 차이를 간단히 설명해줘.</x:v>
      </x:c>
      <x:c r="D126" s="13" t="n">
        <x:v>0</x:v>
      </x:c>
      <x:c r="E126" s="13" t="n">
        <x:v>0</x:v>
      </x:c>
      <x:c r="F126" s="13" t="n">
        <x:v>1.3100000000000003</x:v>
      </x:c>
      <x:c r="G126" s="13" t="n">
        <x:f>F126-E126</x:f>
        <x:v>1.3100000000000003</x:v>
      </x:c>
      <x:c r="H126" s="13" t="n">
        <x:f>'처리단계'!L1834</x:f>
        <x:v>3.1580000000000004</x:v>
      </x:c>
      <x:c r="I126" s="15" t="n">
        <x:f>SUM('비용원장'!H883:H886)</x:f>
        <x:v>0.012904</x:v>
      </x:c>
      <x:c r="J126" s="13" t="n">
        <x:f>SUM('메모리상태'!E961:E967)</x:f>
        <x:v>588.4</x:v>
      </x:c>
      <x:c r="K126" s="13" t="n">
        <x:v>1.7480000000000002</x:v>
      </x:c>
      <x:c r="L126" s="12" t="str">
        <x:v>CONDITIONAL_NORMAL_PATH_SIMULATION</x:v>
      </x:c>
    </x:row>
    <x:row r="127" ht="56" customHeight="1">
      <x:c r="A127" s="7" t="str">
        <x:v>DP5-B</x:v>
      </x:c>
      <x:c r="B127" s="7" t="str">
        <x:v>U02</x:v>
      </x:c>
      <x:c r="C127" s="7" t="str">
        <x:v>방금 네 설명의 결론만 한 문장으로 말해줘.</x:v>
      </x:c>
      <x:c r="D127" s="14" t="n">
        <x:v>0</x:v>
      </x:c>
      <x:c r="E127" s="14" t="n">
        <x:v>0</x:v>
      </x:c>
      <x:c r="F127" s="14" t="n">
        <x:v>1.55</x:v>
      </x:c>
      <x:c r="G127" s="14" t="n">
        <x:f>F127-E127</x:f>
        <x:v>1.55</x:v>
      </x:c>
      <x:c r="H127" s="14" t="n">
        <x:f>'처리단계'!L1844</x:f>
        <x:v>2.644</x:v>
      </x:c>
      <x:c r="I127" s="16" t="n">
        <x:f>SUM('비용원장'!H887:H891)</x:f>
        <x:v>0.00988</x:v>
      </x:c>
      <x:c r="J127" s="14" t="n">
        <x:f>SUM('메모리상태'!E968:E974)</x:f>
        <x:v>588.4</x:v>
      </x:c>
      <x:c r="K127" s="14" t="n">
        <x:v>1.984</x:v>
      </x:c>
      <x:c r="L127" s="7" t="str">
        <x:v>CONDITIONAL_NORMAL_PATH_SIMULATION</x:v>
      </x:c>
    </x:row>
    <x:row r="128" ht="56" customHeight="1">
      <x:c r="A128" s="12" t="str">
        <x:v>DP5-B</x:v>
      </x:c>
      <x:c r="B128" s="12" t="str">
        <x:v>U03</x:v>
      </x:c>
      <x:c r="C128" s="12" t="str">
        <x:v>자료 D1의 결론을 설명해줘.</x:v>
      </x:c>
      <x:c r="D128" s="13" t="n">
        <x:v>0</x:v>
      </x:c>
      <x:c r="E128" s="13" t="n">
        <x:v>0</x:v>
      </x:c>
      <x:c r="F128" s="13" t="n">
        <x:v>1.3100000000000003</x:v>
      </x:c>
      <x:c r="G128" s="13" t="n">
        <x:f>F128-E128</x:f>
        <x:v>1.3100000000000003</x:v>
      </x:c>
      <x:c r="H128" s="13" t="n">
        <x:f>'처리단계'!L1858</x:f>
        <x:v>4.758</x:v>
      </x:c>
      <x:c r="I128" s="15" t="n">
        <x:f>SUM('비용원장'!H892:H899)</x:f>
        <x:v>0.020512</x:v>
      </x:c>
      <x:c r="J128" s="13" t="n">
        <x:f>SUM('메모리상태'!E975:E981)</x:f>
        <x:v>590.944</x:v>
      </x:c>
      <x:c r="K128" s="13" t="n">
        <x:v>1.7440000000000002</x:v>
      </x:c>
      <x:c r="L128" s="12" t="str">
        <x:v>CONDITIONAL_NORMAL_PATH_SIMULATION</x:v>
      </x:c>
    </x:row>
    <x:row r="129" ht="56" customHeight="1">
      <x:c r="A129" s="7" t="str">
        <x:v>DP5-B</x:v>
      </x:c>
      <x:c r="B129" s="7" t="str">
        <x:v>U04</x:v>
      </x:c>
      <x:c r="C129" s="7" t="str">
        <x:v>조사는 계속하고 TCP의 특징을 알려줘.</x:v>
      </x:c>
      <x:c r="D129" s="14" t="n">
        <x:v>0</x:v>
      </x:c>
      <x:c r="E129" s="14" t="n">
        <x:v>0</x:v>
      </x:c>
      <x:c r="F129" s="14" t="n">
        <x:v>1.55</x:v>
      </x:c>
      <x:c r="G129" s="14" t="n">
        <x:f>F129-E129</x:f>
        <x:v>1.55</x:v>
      </x:c>
      <x:c r="H129" s="14" t="n">
        <x:f>'처리단계'!L1868</x:f>
        <x:v>3.3979999999999997</x:v>
      </x:c>
      <x:c r="I129" s="16" t="n">
        <x:f>SUM('비용원장'!H900:H904)</x:f>
        <x:v>0.015904</x:v>
      </x:c>
      <x:c r="J129" s="14" t="n">
        <x:f>SUM('메모리상태'!E982:E988)</x:f>
        <x:v>588.4</x:v>
      </x:c>
      <x:c r="K129" s="14" t="n">
        <x:v>1.988</x:v>
      </x:c>
      <x:c r="L129" s="7" t="str">
        <x:v>CONDITIONAL_NORMAL_PATH_SIMULATION</x:v>
      </x:c>
    </x:row>
    <x:row r="130" ht="56" customHeight="1">
      <x:c r="A130" s="12" t="str">
        <x:v>DP5-B</x:v>
      </x:c>
      <x:c r="B130" s="12" t="str">
        <x:v>U05</x:v>
      </x:c>
      <x:c r="C130" s="12" t="str">
        <x:v>D1 비교는 계속하고 TCP와 UDP 차이도 알려줘.</x:v>
      </x:c>
      <x:c r="D130" s="13" t="n">
        <x:v>0</x:v>
      </x:c>
      <x:c r="E130" s="13" t="n">
        <x:v>0</x:v>
      </x:c>
      <x:c r="F130" s="13" t="n">
        <x:v>3.57</x:v>
      </x:c>
      <x:c r="G130" s="13" t="n">
        <x:f>F130-E130</x:f>
        <x:v>3.57</x:v>
      </x:c>
      <x:c r="H130" s="13" t="n">
        <x:f>'처리단계'!L1879</x:f>
        <x:v>5.417999999999999</x:v>
      </x:c>
      <x:c r="I130" s="15" t="n">
        <x:f>SUM('비용원장'!H905:H911)</x:f>
        <x:v>0.018064</x:v>
      </x:c>
      <x:c r="J130" s="13" t="n">
        <x:f>SUM('메모리상태'!E989:E995)</x:f>
        <x:v>590.8</x:v>
      </x:c>
      <x:c r="K130" s="13" t="n">
        <x:v>4.008</x:v>
      </x:c>
      <x:c r="L130" s="12" t="str">
        <x:v>CONDITIONAL_NORMAL_PATH_SIMULATION</x:v>
      </x:c>
    </x:row>
    <x:row r="131" ht="56" customHeight="1">
      <x:c r="A131" s="7" t="str">
        <x:v>DP5-B</x:v>
      </x:c>
      <x:c r="B131" s="7" t="str">
        <x:v>U06</x:v>
      </x:c>
      <x:c r="C131" s="7" t="str">
        <x:v>D1 분석은 유지하고 D2의 결론도 설명해줘.</x:v>
      </x:c>
      <x:c r="D131" s="14" t="n">
        <x:v>0</x:v>
      </x:c>
      <x:c r="E131" s="14" t="n">
        <x:v>0</x:v>
      </x:c>
      <x:c r="F131" s="14" t="n">
        <x:v>3.57</x:v>
      </x:c>
      <x:c r="G131" s="14" t="n">
        <x:f>F131-E131</x:f>
        <x:v>3.57</x:v>
      </x:c>
      <x:c r="H131" s="14" t="n">
        <x:f>'처리단계'!L1894</x:f>
        <x:v>7.018</x:v>
      </x:c>
      <x:c r="I131" s="16" t="n">
        <x:f>SUM('비용원장'!H912:H921)</x:f>
        <x:v>0.022671999999999998</x:v>
      </x:c>
      <x:c r="J131" s="14" t="n">
        <x:f>SUM('메모리상태'!E996:E1002)</x:f>
        <x:v>590.944</x:v>
      </x:c>
      <x:c r="K131" s="14" t="n">
        <x:v>4.004</x:v>
      </x:c>
      <x:c r="L131" s="7" t="str">
        <x:v>CONDITIONAL_NORMAL_PATH_SIMULATION</x:v>
      </x:c>
    </x:row>
    <x:row r="132" ht="56" customHeight="1">
      <x:c r="A132" s="12" t="str">
        <x:v>DP5-B</x:v>
      </x:c>
      <x:c r="B132" s="12" t="str">
        <x:v>U07</x:v>
      </x:c>
      <x:c r="C132" s="12" t="str">
        <x:v>진행 중인 일은 유지하고 D2의 핵심도 알려줘.</x:v>
      </x:c>
      <x:c r="D132" s="13" t="n">
        <x:v>0</x:v>
      </x:c>
      <x:c r="E132" s="13" t="n">
        <x:v>0</x:v>
      </x:c>
      <x:c r="F132" s="13" t="n">
        <x:v>3.57</x:v>
      </x:c>
      <x:c r="G132" s="13" t="n">
        <x:f>F132-E132</x:f>
        <x:v>3.57</x:v>
      </x:c>
      <x:c r="H132" s="13" t="n">
        <x:f>'처리단계'!L1910</x:f>
        <x:v>7.018</x:v>
      </x:c>
      <x:c r="I132" s="15" t="n">
        <x:f>SUM('비용원장'!H922:H934)</x:f>
        <x:v>0.027832</x:v>
      </x:c>
      <x:c r="J132" s="13" t="n">
        <x:f>SUM('메모리상태'!E1003:E1010)</x:f>
        <x:v>610.5999999999999</x:v>
      </x:c>
      <x:c r="K132" s="13" t="n">
        <x:v>4.004</x:v>
      </x:c>
      <x:c r="L132" s="12" t="str">
        <x:v>CONDITIONAL_NORMAL_PATH_SIMULATION</x:v>
      </x:c>
    </x:row>
    <x:row r="133" ht="56" customHeight="1">
      <x:c r="A133" s="7" t="str">
        <x:v>DP5-B</x:v>
      </x:c>
      <x:c r="B133" s="7" t="str">
        <x:v>U08</x:v>
      </x:c>
      <x:c r="C133" s="7" t="str">
        <x:v>방금 읽는 D1에서 확인한 수치를 기준으로 범위를 비용만으로 바꿔줘.</x:v>
      </x:c>
      <x:c r="D133" s="14" t="n">
        <x:v>-6</x:v>
      </x:c>
      <x:c r="E133" s="14" t="n">
        <x:v>0</x:v>
      </x:c>
      <x:c r="F133" s="14" t="n">
        <x:v>3.57</x:v>
      </x:c>
      <x:c r="G133" s="14" t="n">
        <x:f>F133-E133</x:f>
        <x:v>3.57</x:v>
      </x:c>
      <x:c r="H133" s="14" t="n">
        <x:f>'처리단계'!L1926</x:f>
        <x:v>10.017999999999999</x:v>
      </x:c>
      <x:c r="I133" s="16" t="n">
        <x:f>SUM('비용원장'!H935:H944)</x:f>
        <x:v>0.022671999999999998</x:v>
      </x:c>
      <x:c r="J133" s="14" t="n">
        <x:f>SUM('메모리상태'!E1011:E1017)</x:f>
        <x:v>590.944</x:v>
      </x:c>
      <x:c r="K133" s="14" t="n">
        <x:v>4.004</x:v>
      </x:c>
      <x:c r="L133" s="7" t="str">
        <x:v>CONDITIONAL_NORMAL_PATH_SIMULATION</x:v>
      </x:c>
    </x:row>
    <x:row r="134" ht="56" customHeight="1">
      <x:c r="A134" s="12" t="str">
        <x:v>DP5-B</x:v>
      </x:c>
      <x:c r="B134" s="12" t="str">
        <x:v>U09</x:v>
      </x:c>
      <x:c r="C134" s="12" t="str">
        <x:v>선택한 두 견적을 비교해줘.</x:v>
      </x:c>
      <x:c r="D134" s="13" t="n">
        <x:v>0</x:v>
      </x:c>
      <x:c r="E134" s="13" t="n">
        <x:v>0</x:v>
      </x:c>
      <x:c r="F134" s="13" t="n">
        <x:v>1.6300000000000001</x:v>
      </x:c>
      <x:c r="G134" s="13" t="n">
        <x:f>F134-E134</x:f>
        <x:v>1.6300000000000001</x:v>
      </x:c>
      <x:c r="H134" s="13" t="n">
        <x:f>'처리단계'!L1942</x:f>
        <x:v>3.518</x:v>
      </x:c>
      <x:c r="I134" s="15" t="n">
        <x:f>SUM('비용원장'!H945:H951)</x:f>
        <x:v>0.021928</x:v>
      </x:c>
      <x:c r="J134" s="13" t="n">
        <x:f>SUM('메모리상태'!E1018:E1024)</x:f>
        <x:v>588.4</x:v>
      </x:c>
      <x:c r="K134" s="13" t="n">
        <x:v>2.064</x:v>
      </x:c>
      <x:c r="L134" s="12" t="str">
        <x:v>CONDITIONAL_NORMAL_PATH_SIMULATION</x:v>
      </x:c>
    </x:row>
    <x:row r="135" ht="56" customHeight="1">
      <x:c r="A135" s="7" t="str">
        <x:v>DP5-B</x:v>
      </x:c>
      <x:c r="B135" s="7" t="str">
        <x:v>U10</x:v>
      </x:c>
      <x:c r="C135" s="7" t="str">
        <x:v>내가 원으로 표시한 두 카드를 비교해줘.</x:v>
      </x:c>
      <x:c r="D135" s="14" t="n">
        <x:v>0</x:v>
      </x:c>
      <x:c r="E135" s="14" t="n">
        <x:v>0</x:v>
      </x:c>
      <x:c r="F135" s="14" t="n">
        <x:v>1.8500000000000003</x:v>
      </x:c>
      <x:c r="G135" s="14" t="n">
        <x:f>F135-E135</x:f>
        <x:v>1.8500000000000003</x:v>
      </x:c>
      <x:c r="H135" s="14" t="n">
        <x:f>'처리단계'!L1957</x:f>
        <x:v>3.7380000000000004</x:v>
      </x:c>
      <x:c r="I135" s="16" t="n">
        <x:f>SUM('비용원장'!H952:H958)</x:f>
        <x:v>0.023728</x:v>
      </x:c>
      <x:c r="J135" s="14" t="n">
        <x:f>SUM('메모리상태'!E1025:E1032)</x:f>
        <x:v>627.6</x:v>
      </x:c>
      <x:c r="K135" s="14" t="n">
        <x:v>2.2840000000000003</x:v>
      </x:c>
      <x:c r="L135" s="7" t="str">
        <x:v>CONDITIONAL_NORMAL_PATH_SIMULATION</x:v>
      </x:c>
    </x:row>
    <x:row r="136" ht="56" customHeight="1">
      <x:c r="A136" s="12" t="str">
        <x:v>DP5-B</x:v>
      </x:c>
      <x:c r="B136" s="12" t="str">
        <x:v>U11</x:v>
      </x:c>
      <x:c r="C136" s="12" t="str">
        <x:v>처음 가리킨 견적과 화면 이동 뒤 가리킨 견적을 비교해줘.</x:v>
      </x:c>
      <x:c r="D136" s="13" t="n">
        <x:v>0</x:v>
      </x:c>
      <x:c r="E136" s="13" t="n">
        <x:v>0</x:v>
      </x:c>
      <x:c r="F136" s="13" t="n">
        <x:v>2.15</x:v>
      </x:c>
      <x:c r="G136" s="13" t="n">
        <x:f>F136-E136</x:f>
        <x:v>2.15</x:v>
      </x:c>
      <x:c r="H136" s="13" t="n">
        <x:f>'처리단계'!L1972</x:f>
        <x:v>4.038</x:v>
      </x:c>
      <x:c r="I136" s="15" t="n">
        <x:f>SUM('비용원장'!H959:H965)</x:f>
        <x:v>0.025528</x:v>
      </x:c>
      <x:c r="J136" s="13" t="n">
        <x:f>SUM('메모리상태'!E1033:E1040)</x:f>
        <x:v>634.8</x:v>
      </x:c>
      <x:c r="K136" s="13" t="n">
        <x:v>2.584</x:v>
      </x:c>
      <x:c r="L136" s="12" t="str">
        <x:v>CONDITIONAL_NORMAL_PATH_SIMULATION</x:v>
      </x:c>
    </x:row>
    <x:row r="137" ht="56" customHeight="1">
      <x:c r="A137" s="7" t="str">
        <x:v>DP5-B</x:v>
      </x:c>
      <x:c r="B137" s="7" t="str">
        <x:v>U12</x:v>
      </x:c>
      <x:c r="C137" s="7" t="str">
        <x:v>같은 화면에서 확정한 두 견적의 납기만 비교해줘.</x:v>
      </x:c>
      <x:c r="D137" s="14" t="n">
        <x:v>0</x:v>
      </x:c>
      <x:c r="E137" s="14" t="n">
        <x:v>0</x:v>
      </x:c>
      <x:c r="F137" s="14" t="n">
        <x:v>1.6300000000000001</x:v>
      </x:c>
      <x:c r="G137" s="14" t="n">
        <x:f>F137-E137</x:f>
        <x:v>1.6300000000000001</x:v>
      </x:c>
      <x:c r="H137" s="14" t="n">
        <x:f>'처리단계'!L1989</x:f>
        <x:v>3.518</x:v>
      </x:c>
      <x:c r="I137" s="16" t="n">
        <x:f>SUM('비용원장'!H966:H974)</x:f>
        <x:v>0.024583999999999998</x:v>
      </x:c>
      <x:c r="J137" s="14" t="n">
        <x:f>SUM('메모리상태'!E1041:E1047)</x:f>
        <x:v>588.4</x:v>
      </x:c>
      <x:c r="K137" s="14" t="n">
        <x:v>2.064</x:v>
      </x:c>
      <x:c r="L137" s="7" t="str">
        <x:v>CONDITIONAL_NORMAL_PATH_SIMULATION</x:v>
      </x:c>
    </x:row>
    <x:row r="138" ht="56" customHeight="1">
      <x:c r="A138" s="12" t="str">
        <x:v>DP5-B</x:v>
      </x:c>
      <x:c r="B138" s="12" t="str">
        <x:v>U13</x:v>
      </x:c>
      <x:c r="C138" s="12" t="str">
        <x:v>자료 D2를 작성한 Agent에게 새 발표를 맡겨줘.</x:v>
      </x:c>
      <x:c r="D138" s="13" t="n">
        <x:v>0</x:v>
      </x:c>
      <x:c r="E138" s="13" t="n">
        <x:v>0</x:v>
      </x:c>
      <x:c r="F138" s="13" t="n">
        <x:v>1.3100000000000003</x:v>
      </x:c>
      <x:c r="G138" s="13" t="n">
        <x:f>F138-E138</x:f>
        <x:v>1.3100000000000003</x:v>
      </x:c>
      <x:c r="H138" s="13" t="n">
        <x:f>'처리단계'!L2004</x:f>
        <x:v>3.1980000000000004</x:v>
      </x:c>
      <x:c r="I138" s="15" t="n">
        <x:f>SUM('비용원장'!H975:H980)</x:f>
        <x:v>0.018928</x:v>
      </x:c>
      <x:c r="J138" s="13" t="n">
        <x:f>SUM('메모리상태'!E1048:E1054)</x:f>
        <x:v>588.4</x:v>
      </x:c>
      <x:c r="K138" s="13" t="n">
        <x:v>1.7440000000000002</x:v>
      </x:c>
      <x:c r="L138" s="12" t="str">
        <x:v>CONDITIONAL_NORMAL_PATH_SIMULATION</x:v>
      </x:c>
    </x:row>
    <x:row r="139" ht="56" customHeight="1">
      <x:c r="A139" s="7" t="str">
        <x:v>DP5-B</x:v>
      </x:c>
      <x:c r="B139" s="7" t="str">
        <x:v>U14</x:v>
      </x:c>
      <x:c r="C139" s="7" t="str">
        <x:v>아까 구성이 좋다고 했던 자료의 형식으로 이번 조사를 정리해줘.</x:v>
      </x:c>
      <x:c r="D139" s="14" t="n">
        <x:v>0</x:v>
      </x:c>
      <x:c r="E139" s="14" t="n">
        <x:v>0</x:v>
      </x:c>
      <x:c r="F139" s="14" t="n">
        <x:v>1.61</x:v>
      </x:c>
      <x:c r="G139" s="14" t="n">
        <x:f>F139-E139</x:f>
        <x:v>1.61</x:v>
      </x:c>
      <x:c r="H139" s="14" t="n">
        <x:f>'처리단계'!L2021</x:f>
        <x:v>3.498</x:v>
      </x:c>
      <x:c r="I139" s="16" t="n">
        <x:f>SUM('비용원장'!H981:H991)</x:f>
        <x:v>0.026848</x:v>
      </x:c>
      <x:c r="J139" s="14" t="n">
        <x:f>SUM('메모리상태'!E1055:E1064)</x:f>
        <x:v>680.4000000000001</x:v>
      </x:c>
      <x:c r="K139" s="14" t="n">
        <x:v>2.044</x:v>
      </x:c>
      <x:c r="L139" s="7" t="str">
        <x:v>CONDITIONAL_NORMAL_PATH_SIMULATION</x:v>
      </x:c>
    </x:row>
    <x:row r="140" ht="56" customHeight="1">
      <x:c r="A140" s="12" t="str">
        <x:v>DP5-B</x:v>
      </x:c>
      <x:c r="B140" s="12" t="str">
        <x:v>U15</x:v>
      </x:c>
      <x:c r="C140" s="12" t="str">
        <x:v>지난번 확정했던 D2 형식을 이번 자료에도 적용해줘.</x:v>
      </x:c>
      <x:c r="D140" s="13" t="n">
        <x:v>0</x:v>
      </x:c>
      <x:c r="E140" s="13" t="n">
        <x:v>0</x:v>
      </x:c>
      <x:c r="F140" s="13" t="n">
        <x:v>1.3100000000000003</x:v>
      </x:c>
      <x:c r="G140" s="13" t="n">
        <x:f>F140-E140</x:f>
        <x:v>1.3100000000000003</x:v>
      </x:c>
      <x:c r="H140" s="13" t="n">
        <x:f>'처리단계'!L2036</x:f>
        <x:v>3.1980000000000004</x:v>
      </x:c>
      <x:c r="I140" s="15" t="n">
        <x:f>SUM('비용원장'!H992:H997)</x:f>
        <x:v>0.018928</x:v>
      </x:c>
      <x:c r="J140" s="13" t="n">
        <x:f>SUM('메모리상태'!E1065:E1071)</x:f>
        <x:v>588.4</x:v>
      </x:c>
      <x:c r="K140" s="13" t="n">
        <x:v>1.7440000000000002</x:v>
      </x:c>
      <x:c r="L140" s="12" t="str">
        <x:v>CONDITIONAL_NORMAL_PATH_SIMULATION</x:v>
      </x:c>
    </x:row>
    <x:row r="141" ht="56" customHeight="1">
      <x:c r="A141" s="7" t="str">
        <x:v>DP5-B</x:v>
      </x:c>
      <x:c r="B141" s="7" t="str">
        <x:v>U16</x:v>
      </x:c>
      <x:c r="C141" s="7" t="str">
        <x:v>방금 정정한 피드백을 반영해 내부 회의용으로 다시 만들어줘.</x:v>
      </x:c>
      <x:c r="D141" s="14" t="n">
        <x:v>-6</x:v>
      </x:c>
      <x:c r="E141" s="14" t="n">
        <x:v>0</x:v>
      </x:c>
      <x:c r="F141" s="14" t="n">
        <x:v>1.95</x:v>
      </x:c>
      <x:c r="G141" s="14" t="n">
        <x:f>F141-E141</x:f>
        <x:v>1.95</x:v>
      </x:c>
      <x:c r="H141" s="14" t="n">
        <x:f>'처리단계'!L2055</x:f>
        <x:v>5.838</x:v>
      </x:c>
      <x:c r="I141" s="16" t="n">
        <x:f>SUM('비용원장'!H998:H1010)</x:f>
        <x:v>0.031167999999999998</x:v>
      </x:c>
      <x:c r="J141" s="14" t="n">
        <x:f>SUM('메모리상태'!E1072:E1081)</x:f>
        <x:v>680.4000000000001</x:v>
      </x:c>
      <x:c r="K141" s="14" t="n">
        <x:v>2.384</x:v>
      </x:c>
      <x:c r="L141" s="7" t="str">
        <x:v>CONDITIONAL_NORMAL_PATH_SIMULATION</x:v>
      </x:c>
    </x:row>
    <x:row r="142" ht="56" customHeight="1">
      <x:c r="A142" s="12" t="str">
        <x:v>DP5-B</x:v>
      </x:c>
      <x:c r="B142" s="12" t="str">
        <x:v>U17</x:v>
      </x:c>
      <x:c r="C142" s="12" t="str">
        <x:v>대기 중인 메일 질문부터 읽어줘.</x:v>
      </x:c>
      <x:c r="D142" s="13" t="n">
        <x:v>0</x:v>
      </x:c>
      <x:c r="E142" s="13" t="n">
        <x:v>0</x:v>
      </x:c>
      <x:c r="F142" s="13" t="n">
        <x:v>1.55</x:v>
      </x:c>
      <x:c r="G142" s="13" t="n">
        <x:f>F142-E142</x:f>
        <x:v>1.55</x:v>
      </x:c>
      <x:c r="H142" s="13" t="n">
        <x:f>'처리단계'!L2066</x:f>
        <x:v>1.55</x:v>
      </x:c>
      <x:c r="I142" s="15" t="n">
        <x:f>SUM('비용원장'!H1011:H1015)</x:f>
        <x:v>0.01992</x:v>
      </x:c>
      <x:c r="J142" s="13" t="n">
        <x:f>SUM('메모리상태'!E1082:E1088)</x:f>
        <x:v>588.784</x:v>
      </x:c>
      <x:c r="K142" s="13" t="n">
        <x:v>1.55</x:v>
      </x:c>
      <x:c r="L142" s="12" t="str">
        <x:v>CONDITIONAL_NORMAL_PATH_SIMULATION</x:v>
      </x:c>
    </x:row>
    <x:row r="143" ht="56" customHeight="1">
      <x:c r="A143" s="7" t="str">
        <x:v>DP5-B</x:v>
      </x:c>
      <x:c r="B143" s="7" t="str">
        <x:v>U18</x:v>
      </x:c>
      <x:c r="C143" s="7" t="str">
        <x:v>보고서 안내는 철회하고 메일 질문만 읽어줘.</x:v>
      </x:c>
      <x:c r="D143" s="14" t="n">
        <x:v>0</x:v>
      </x:c>
      <x:c r="E143" s="14" t="n">
        <x:v>0</x:v>
      </x:c>
      <x:c r="F143" s="14" t="n">
        <x:v>1.55</x:v>
      </x:c>
      <x:c r="G143" s="14" t="n">
        <x:f>F143-E143</x:f>
        <x:v>1.55</x:v>
      </x:c>
      <x:c r="H143" s="14" t="n">
        <x:f>'처리단계'!L2078</x:f>
        <x:v>1.55</x:v>
      </x:c>
      <x:c r="I143" s="16" t="n">
        <x:f>SUM('비용원장'!H1016:H1022)</x:f>
        <x:v>0.04000000000000001</x:v>
      </x:c>
      <x:c r="J143" s="14" t="n">
        <x:f>SUM('메모리상태'!E1089:E1095)</x:f>
        <x:v>589.264</x:v>
      </x:c>
      <x:c r="K143" s="14" t="n">
        <x:v>1.55</x:v>
      </x:c>
      <x:c r="L143" s="7" t="str">
        <x:v>CONDITIONAL_NORMAL_PATH_SIMULATION</x:v>
      </x:c>
    </x:row>
    <x:row r="144" ht="56" customHeight="1">
      <x:c r="A144" s="12" t="str">
        <x:v>DP5-B</x:v>
      </x:c>
      <x:c r="B144" s="12" t="str">
        <x:v>U19</x:v>
      </x:c>
      <x:c r="C144" s="12" t="str">
        <x:v>메일 질문을 먼저 읽고 중단한 설명으로 돌아가줘.</x:v>
      </x:c>
      <x:c r="D144" s="13" t="n">
        <x:v>0</x:v>
      </x:c>
      <x:c r="E144" s="13" t="n">
        <x:v>0</x:v>
      </x:c>
      <x:c r="F144" s="13" t="n">
        <x:v>1.55</x:v>
      </x:c>
      <x:c r="G144" s="13" t="n">
        <x:f>F144-E144</x:f>
        <x:v>1.55</x:v>
      </x:c>
      <x:c r="H144" s="13" t="n">
        <x:f>'처리단계'!L2091</x:f>
        <x:v>7.428000000000001</x:v>
      </x:c>
      <x:c r="I144" s="15" t="n">
        <x:f>SUM('비용원장'!H1023:H1029)</x:f>
        <x:v>0.088192</x:v>
      </x:c>
      <x:c r="J144" s="13" t="n">
        <x:f>SUM('메모리상태'!E1096:E1102)</x:f>
        <x:v>589.27398399808</x:v>
      </x:c>
      <x:c r="K144" s="13" t="n">
        <x:v>1.55</x:v>
      </x:c>
      <x:c r="L144" s="12" t="str">
        <x:v>CONDITIONAL_NORMAL_PATH_SIMULATION</x:v>
      </x:c>
    </x:row>
    <x:row r="145" ht="56" customHeight="1">
      <x:c r="A145" s="7" t="str">
        <x:v>DP5-B</x:v>
      </x:c>
      <x:c r="B145" s="7" t="str">
        <x:v>U20</x:v>
      </x:c>
      <x:c r="C145" s="7" t="str">
        <x:v>완성된 설명을 멈춘 위치부터 이어 읽어줘.</x:v>
      </x:c>
      <x:c r="D145" s="14" t="n">
        <x:v>0</x:v>
      </x:c>
      <x:c r="E145" s="14" t="n">
        <x:v>0</x:v>
      </x:c>
      <x:c r="F145" s="14" t="n">
        <x:v>1.55</x:v>
      </x:c>
      <x:c r="G145" s="14" t="n">
        <x:f>F145-E145</x:f>
        <x:v>1.55</x:v>
      </x:c>
      <x:c r="H145" s="14" t="n">
        <x:f>'처리단계'!L2100</x:f>
        <x:v>1.55</x:v>
      </x:c>
      <x:c r="I145" s="16" t="n">
        <x:f>SUM('비용원장'!H1030:H1032)</x:f>
        <x:v>0.003856</x:v>
      </x:c>
      <x:c r="J145" s="14" t="n">
        <x:f>SUM('메모리상태'!E1103:E1109)</x:f>
        <x:v>588.976</x:v>
      </x:c>
      <x:c r="K145" s="14" t="n">
        <x:v>1.55</x:v>
      </x:c>
      <x:c r="L145" s="7" t="str">
        <x:v>CONDITIONAL_NORMAL_PATH_SIMULATION</x:v>
      </x:c>
    </x:row>
    <x:row r="146" ht="56" customHeight="1">
      <x:c r="A146" s="12" t="str">
        <x:v>DP5-B</x:v>
      </x:c>
      <x:c r="B146" s="12" t="str">
        <x:v>U21</x:v>
      </x:c>
      <x:c r="C146" s="12" t="str">
        <x:v>선택한 두 견적을 아까 좋다고 한 표 형식으로 비교해줘. 보고서는 계속해.</x:v>
      </x:c>
      <x:c r="D146" s="13" t="n">
        <x:v>0</x:v>
      </x:c>
      <x:c r="E146" s="13" t="n">
        <x:v>0</x:v>
      </x:c>
      <x:c r="F146" s="13" t="n">
        <x:v>3.9299999999999997</x:v>
      </x:c>
      <x:c r="G146" s="13" t="n">
        <x:f>F146-E146</x:f>
        <x:v>3.9299999999999997</x:v>
      </x:c>
      <x:c r="H146" s="13" t="n">
        <x:f>'처리단계'!L2118</x:f>
        <x:v>5.818</x:v>
      </x:c>
      <x:c r="I146" s="15" t="n">
        <x:f>SUM('비용원장'!H1033:H1045)</x:f>
        <x:v>0.030808</x:v>
      </x:c>
      <x:c r="J146" s="13" t="n">
        <x:f>SUM('메모리상태'!E1110:E1119)</x:f>
        <x:v>680.4000000000001</x:v>
      </x:c>
      <x:c r="K146" s="13" t="n">
        <x:v>4.364</x:v>
      </x:c>
      <x:c r="L146" s="12" t="str">
        <x:v>CONDITIONAL_NORMAL_PATH_SIMULATION</x:v>
      </x:c>
    </x:row>
    <x:row r="147" ht="56" customHeight="1">
      <x:c r="A147" s="7" t="str">
        <x:v>DP5-B</x:v>
      </x:c>
      <x:c r="B147" s="7" t="str">
        <x:v>U22</x:v>
      </x:c>
      <x:c r="C147" s="7" t="str">
        <x:v>새 화면의 두 카드를 비교하고 일정 질문부터 읽어줘.</x:v>
      </x:c>
      <x:c r="D147" s="14" t="n">
        <x:v>0</x:v>
      </x:c>
      <x:c r="E147" s="14" t="n">
        <x:v>0</x:v>
      </x:c>
      <x:c r="F147" s="14" t="n">
        <x:v>1.9300000000000002</x:v>
      </x:c>
      <x:c r="G147" s="14" t="n">
        <x:f>F147-E147</x:f>
        <x:v>1.9300000000000002</x:v>
      </x:c>
      <x:c r="H147" s="14" t="n">
        <x:f>'처리단계'!L2136</x:f>
        <x:v>3.818</x:v>
      </x:c>
      <x:c r="I147" s="16" t="n">
        <x:f>SUM('비용원장'!H1046:H1054)</x:f>
        <x:v>0.032408</x:v>
      </x:c>
      <x:c r="J147" s="14" t="n">
        <x:f>SUM('메모리상태'!E1120:E1127)</x:f>
        <x:v>627.888</x:v>
      </x:c>
      <x:c r="K147" s="14" t="n">
        <x:v>1.9300000000000002</x:v>
      </x:c>
      <x:c r="L147" s="7" t="str">
        <x:v>CONDITIONAL_NORMAL_PATH_SIMULATION</x:v>
      </x:c>
    </x:row>
    <x:row r="148" ht="56" customHeight="1">
      <x:c r="A148" s="12" t="str">
        <x:v>DP5-B</x:v>
      </x:c>
      <x:c r="B148" s="12" t="str">
        <x:v>U23</x:v>
      </x:c>
      <x:c r="C148" s="12" t="str">
        <x:v>D2에서 확인한 형식으로 새 자료를 만들고 기존 메일 질문을 먼저 읽어줘.</x:v>
      </x:c>
      <x:c r="D148" s="13" t="n">
        <x:v>0</x:v>
      </x:c>
      <x:c r="E148" s="13" t="n">
        <x:v>0</x:v>
      </x:c>
      <x:c r="F148" s="13" t="n">
        <x:v>1.3700000000000003</x:v>
      </x:c>
      <x:c r="G148" s="13" t="n">
        <x:f>F148-E148</x:f>
        <x:v>1.3700000000000003</x:v>
      </x:c>
      <x:c r="H148" s="13" t="n">
        <x:f>'처리단계'!L2154</x:f>
        <x:v>3.258</x:v>
      </x:c>
      <x:c r="I148" s="15" t="n">
        <x:f>SUM('비용원장'!H1055:H1064)</x:f>
        <x:v>0.029872</x:v>
      </x:c>
      <x:c r="J148" s="13" t="n">
        <x:f>SUM('메모리상태'!E1128:E1137)</x:f>
        <x:v>680.4000000000001</x:v>
      </x:c>
      <x:c r="K148" s="13" t="n">
        <x:v>1.3700000000000003</x:v>
      </x:c>
      <x:c r="L148" s="12" t="str">
        <x:v>CONDITIONAL_NORMAL_PATH_SIMULATION</x:v>
      </x:c>
    </x:row>
    <x:row r="149" ht="56" customHeight="1">
      <x:c r="A149" s="7" t="str">
        <x:v>DP5-B</x:v>
      </x:c>
      <x:c r="B149" s="7" t="str">
        <x:v>U24</x:v>
      </x:c>
      <x:c r="C149" s="7" t="str">
        <x:v>지금 가리킨 두 항목을 방금 정정한 조건으로 비교해줘.</x:v>
      </x:c>
      <x:c r="D149" s="14" t="n">
        <x:v>-6</x:v>
      </x:c>
      <x:c r="E149" s="14" t="n">
        <x:v>0</x:v>
      </x:c>
      <x:c r="F149" s="14" t="n">
        <x:v>4.57</x:v>
      </x:c>
      <x:c r="G149" s="14" t="n">
        <x:f>F149-E149</x:f>
        <x:v>4.57</x:v>
      </x:c>
      <x:c r="H149" s="14" t="n">
        <x:f>'처리단계'!L2174</x:f>
        <x:v>9.458</x:v>
      </x:c>
      <x:c r="I149" s="16" t="n">
        <x:f>SUM('비용원장'!H1065:H1079)</x:f>
        <x:v>0.036928</x:v>
      </x:c>
      <x:c r="J149" s="14" t="n">
        <x:f>SUM('메모리상태'!E1138:E1148)</x:f>
        <x:v>702</x:v>
      </x:c>
      <x:c r="K149" s="14" t="n">
        <x:v>5.0040000000000004</x:v>
      </x:c>
      <x:c r="L149" s="7" t="str">
        <x:v>CONDITIONAL_NORMAL_PATH_SIMULATION</x:v>
      </x:c>
    </x:row>
    <x:row r="150" ht="56" customHeight="1">
      <x:c r="A150" s="12" t="str">
        <x:v>DP44-B</x:v>
      </x:c>
      <x:c r="B150" s="12" t="str">
        <x:v>U01</x:v>
      </x:c>
      <x:c r="C150" s="12" t="str">
        <x:v>TCP와 UDP의 차이를 간단히 설명해줘.</x:v>
      </x:c>
      <x:c r="D150" s="13" t="n">
        <x:v>0</x:v>
      </x:c>
      <x:c r="E150" s="13" t="n">
        <x:v>0</x:v>
      </x:c>
      <x:c r="F150" s="13" t="n">
        <x:v>1.3100000000000003</x:v>
      </x:c>
      <x:c r="G150" s="13" t="n">
        <x:f>F150-E150</x:f>
        <x:v>1.3100000000000003</x:v>
      </x:c>
      <x:c r="H150" s="13" t="n">
        <x:f>'처리단계'!L2184</x:f>
        <x:v>3.1580000000000004</x:v>
      </x:c>
      <x:c r="I150" s="15" t="n">
        <x:f>SUM('비용원장'!H1080:H1083)</x:f>
        <x:v>0.012904</x:v>
      </x:c>
      <x:c r="J150" s="13" t="n">
        <x:f>SUM('메모리상태'!E1149:E1155)</x:f>
        <x:v>588.4</x:v>
      </x:c>
      <x:c r="K150" s="13" t="n">
        <x:v>1.7480000000000002</x:v>
      </x:c>
      <x:c r="L150" s="12" t="str">
        <x:v>CONDITIONAL_NORMAL_PATH_SIMULATION</x:v>
      </x:c>
    </x:row>
    <x:row r="151" ht="56" customHeight="1">
      <x:c r="A151" s="7" t="str">
        <x:v>DP44-B</x:v>
      </x:c>
      <x:c r="B151" s="7" t="str">
        <x:v>U02</x:v>
      </x:c>
      <x:c r="C151" s="7" t="str">
        <x:v>방금 네 설명의 결론만 한 문장으로 말해줘.</x:v>
      </x:c>
      <x:c r="D151" s="14" t="n">
        <x:v>0</x:v>
      </x:c>
      <x:c r="E151" s="14" t="n">
        <x:v>0</x:v>
      </x:c>
      <x:c r="F151" s="14" t="n">
        <x:v>1.55</x:v>
      </x:c>
      <x:c r="G151" s="14" t="n">
        <x:f>F151-E151</x:f>
        <x:v>1.55</x:v>
      </x:c>
      <x:c r="H151" s="14" t="n">
        <x:f>'처리단계'!L2194</x:f>
        <x:v>2.644</x:v>
      </x:c>
      <x:c r="I151" s="16" t="n">
        <x:f>SUM('비용원장'!H1084:H1088)</x:f>
        <x:v>0.00988</x:v>
      </x:c>
      <x:c r="J151" s="14" t="n">
        <x:f>SUM('메모리상태'!E1156:E1162)</x:f>
        <x:v>588.4</x:v>
      </x:c>
      <x:c r="K151" s="14" t="n">
        <x:v>1.984</x:v>
      </x:c>
      <x:c r="L151" s="7" t="str">
        <x:v>CONDITIONAL_NORMAL_PATH_SIMULATION</x:v>
      </x:c>
    </x:row>
    <x:row r="152" ht="56" customHeight="1">
      <x:c r="A152" s="12" t="str">
        <x:v>DP44-B</x:v>
      </x:c>
      <x:c r="B152" s="12" t="str">
        <x:v>U03</x:v>
      </x:c>
      <x:c r="C152" s="12" t="str">
        <x:v>자료 D1의 결론을 설명해줘.</x:v>
      </x:c>
      <x:c r="D152" s="13" t="n">
        <x:v>0</x:v>
      </x:c>
      <x:c r="E152" s="13" t="n">
        <x:v>0</x:v>
      </x:c>
      <x:c r="F152" s="13" t="n">
        <x:v>1.3100000000000003</x:v>
      </x:c>
      <x:c r="G152" s="13" t="n">
        <x:f>F152-E152</x:f>
        <x:v>1.3100000000000003</x:v>
      </x:c>
      <x:c r="H152" s="13" t="n">
        <x:f>'처리단계'!L2208</x:f>
        <x:v>4.758</x:v>
      </x:c>
      <x:c r="I152" s="15" t="n">
        <x:f>SUM('비용원장'!H1089:H1096)</x:f>
        <x:v>0.020512</x:v>
      </x:c>
      <x:c r="J152" s="13" t="n">
        <x:f>SUM('메모리상태'!E1163:E1169)</x:f>
        <x:v>590.944</x:v>
      </x:c>
      <x:c r="K152" s="13" t="n">
        <x:v>1.7440000000000002</x:v>
      </x:c>
      <x:c r="L152" s="12" t="str">
        <x:v>CONDITIONAL_NORMAL_PATH_SIMULATION</x:v>
      </x:c>
    </x:row>
    <x:row r="153" ht="56" customHeight="1">
      <x:c r="A153" s="7" t="str">
        <x:v>DP44-B</x:v>
      </x:c>
      <x:c r="B153" s="7" t="str">
        <x:v>U04</x:v>
      </x:c>
      <x:c r="C153" s="7" t="str">
        <x:v>조사는 계속하고 TCP의 특징을 알려줘.</x:v>
      </x:c>
      <x:c r="D153" s="14" t="n">
        <x:v>0</x:v>
      </x:c>
      <x:c r="E153" s="14" t="n">
        <x:v>0</x:v>
      </x:c>
      <x:c r="F153" s="14" t="n">
        <x:v>1.55</x:v>
      </x:c>
      <x:c r="G153" s="14" t="n">
        <x:f>F153-E153</x:f>
        <x:v>1.55</x:v>
      </x:c>
      <x:c r="H153" s="14" t="n">
        <x:f>'처리단계'!L2218</x:f>
        <x:v>3.3979999999999997</x:v>
      </x:c>
      <x:c r="I153" s="16" t="n">
        <x:f>SUM('비용원장'!H1097:H1101)</x:f>
        <x:v>0.015904</x:v>
      </x:c>
      <x:c r="J153" s="14" t="n">
        <x:f>SUM('메모리상태'!E1170:E1176)</x:f>
        <x:v>588.4</x:v>
      </x:c>
      <x:c r="K153" s="14" t="n">
        <x:v>1.988</x:v>
      </x:c>
      <x:c r="L153" s="7" t="str">
        <x:v>CONDITIONAL_NORMAL_PATH_SIMULATION</x:v>
      </x:c>
    </x:row>
    <x:row r="154" ht="56" customHeight="1">
      <x:c r="A154" s="12" t="str">
        <x:v>DP44-B</x:v>
      </x:c>
      <x:c r="B154" s="12" t="str">
        <x:v>U05</x:v>
      </x:c>
      <x:c r="C154" s="12" t="str">
        <x:v>D1 비교는 계속하고 TCP와 UDP 차이도 알려줘.</x:v>
      </x:c>
      <x:c r="D154" s="13" t="n">
        <x:v>0</x:v>
      </x:c>
      <x:c r="E154" s="13" t="n">
        <x:v>0</x:v>
      </x:c>
      <x:c r="F154" s="13" t="n">
        <x:v>3.57</x:v>
      </x:c>
      <x:c r="G154" s="13" t="n">
        <x:f>F154-E154</x:f>
        <x:v>3.57</x:v>
      </x:c>
      <x:c r="H154" s="13" t="n">
        <x:f>'처리단계'!L2229</x:f>
        <x:v>5.417999999999999</x:v>
      </x:c>
      <x:c r="I154" s="15" t="n">
        <x:f>SUM('비용원장'!H1102:H1108)</x:f>
        <x:v>0.018064</x:v>
      </x:c>
      <x:c r="J154" s="13" t="n">
        <x:f>SUM('메모리상태'!E1177:E1183)</x:f>
        <x:v>590.8</x:v>
      </x:c>
      <x:c r="K154" s="13" t="n">
        <x:v>4.008</x:v>
      </x:c>
      <x:c r="L154" s="12" t="str">
        <x:v>CONDITIONAL_NORMAL_PATH_SIMULATION</x:v>
      </x:c>
    </x:row>
    <x:row r="155" ht="56" customHeight="1">
      <x:c r="A155" s="7" t="str">
        <x:v>DP44-B</x:v>
      </x:c>
      <x:c r="B155" s="7" t="str">
        <x:v>U06</x:v>
      </x:c>
      <x:c r="C155" s="7" t="str">
        <x:v>D1 분석은 유지하고 D2의 결론도 설명해줘.</x:v>
      </x:c>
      <x:c r="D155" s="14" t="n">
        <x:v>0</x:v>
      </x:c>
      <x:c r="E155" s="14" t="n">
        <x:v>0</x:v>
      </x:c>
      <x:c r="F155" s="14" t="n">
        <x:v>3.57</x:v>
      </x:c>
      <x:c r="G155" s="14" t="n">
        <x:f>F155-E155</x:f>
        <x:v>3.57</x:v>
      </x:c>
      <x:c r="H155" s="14" t="n">
        <x:f>'처리단계'!L2244</x:f>
        <x:v>7.018</x:v>
      </x:c>
      <x:c r="I155" s="16" t="n">
        <x:f>SUM('비용원장'!H1109:H1118)</x:f>
        <x:v>0.022671999999999998</x:v>
      </x:c>
      <x:c r="J155" s="14" t="n">
        <x:f>SUM('메모리상태'!E1184:E1190)</x:f>
        <x:v>590.944</x:v>
      </x:c>
      <x:c r="K155" s="14" t="n">
        <x:v>4.004</x:v>
      </x:c>
      <x:c r="L155" s="7" t="str">
        <x:v>CONDITIONAL_NORMAL_PATH_SIMULATION</x:v>
      </x:c>
    </x:row>
    <x:row r="156" ht="56" customHeight="1">
      <x:c r="A156" s="12" t="str">
        <x:v>DP44-B</x:v>
      </x:c>
      <x:c r="B156" s="12" t="str">
        <x:v>U07</x:v>
      </x:c>
      <x:c r="C156" s="12" t="str">
        <x:v>진행 중인 일은 유지하고 D2의 핵심도 알려줘.</x:v>
      </x:c>
      <x:c r="D156" s="13" t="n">
        <x:v>0</x:v>
      </x:c>
      <x:c r="E156" s="13" t="n">
        <x:v>0</x:v>
      </x:c>
      <x:c r="F156" s="13" t="n">
        <x:v>3.57</x:v>
      </x:c>
      <x:c r="G156" s="13" t="n">
        <x:f>F156-E156</x:f>
        <x:v>3.57</x:v>
      </x:c>
      <x:c r="H156" s="13" t="n">
        <x:f>'처리단계'!L2260</x:f>
        <x:v>7.018</x:v>
      </x:c>
      <x:c r="I156" s="15" t="n">
        <x:f>SUM('비용원장'!H1119:H1131)</x:f>
        <x:v>0.027832</x:v>
      </x:c>
      <x:c r="J156" s="13" t="n">
        <x:f>SUM('메모리상태'!E1191:E1198)</x:f>
        <x:v>610.5999999999999</x:v>
      </x:c>
      <x:c r="K156" s="13" t="n">
        <x:v>4.004</x:v>
      </x:c>
      <x:c r="L156" s="12" t="str">
        <x:v>CONDITIONAL_NORMAL_PATH_SIMULATION</x:v>
      </x:c>
    </x:row>
    <x:row r="157" ht="56" customHeight="1">
      <x:c r="A157" s="7" t="str">
        <x:v>DP44-B</x:v>
      </x:c>
      <x:c r="B157" s="7" t="str">
        <x:v>U08</x:v>
      </x:c>
      <x:c r="C157" s="7" t="str">
        <x:v>방금 읽는 D1에서 확인한 수치를 기준으로 범위를 비용만으로 바꿔줘.</x:v>
      </x:c>
      <x:c r="D157" s="14" t="n">
        <x:v>-6</x:v>
      </x:c>
      <x:c r="E157" s="14" t="n">
        <x:v>0</x:v>
      </x:c>
      <x:c r="F157" s="14" t="n">
        <x:v>3.57</x:v>
      </x:c>
      <x:c r="G157" s="14" t="n">
        <x:f>F157-E157</x:f>
        <x:v>3.57</x:v>
      </x:c>
      <x:c r="H157" s="14" t="n">
        <x:f>'처리단계'!L2276</x:f>
        <x:v>10.017999999999999</x:v>
      </x:c>
      <x:c r="I157" s="16" t="n">
        <x:f>SUM('비용원장'!H1132:H1141)</x:f>
        <x:v>0.022671999999999998</x:v>
      </x:c>
      <x:c r="J157" s="14" t="n">
        <x:f>SUM('메모리상태'!E1199:E1205)</x:f>
        <x:v>590.944</x:v>
      </x:c>
      <x:c r="K157" s="14" t="n">
        <x:v>4.004</x:v>
      </x:c>
      <x:c r="L157" s="7" t="str">
        <x:v>CONDITIONAL_NORMAL_PATH_SIMULATION</x:v>
      </x:c>
    </x:row>
    <x:row r="158" ht="56" customHeight="1">
      <x:c r="A158" s="12" t="str">
        <x:v>DP44-B</x:v>
      </x:c>
      <x:c r="B158" s="12" t="str">
        <x:v>U09</x:v>
      </x:c>
      <x:c r="C158" s="12" t="str">
        <x:v>선택한 두 견적을 비교해줘.</x:v>
      </x:c>
      <x:c r="D158" s="13" t="n">
        <x:v>0</x:v>
      </x:c>
      <x:c r="E158" s="13" t="n">
        <x:v>0</x:v>
      </x:c>
      <x:c r="F158" s="13" t="n">
        <x:v>1.6300000000000001</x:v>
      </x:c>
      <x:c r="G158" s="13" t="n">
        <x:f>F158-E158</x:f>
        <x:v>1.6300000000000001</x:v>
      </x:c>
      <x:c r="H158" s="13" t="n">
        <x:f>'처리단계'!L2292</x:f>
        <x:v>3.952</x:v>
      </x:c>
      <x:c r="I158" s="15" t="n">
        <x:f>SUM('비용원장'!H1142:H1148)</x:f>
        <x:v>0.021928</x:v>
      </x:c>
      <x:c r="J158" s="13" t="n">
        <x:f>SUM('메모리상태'!E1206:E1212)</x:f>
        <x:v>588.4</x:v>
      </x:c>
      <x:c r="K158" s="13" t="n">
        <x:v>2.064</x:v>
      </x:c>
      <x:c r="L158" s="12" t="str">
        <x:v>CONDITIONAL_NORMAL_PATH_SIMULATION</x:v>
      </x:c>
    </x:row>
    <x:row r="159" ht="56" customHeight="1">
      <x:c r="A159" s="7" t="str">
        <x:v>DP44-B</x:v>
      </x:c>
      <x:c r="B159" s="7" t="str">
        <x:v>U10</x:v>
      </x:c>
      <x:c r="C159" s="7" t="str">
        <x:v>내가 원으로 표시한 두 카드를 비교해줘.</x:v>
      </x:c>
      <x:c r="D159" s="14" t="n">
        <x:v>0</x:v>
      </x:c>
      <x:c r="E159" s="14" t="n">
        <x:v>0</x:v>
      </x:c>
      <x:c r="F159" s="14" t="n">
        <x:v>1.8500000000000003</x:v>
      </x:c>
      <x:c r="G159" s="14" t="n">
        <x:f>F159-E159</x:f>
        <x:v>1.8500000000000003</x:v>
      </x:c>
      <x:c r="H159" s="14" t="n">
        <x:f>'처리단계'!L2307</x:f>
        <x:v>4.172000000000001</x:v>
      </x:c>
      <x:c r="I159" s="16" t="n">
        <x:f>SUM('비용원장'!H1149:H1155)</x:f>
        <x:v>0.023728</x:v>
      </x:c>
      <x:c r="J159" s="14" t="n">
        <x:f>SUM('메모리상태'!E1213:E1220)</x:f>
        <x:v>627.6</x:v>
      </x:c>
      <x:c r="K159" s="14" t="n">
        <x:v>2.2840000000000003</x:v>
      </x:c>
      <x:c r="L159" s="7" t="str">
        <x:v>CONDITIONAL_NORMAL_PATH_SIMULATION</x:v>
      </x:c>
    </x:row>
    <x:row r="160" ht="56" customHeight="1">
      <x:c r="A160" s="12" t="str">
        <x:v>DP44-B</x:v>
      </x:c>
      <x:c r="B160" s="12" t="str">
        <x:v>U11</x:v>
      </x:c>
      <x:c r="C160" s="12" t="str">
        <x:v>처음 가리킨 견적과 화면 이동 뒤 가리킨 견적을 비교해줘.</x:v>
      </x:c>
      <x:c r="D160" s="13" t="n">
        <x:v>0</x:v>
      </x:c>
      <x:c r="E160" s="13" t="n">
        <x:v>0</x:v>
      </x:c>
      <x:c r="F160" s="13" t="n">
        <x:v>2.15</x:v>
      </x:c>
      <x:c r="G160" s="13" t="n">
        <x:f>F160-E160</x:f>
        <x:v>2.15</x:v>
      </x:c>
      <x:c r="H160" s="13" t="n">
        <x:f>'처리단계'!L2322</x:f>
        <x:v>4.4719999999999995</x:v>
      </x:c>
      <x:c r="I160" s="15" t="n">
        <x:f>SUM('비용원장'!H1156:H1162)</x:f>
        <x:v>0.025528</x:v>
      </x:c>
      <x:c r="J160" s="13" t="n">
        <x:f>SUM('메모리상태'!E1221:E1228)</x:f>
        <x:v>634.8</x:v>
      </x:c>
      <x:c r="K160" s="13" t="n">
        <x:v>2.584</x:v>
      </x:c>
      <x:c r="L160" s="12" t="str">
        <x:v>CONDITIONAL_NORMAL_PATH_SIMULATION</x:v>
      </x:c>
    </x:row>
    <x:row r="161" ht="56" customHeight="1">
      <x:c r="A161" s="7" t="str">
        <x:v>DP44-B</x:v>
      </x:c>
      <x:c r="B161" s="7" t="str">
        <x:v>U12</x:v>
      </x:c>
      <x:c r="C161" s="7" t="str">
        <x:v>같은 화면에서 확정한 두 견적의 납기만 비교해줘.</x:v>
      </x:c>
      <x:c r="D161" s="14" t="n">
        <x:v>0</x:v>
      </x:c>
      <x:c r="E161" s="14" t="n">
        <x:v>0</x:v>
      </x:c>
      <x:c r="F161" s="14" t="n">
        <x:v>1.6300000000000001</x:v>
      </x:c>
      <x:c r="G161" s="14" t="n">
        <x:f>F161-E161</x:f>
        <x:v>1.6300000000000001</x:v>
      </x:c>
      <x:c r="H161" s="14" t="n">
        <x:f>'처리단계'!L2339</x:f>
        <x:v>3.952</x:v>
      </x:c>
      <x:c r="I161" s="16" t="n">
        <x:f>SUM('비용원장'!H1163:H1171)</x:f>
        <x:v>0.024583999999999998</x:v>
      </x:c>
      <x:c r="J161" s="14" t="n">
        <x:f>SUM('메모리상태'!E1229:E1235)</x:f>
        <x:v>588.4</x:v>
      </x:c>
      <x:c r="K161" s="14" t="n">
        <x:v>2.064</x:v>
      </x:c>
      <x:c r="L161" s="7" t="str">
        <x:v>CONDITIONAL_NORMAL_PATH_SIMULATION</x:v>
      </x:c>
    </x:row>
    <x:row r="162" ht="56" customHeight="1">
      <x:c r="A162" s="12" t="str">
        <x:v>DP44-B</x:v>
      </x:c>
      <x:c r="B162" s="12" t="str">
        <x:v>U13</x:v>
      </x:c>
      <x:c r="C162" s="12" t="str">
        <x:v>자료 D2를 작성한 Agent에게 새 발표를 맡겨줘.</x:v>
      </x:c>
      <x:c r="D162" s="13" t="n">
        <x:v>0</x:v>
      </x:c>
      <x:c r="E162" s="13" t="n">
        <x:v>0</x:v>
      </x:c>
      <x:c r="F162" s="13" t="n">
        <x:v>1.3100000000000003</x:v>
      </x:c>
      <x:c r="G162" s="13" t="n">
        <x:f>F162-E162</x:f>
        <x:v>1.3100000000000003</x:v>
      </x:c>
      <x:c r="H162" s="13" t="n">
        <x:f>'처리단계'!L2354</x:f>
        <x:v>3.632</x:v>
      </x:c>
      <x:c r="I162" s="15" t="n">
        <x:f>SUM('비용원장'!H1172:H1177)</x:f>
        <x:v>0.018928</x:v>
      </x:c>
      <x:c r="J162" s="13" t="n">
        <x:f>SUM('메모리상태'!E1236:E1242)</x:f>
        <x:v>588.4</x:v>
      </x:c>
      <x:c r="K162" s="13" t="n">
        <x:v>1.7440000000000002</x:v>
      </x:c>
      <x:c r="L162" s="12" t="str">
        <x:v>CONDITIONAL_NORMAL_PATH_SIMULATION</x:v>
      </x:c>
    </x:row>
    <x:row r="163" ht="56" customHeight="1">
      <x:c r="A163" s="7" t="str">
        <x:v>DP44-B</x:v>
      </x:c>
      <x:c r="B163" s="7" t="str">
        <x:v>U14</x:v>
      </x:c>
      <x:c r="C163" s="7" t="str">
        <x:v>아까 구성이 좋다고 했던 자료의 형식으로 이번 조사를 정리해줘.</x:v>
      </x:c>
      <x:c r="D163" s="14" t="n">
        <x:v>0</x:v>
      </x:c>
      <x:c r="E163" s="14" t="n">
        <x:v>0</x:v>
      </x:c>
      <x:c r="F163" s="14" t="n">
        <x:v>1.95</x:v>
      </x:c>
      <x:c r="G163" s="14" t="n">
        <x:f>F163-E163</x:f>
        <x:v>1.95</x:v>
      </x:c>
      <x:c r="H163" s="14" t="n">
        <x:f>'처리단계'!L2369</x:f>
        <x:v>4.272</x:v>
      </x:c>
      <x:c r="I163" s="16" t="n">
        <x:f>SUM('비용원장'!H1178:H1184)</x:f>
        <x:v>0.024328</x:v>
      </x:c>
      <x:c r="J163" s="14" t="n">
        <x:f>SUM('메모리상태'!E1243:E1249)</x:f>
        <x:v>598</x:v>
      </x:c>
      <x:c r="K163" s="14" t="n">
        <x:v>2.384</x:v>
      </x:c>
      <x:c r="L163" s="7" t="str">
        <x:v>CONDITIONAL_NORMAL_PATH_SIMULATION</x:v>
      </x:c>
    </x:row>
    <x:row r="164" ht="56" customHeight="1">
      <x:c r="A164" s="12" t="str">
        <x:v>DP44-B</x:v>
      </x:c>
      <x:c r="B164" s="12" t="str">
        <x:v>U15</x:v>
      </x:c>
      <x:c r="C164" s="12" t="str">
        <x:v>지난번 확정했던 D2 형식을 이번 자료에도 적용해줘.</x:v>
      </x:c>
      <x:c r="D164" s="13" t="n">
        <x:v>0</x:v>
      </x:c>
      <x:c r="E164" s="13" t="n">
        <x:v>0</x:v>
      </x:c>
      <x:c r="F164" s="13" t="n">
        <x:v>1.3100000000000003</x:v>
      </x:c>
      <x:c r="G164" s="13" t="n">
        <x:f>F164-E164</x:f>
        <x:v>1.3100000000000003</x:v>
      </x:c>
      <x:c r="H164" s="13" t="n">
        <x:f>'처리단계'!L2384</x:f>
        <x:v>3.632</x:v>
      </x:c>
      <x:c r="I164" s="15" t="n">
        <x:f>SUM('비용원장'!H1185:H1190)</x:f>
        <x:v>0.018928</x:v>
      </x:c>
      <x:c r="J164" s="13" t="n">
        <x:f>SUM('메모리상태'!E1250:E1256)</x:f>
        <x:v>588.4</x:v>
      </x:c>
      <x:c r="K164" s="13" t="n">
        <x:v>1.7440000000000002</x:v>
      </x:c>
      <x:c r="L164" s="12" t="str">
        <x:v>CONDITIONAL_NORMAL_PATH_SIMULATION</x:v>
      </x:c>
    </x:row>
    <x:row r="165" ht="56" customHeight="1">
      <x:c r="A165" s="7" t="str">
        <x:v>DP44-B</x:v>
      </x:c>
      <x:c r="B165" s="7" t="str">
        <x:v>U16</x:v>
      </x:c>
      <x:c r="C165" s="7" t="str">
        <x:v>방금 정정한 피드백을 반영해 내부 회의용으로 다시 만들어줘.</x:v>
      </x:c>
      <x:c r="D165" s="14" t="n">
        <x:v>-6</x:v>
      </x:c>
      <x:c r="E165" s="14" t="n">
        <x:v>0</x:v>
      </x:c>
      <x:c r="F165" s="14" t="n">
        <x:v>1.95</x:v>
      </x:c>
      <x:c r="G165" s="14" t="n">
        <x:f>F165-E165</x:f>
        <x:v>1.95</x:v>
      </x:c>
      <x:c r="H165" s="14" t="n">
        <x:f>'처리단계'!L2400</x:f>
        <x:v>6.272</x:v>
      </x:c>
      <x:c r="I165" s="16" t="n">
        <x:f>SUM('비용원장'!H1191:H1197)</x:f>
        <x:v>0.024328</x:v>
      </x:c>
      <x:c r="J165" s="14" t="n">
        <x:f>SUM('메모리상태'!E1257:E1263)</x:f>
        <x:v>598</x:v>
      </x:c>
      <x:c r="K165" s="14" t="n">
        <x:v>2.384</x:v>
      </x:c>
      <x:c r="L165" s="7" t="str">
        <x:v>CONDITIONAL_NORMAL_PATH_SIMULATION</x:v>
      </x:c>
    </x:row>
    <x:row r="166" ht="56" customHeight="1">
      <x:c r="A166" s="12" t="str">
        <x:v>DP44-B</x:v>
      </x:c>
      <x:c r="B166" s="12" t="str">
        <x:v>U17</x:v>
      </x:c>
      <x:c r="C166" s="12" t="str">
        <x:v>대기 중인 메일 질문부터 읽어줘.</x:v>
      </x:c>
      <x:c r="D166" s="13" t="n">
        <x:v>0</x:v>
      </x:c>
      <x:c r="E166" s="13" t="n">
        <x:v>0</x:v>
      </x:c>
      <x:c r="F166" s="13" t="n">
        <x:v>1.55</x:v>
      </x:c>
      <x:c r="G166" s="13" t="n">
        <x:f>F166-E166</x:f>
        <x:v>1.55</x:v>
      </x:c>
      <x:c r="H166" s="13" t="n">
        <x:f>'처리단계'!L2411</x:f>
        <x:v>3.900666666666667</x:v>
      </x:c>
      <x:c r="I166" s="15" t="n">
        <x:f>SUM('비용원장'!H1198:H1202)</x:f>
        <x:v>0.01992</x:v>
      </x:c>
      <x:c r="J166" s="13" t="n">
        <x:f>SUM('메모리상태'!E1264:E1270)</x:f>
        <x:v>588.4</x:v>
      </x:c>
      <x:c r="K166" s="13" t="n">
        <x:v>1.9906666666666668</x:v>
      </x:c>
      <x:c r="L166" s="12" t="str">
        <x:v>CONDITIONAL_NORMAL_PATH_SIMULATION</x:v>
      </x:c>
    </x:row>
    <x:row r="167" ht="56" customHeight="1">
      <x:c r="A167" s="7" t="str">
        <x:v>DP44-B</x:v>
      </x:c>
      <x:c r="B167" s="7" t="str">
        <x:v>U18</x:v>
      </x:c>
      <x:c r="C167" s="7" t="str">
        <x:v>보고서 안내는 철회하고 메일 질문만 읽어줘.</x:v>
      </x:c>
      <x:c r="D167" s="14" t="n">
        <x:v>0</x:v>
      </x:c>
      <x:c r="E167" s="14" t="n">
        <x:v>0</x:v>
      </x:c>
      <x:c r="F167" s="14" t="n">
        <x:v>1.55</x:v>
      </x:c>
      <x:c r="G167" s="14" t="n">
        <x:f>F167-E167</x:f>
        <x:v>1.55</x:v>
      </x:c>
      <x:c r="H167" s="14" t="n">
        <x:f>'처리단계'!L2422</x:f>
        <x:v>3.900666666666667</x:v>
      </x:c>
      <x:c r="I167" s="16" t="n">
        <x:f>SUM('비용원장'!H1203:H1207)</x:f>
        <x:v>0.01992</x:v>
      </x:c>
      <x:c r="J167" s="14" t="n">
        <x:f>SUM('메모리상태'!E1271:E1277)</x:f>
        <x:v>588.4</x:v>
      </x:c>
      <x:c r="K167" s="14" t="n">
        <x:v>1.9906666666666668</x:v>
      </x:c>
      <x:c r="L167" s="7" t="str">
        <x:v>CONDITIONAL_NORMAL_PATH_SIMULATION</x:v>
      </x:c>
    </x:row>
    <x:row r="168" ht="56" customHeight="1">
      <x:c r="A168" s="12" t="str">
        <x:v>DP44-B</x:v>
      </x:c>
      <x:c r="B168" s="12" t="str">
        <x:v>U19</x:v>
      </x:c>
      <x:c r="C168" s="12" t="str">
        <x:v>메일 질문을 먼저 읽고 중단한 설명으로 돌아가줘.</x:v>
      </x:c>
      <x:c r="D168" s="13" t="n">
        <x:v>0</x:v>
      </x:c>
      <x:c r="E168" s="13" t="n">
        <x:v>0</x:v>
      </x:c>
      <x:c r="F168" s="13" t="n">
        <x:v>1.55</x:v>
      </x:c>
      <x:c r="G168" s="13" t="n">
        <x:f>F168-E168</x:f>
        <x:v>1.55</x:v>
      </x:c>
      <x:c r="H168" s="13" t="n">
        <x:f>'처리단계'!L2436</x:f>
        <x:v>8.237029333333332</x:v>
      </x:c>
      <x:c r="I168" s="15" t="n">
        <x:f>SUM('비용원장'!H1208:H1216)</x:f>
        <x:v>0.088498176</x:v>
      </x:c>
      <x:c r="J168" s="13" t="n">
        <x:f>SUM('메모리상태'!E1278:E1284)</x:f>
        <x:v>588.98598399808</x:v>
      </x:c>
      <x:c r="K168" s="13" t="n">
        <x:v>1.988</x:v>
      </x:c>
      <x:c r="L168" s="12" t="str">
        <x:v>CONDITIONAL_NORMAL_PATH_SIMULATION</x:v>
      </x:c>
    </x:row>
    <x:row r="169" ht="56" customHeight="1">
      <x:c r="A169" s="7" t="str">
        <x:v>DP44-B</x:v>
      </x:c>
      <x:c r="B169" s="7" t="str">
        <x:v>U20</x:v>
      </x:c>
      <x:c r="C169" s="7" t="str">
        <x:v>완성된 설명을 멈춘 위치부터 이어 읽어줘.</x:v>
      </x:c>
      <x:c r="D169" s="14" t="n">
        <x:v>0</x:v>
      </x:c>
      <x:c r="E169" s="14" t="n">
        <x:v>0</x:v>
      </x:c>
      <x:c r="F169" s="14" t="n">
        <x:v>1.55</x:v>
      </x:c>
      <x:c r="G169" s="14" t="n">
        <x:f>F169-E169</x:f>
        <x:v>1.55</x:v>
      </x:c>
      <x:c r="H169" s="14" t="n">
        <x:f>'처리단계'!L2445</x:f>
        <x:v>1.55</x:v>
      </x:c>
      <x:c r="I169" s="16" t="n">
        <x:f>SUM('비용원장'!H1217:H1219)</x:f>
        <x:v>0.003856</x:v>
      </x:c>
      <x:c r="J169" s="14" t="n">
        <x:f>SUM('메모리상태'!E1285:E1291)</x:f>
        <x:v>588.976</x:v>
      </x:c>
      <x:c r="K169" s="14" t="n">
        <x:v>1.55</x:v>
      </x:c>
      <x:c r="L169" s="7" t="str">
        <x:v>CONDITIONAL_NORMAL_PATH_SIMULATION</x:v>
      </x:c>
    </x:row>
    <x:row r="170" ht="56" customHeight="1">
      <x:c r="A170" s="12" t="str">
        <x:v>DP44-B</x:v>
      </x:c>
      <x:c r="B170" s="12" t="str">
        <x:v>U21</x:v>
      </x:c>
      <x:c r="C170" s="12" t="str">
        <x:v>선택한 두 견적을 아까 좋다고 한 표 형식으로 비교해줘. 보고서는 계속해.</x:v>
      </x:c>
      <x:c r="D170" s="13" t="n">
        <x:v>0</x:v>
      </x:c>
      <x:c r="E170" s="13" t="n">
        <x:v>0</x:v>
      </x:c>
      <x:c r="F170" s="13" t="n">
        <x:v>4.2700000000000005</x:v>
      </x:c>
      <x:c r="G170" s="13" t="n">
        <x:f>F170-E170</x:f>
        <x:v>4.2700000000000005</x:v>
      </x:c>
      <x:c r="H170" s="13" t="n">
        <x:f>'처리단계'!L2461</x:f>
        <x:v>6.5920000000000005</x:v>
      </x:c>
      <x:c r="I170" s="15" t="n">
        <x:f>SUM('비용원장'!H1220:H1228)</x:f>
        <x:v>0.028287999999999997</x:v>
      </x:c>
      <x:c r="J170" s="13" t="n">
        <x:f>SUM('메모리상태'!E1292:E1299)</x:f>
        <x:v>637.2</x:v>
      </x:c>
      <x:c r="K170" s="13" t="n">
        <x:v>4.704000000000001</x:v>
      </x:c>
      <x:c r="L170" s="12" t="str">
        <x:v>CONDITIONAL_NORMAL_PATH_SIMULATION</x:v>
      </x:c>
    </x:row>
    <x:row r="171" ht="56" customHeight="1">
      <x:c r="A171" s="7" t="str">
        <x:v>DP44-B</x:v>
      </x:c>
      <x:c r="B171" s="7" t="str">
        <x:v>U22</x:v>
      </x:c>
      <x:c r="C171" s="7" t="str">
        <x:v>새 화면의 두 카드를 비교하고 일정 질문부터 읽어줘.</x:v>
      </x:c>
      <x:c r="D171" s="14" t="n">
        <x:v>0</x:v>
      </x:c>
      <x:c r="E171" s="14" t="n">
        <x:v>0</x:v>
      </x:c>
      <x:c r="F171" s="14" t="n">
        <x:v>1.9300000000000002</x:v>
      </x:c>
      <x:c r="G171" s="14" t="n">
        <x:f>F171-E171</x:f>
        <x:v>1.9300000000000002</x:v>
      </x:c>
      <x:c r="H171" s="14" t="n">
        <x:f>'처리단계'!L2479</x:f>
        <x:v>4.256</x:v>
      </x:c>
      <x:c r="I171" s="16" t="n">
        <x:f>SUM('비용원장'!H1229:H1237)</x:f>
        <x:v>0.032408</x:v>
      </x:c>
      <x:c r="J171" s="14" t="n">
        <x:f>SUM('메모리상태'!E1300:E1307)</x:f>
        <x:v>627.6</x:v>
      </x:c>
      <x:c r="K171" s="14" t="n">
        <x:v>2.3680000000000003</x:v>
      </x:c>
      <x:c r="L171" s="7" t="str">
        <x:v>CONDITIONAL_NORMAL_PATH_SIMULATION</x:v>
      </x:c>
    </x:row>
    <x:row r="172" ht="56" customHeight="1">
      <x:c r="A172" s="12" t="str">
        <x:v>DP44-B</x:v>
      </x:c>
      <x:c r="B172" s="12" t="str">
        <x:v>U23</x:v>
      </x:c>
      <x:c r="C172" s="12" t="str">
        <x:v>D2에서 확인한 형식으로 새 자료를 만들고 기존 메일 질문을 먼저 읽어줘.</x:v>
      </x:c>
      <x:c r="D172" s="13" t="n">
        <x:v>0</x:v>
      </x:c>
      <x:c r="E172" s="13" t="n">
        <x:v>0</x:v>
      </x:c>
      <x:c r="F172" s="13" t="n">
        <x:v>1.7100000000000002</x:v>
      </x:c>
      <x:c r="G172" s="13" t="n">
        <x:f>F172-E172</x:f>
        <x:v>1.7100000000000002</x:v>
      </x:c>
      <x:c r="H172" s="13" t="n">
        <x:f>'처리단계'!L2495</x:f>
        <x:v>4.036</x:v>
      </x:c>
      <x:c r="I172" s="15" t="n">
        <x:f>SUM('비용원장'!H1238:H1243)</x:f>
        <x:v>0.027352</x:v>
      </x:c>
      <x:c r="J172" s="13" t="n">
        <x:f>SUM('메모리상태'!E1308:E1314)</x:f>
        <x:v>598</x:v>
      </x:c>
      <x:c r="K172" s="13" t="n">
        <x:v>2.148</x:v>
      </x:c>
      <x:c r="L172" s="12" t="str">
        <x:v>CONDITIONAL_NORMAL_PATH_SIMULATION</x:v>
      </x:c>
    </x:row>
    <x:row r="173" ht="56" customHeight="1">
      <x:c r="A173" s="7" t="str">
        <x:v>DP44-B</x:v>
      </x:c>
      <x:c r="B173" s="7" t="str">
        <x:v>U24</x:v>
      </x:c>
      <x:c r="C173" s="7" t="str">
        <x:v>지금 가리킨 두 항목을 방금 정정한 조건으로 비교해줘.</x:v>
      </x:c>
      <x:c r="D173" s="14" t="n">
        <x:v>-6</x:v>
      </x:c>
      <x:c r="E173" s="14" t="n">
        <x:v>0</x:v>
      </x:c>
      <x:c r="F173" s="14" t="n">
        <x:v>4.57</x:v>
      </x:c>
      <x:c r="G173" s="14" t="n">
        <x:f>F173-E173</x:f>
        <x:v>4.57</x:v>
      </x:c>
      <x:c r="H173" s="14" t="n">
        <x:f>'처리단계'!L2512</x:f>
        <x:v>9.892000000000001</x:v>
      </x:c>
      <x:c r="I173" s="16" t="n">
        <x:f>SUM('비용원장'!H1244:H1252)</x:f>
        <x:v>0.030088</x:v>
      </x:c>
      <x:c r="J173" s="14" t="n">
        <x:f>SUM('메모리상태'!E1315:E1322)</x:f>
        <x:v>644.4</x:v>
      </x:c>
      <x:c r="K173" s="14" t="n">
        <x:v>5.0040000000000004</x:v>
      </x:c>
      <x:c r="L173" s="7" t="str">
        <x:v>CONDITIONAL_NORMAL_PATH_SIMULATION</x:v>
      </x:c>
    </x:row>
  </x:sheetData>
  <x:mergeCells>
    <x:mergeCell ref="A1:L1"/>
    <x:mergeCell ref="A2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24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2" hidden="0" customWidth="1"/>
    <x:col min="11" max="11" width="12" hidden="0" customWidth="1"/>
    <x:col min="12" max="12" width="15" hidden="0" customWidth="1"/>
  </x:cols>
  <x:sheetData>
    <x:row r="1" ht="38" customHeight="1">
      <x:c r="A1" s="6" t="str">
        <x:v>처리 순서와 QA03 시간 투영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3" customHeight="1">
      <x:c r="A2" s="8" t="str">
        <x:v>종료 시각은 Python scheduler 계산값. L열은 외부·사용자 대기·순수 재생을 0으로 한 DAG 투영 수식이다. 병렬 경로는 MAX로 연결한다.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8" customHeight="1">
      <x:c r="A5" s="11" t="str">
        <x:v>구성</x:v>
      </x:c>
      <x:c r="B5" s="11" t="str">
        <x:v>사례</x:v>
      </x:c>
      <x:c r="C5" s="11" t="str">
        <x:v>단계 ID</x:v>
      </x:c>
      <x:c r="D5" s="11" t="str">
        <x:v>내용</x:v>
      </x:c>
      <x:c r="E5" s="11" t="str">
        <x:v>VIA/외부</x:v>
      </x:c>
      <x:c r="F5" s="11" t="str">
        <x:v>시작 s</x:v>
      </x:c>
      <x:c r="G5" s="11" t="str">
        <x:v>종료 s</x:v>
      </x:c>
      <x:c r="H5" s="11" t="str">
        <x:v>duration s</x:v>
      </x:c>
      <x:c r="I5" s="11" t="str">
        <x:v>목표 원점 s</x:v>
      </x:c>
      <x:c r="J5" s="11" t="str">
        <x:v>인과 부모</x:v>
      </x:c>
      <x:c r="K5" s="11" t="str">
        <x:v>자원</x:v>
      </x:c>
      <x:c r="L5" s="11" t="str">
        <x:v>QA03 누적 s</x:v>
      </x:c>
    </x:row>
    <x:row r="6" ht="42" customHeight="1">
      <x:c r="A6" s="12" t="str">
        <x:v>BASE</x:v>
      </x:c>
      <x:c r="B6" s="12" t="str">
        <x:v>U01</x:v>
      </x:c>
      <x:c r="C6" s="12" t="str">
        <x:v>input_end</x:v>
      </x:c>
      <x:c r="D6" s="12" t="str">
        <x:v>사용자 입력 종료</x:v>
      </x:c>
      <x:c r="E6" s="12" t="str">
        <x:v>external</x:v>
      </x:c>
      <x:c r="F6" s="13" t="n">
        <x:v>0</x:v>
      </x:c>
      <x:c r="G6" s="13" t="n">
        <x:v>0</x:v>
      </x:c>
      <x:c r="H6" s="13" t="n">
        <x:v>0</x:v>
      </x:c>
      <x:c r="I6" s="13" t="n">
        <x:v>0</x:v>
      </x:c>
      <x:c r="J6" s="12" t="str"/>
      <x:c r="K6" s="12" t="str">
        <x:v>none</x:v>
      </x:c>
      <x:c r="L6" s="13" t="n">
        <x:f>IF(G6&lt;=I6,0,MAX(0)+IF(E6="via",MAX(0,G6-MAX(F6,I6)),0))</x:f>
        <x:v>0</x:v>
      </x:c>
    </x:row>
    <x:row r="7" ht="42" customHeight="1">
      <x:c r="A7" s="7" t="str">
        <x:v>BASE</x:v>
      </x:c>
      <x:c r="B7" s="7" t="str">
        <x:v>U01</x:v>
      </x:c>
      <x:c r="C7" s="7" t="str">
        <x:v>intake</x:v>
      </x:c>
      <x:c r="D7" s="7" t="str">
        <x:v>입력 확정</x:v>
      </x:c>
      <x:c r="E7" s="7" t="str">
        <x:v>via</x:v>
      </x:c>
      <x:c r="F7" s="14" t="n">
        <x:v>0</x:v>
      </x:c>
      <x:c r="G7" s="14" t="n">
        <x:v>0.06</x:v>
      </x:c>
      <x:c r="H7" s="14" t="n">
        <x:v>0.06</x:v>
      </x:c>
      <x:c r="I7" s="14" t="n">
        <x:v>0</x:v>
      </x:c>
      <x:c r="J7" s="7" t="str">
        <x:v>input_end</x:v>
      </x:c>
      <x:c r="K7" s="7" t="str">
        <x:v>none</x:v>
      </x:c>
      <x:c r="L7" s="14" t="n">
        <x:f>IF(G7&lt;=I7,0,MAX(0,L6)+IF(E7="via",MAX(0,G7-MAX(F7,I7)),0))</x:f>
        <x:v>0.06</x:v>
      </x:c>
    </x:row>
    <x:row r="8" ht="42" customHeight="1">
      <x:c r="A8" s="12" t="str">
        <x:v>BASE</x:v>
      </x:c>
      <x:c r="B8" s="12" t="str">
        <x:v>U01</x:v>
      </x:c>
      <x:c r="C8" s="12" t="str">
        <x:v>read</x:v>
      </x:c>
      <x:c r="D8" s="12" t="str">
        <x:v>공통 허용 원본 조회</x:v>
      </x:c>
      <x:c r="E8" s="12" t="str">
        <x:v>via</x:v>
      </x:c>
      <x:c r="F8" s="13" t="n">
        <x:v>0.06</x:v>
      </x:c>
      <x:c r="G8" s="13" t="n">
        <x:v>0.14</x:v>
      </x:c>
      <x:c r="H8" s="13" t="n">
        <x:v>0.08</x:v>
      </x:c>
      <x:c r="I8" s="13" t="n">
        <x:v>0</x:v>
      </x:c>
      <x:c r="J8" s="12" t="str">
        <x:v>intake</x:v>
      </x:c>
      <x:c r="K8" s="12" t="str">
        <x:v>none</x:v>
      </x:c>
      <x:c r="L8" s="13" t="n">
        <x:f>IF(G8&lt;=I8,0,MAX(0,L7)+IF(E8="via",MAX(0,G8-MAX(F8,I8)),0))</x:f>
        <x:v>0.14</x:v>
      </x:c>
    </x:row>
    <x:row r="9" ht="42" customHeight="1">
      <x:c r="A9" s="7" t="str">
        <x:v>BASE</x:v>
      </x:c>
      <x:c r="B9" s="7" t="str">
        <x:v>U01</x:v>
      </x:c>
      <x:c r="C9" s="7" t="str">
        <x:v>meaning</x:v>
      </x:c>
      <x:c r="D9" s="7" t="str">
        <x:v>최초 요청 의미 채택 packet 생성</x:v>
      </x:c>
      <x:c r="E9" s="7" t="str">
        <x:v>via</x:v>
      </x:c>
      <x:c r="F9" s="14" t="n">
        <x:v>0.14</x:v>
      </x:c>
      <x:c r="G9" s="14" t="n">
        <x:v>1.2400000000000002</x:v>
      </x:c>
      <x:c r="H9" s="14" t="n">
        <x:v>1.1</x:v>
      </x:c>
      <x:c r="I9" s="14" t="n">
        <x:v>0</x:v>
      </x:c>
      <x:c r="J9" s="7" t="str">
        <x:v>read</x:v>
      </x:c>
      <x:c r="K9" s="7" t="str">
        <x:v>semantic</x:v>
      </x:c>
      <x:c r="L9" s="14" t="n">
        <x:f>IF(G9&lt;=I9,0,MAX(0,L8)+IF(E9="via",MAX(0,G9-MAX(F9,I9)),0))</x:f>
        <x:v>1.2400000000000002</x:v>
      </x:c>
    </x:row>
    <x:row r="10" ht="42" customHeight="1">
      <x:c r="A10" s="12" t="str">
        <x:v>BASE</x:v>
      </x:c>
      <x:c r="B10" s="12" t="str">
        <x:v>U01</x:v>
      </x:c>
      <x:c r="C10" s="12" t="str">
        <x:v>adopt</x:v>
      </x:c>
      <x:c r="D10" s="12" t="str">
        <x:v>현재 revision과 권한 검사 및 채택</x:v>
      </x:c>
      <x:c r="E10" s="12" t="str">
        <x:v>via</x:v>
      </x:c>
      <x:c r="F10" s="13" t="n">
        <x:v>1.2400000000000002</x:v>
      </x:c>
      <x:c r="G10" s="13" t="n">
        <x:v>1.2700000000000002</x:v>
      </x:c>
      <x:c r="H10" s="13" t="n">
        <x:v>0.03</x:v>
      </x:c>
      <x:c r="I10" s="13" t="n">
        <x:v>0</x:v>
      </x:c>
      <x:c r="J10" s="12" t="str">
        <x:v>meaning</x:v>
      </x:c>
      <x:c r="K10" s="12" t="str">
        <x:v>none</x:v>
      </x:c>
      <x:c r="L10" s="13" t="n">
        <x:f>IF(G10&lt;=I10,0,MAX(0,L9)+IF(E10="via",MAX(0,G10-MAX(F10,I10)),0))</x:f>
        <x:v>1.2700000000000002</x:v>
      </x:c>
    </x:row>
    <x:row r="11" ht="42" customHeight="1">
      <x:c r="A11" s="7" t="str">
        <x:v>BASE</x:v>
      </x:c>
      <x:c r="B11" s="7" t="str">
        <x:v>U01</x:v>
      </x:c>
      <x:c r="C11" s="7" t="str">
        <x:v>first_display</x:v>
      </x:c>
      <x:c r="D11" s="7" t="str">
        <x:v>첫 구체적 채택 내용 화면 표시</x:v>
      </x:c>
      <x:c r="E11" s="7" t="str">
        <x:v>via</x:v>
      </x:c>
      <x:c r="F11" s="14" t="n">
        <x:v>1.2700000000000002</x:v>
      </x:c>
      <x:c r="G11" s="14" t="n">
        <x:v>1.3100000000000003</x:v>
      </x:c>
      <x:c r="H11" s="14" t="n">
        <x:v>0.04</x:v>
      </x:c>
      <x:c r="I11" s="14" t="n">
        <x:v>0</x:v>
      </x:c>
      <x:c r="J11" s="7" t="str">
        <x:v>adopt</x:v>
      </x:c>
      <x:c r="K11" s="7" t="str">
        <x:v>none</x:v>
      </x:c>
      <x:c r="L11" s="14" t="n">
        <x:f>IF(G11&lt;=I11,0,MAX(0,L10)+IF(E11="via",MAX(0,G11-MAX(F11,I11)),0))</x:f>
        <x:v>1.3100000000000003</x:v>
      </x:c>
    </x:row>
    <x:row r="12" ht="42" customHeight="1">
      <x:c r="A12" s="12" t="str">
        <x:v>BASE</x:v>
      </x:c>
      <x:c r="B12" s="12" t="str">
        <x:v>U01</x:v>
      </x:c>
      <x:c r="C12" s="12" t="str">
        <x:v>response_audio</x:v>
      </x:c>
      <x:c r="D12" s="12" t="str">
        <x:v>선택한 응답 음성 생성</x:v>
      </x:c>
      <x:c r="E12" s="12" t="str">
        <x:v>via</x:v>
      </x:c>
      <x:c r="F12" s="13" t="n">
        <x:v>1.2700000000000002</x:v>
      </x:c>
      <x:c r="G12" s="13" t="n">
        <x:v>3.1580000000000004</x:v>
      </x:c>
      <x:c r="H12" s="13" t="n">
        <x:v>1.888</x:v>
      </x:c>
      <x:c r="I12" s="13" t="n">
        <x:v>0</x:v>
      </x:c>
      <x:c r="J12" s="12" t="str">
        <x:v>adopt</x:v>
      </x:c>
      <x:c r="K12" s="12" t="str">
        <x:v>speech</x:v>
      </x:c>
      <x:c r="L12" s="13" t="n">
        <x:f>IF(G12&lt;=I12,0,MAX(0,L10)+IF(E12="via",MAX(0,G12-MAX(F12,I12)),0))</x:f>
        <x:v>3.1580000000000004</x:v>
      </x:c>
    </x:row>
    <x:row r="13" ht="42" customHeight="1">
      <x:c r="A13" s="7" t="str">
        <x:v>BASE</x:v>
      </x:c>
      <x:c r="B13" s="7" t="str">
        <x:v>U01</x:v>
      </x:c>
      <x:c r="C13" s="7" t="str">
        <x:v>first_chunk</x:v>
      </x:c>
      <x:c r="D13" s="7" t="str">
        <x:v>같은 생성 job의 유효 첫 chunk 관측</x:v>
      </x:c>
      <x:c r="E13" s="7" t="str">
        <x:v>via</x:v>
      </x:c>
      <x:c r="F13" s="14" t="n">
        <x:v>1.2700000000000002</x:v>
      </x:c>
      <x:c r="G13" s="14" t="n">
        <x:v>1.7080000000000002</x:v>
      </x:c>
      <x:c r="H13" s="14" t="n">
        <x:v>0.438</x:v>
      </x:c>
      <x:c r="I13" s="14" t="n">
        <x:v>0</x:v>
      </x:c>
      <x:c r="J13" s="7" t="str">
        <x:v>adopt</x:v>
      </x:c>
      <x:c r="K13" s="7" t="str">
        <x:v>none</x:v>
      </x:c>
      <x:c r="L13" s="14" t="n">
        <x:f>IF(G13&lt;=I13,0,MAX(0,L10)+IF(E13="via",MAX(0,G13-MAX(F13,I13)),0))</x:f>
        <x:v>1.7080000000000002</x:v>
      </x:c>
    </x:row>
    <x:row r="14" ht="42" customHeight="1">
      <x:c r="A14" s="12" t="str">
        <x:v>BASE</x:v>
      </x:c>
      <x:c r="B14" s="12" t="str">
        <x:v>U01</x:v>
      </x:c>
      <x:c r="C14" s="12" t="str">
        <x:v>first_audio_output</x:v>
      </x:c>
      <x:c r="D14" s="12" t="str">
        <x:v>공통 장치의 첫 음성 출력</x:v>
      </x:c>
      <x:c r="E14" s="12" t="str">
        <x:v>via</x:v>
      </x:c>
      <x:c r="F14" s="13" t="n">
        <x:v>1.7080000000000002</x:v>
      </x:c>
      <x:c r="G14" s="13" t="n">
        <x:v>1.7480000000000002</x:v>
      </x:c>
      <x:c r="H14" s="13" t="n">
        <x:v>0.04</x:v>
      </x:c>
      <x:c r="I14" s="13" t="n">
        <x:v>0</x:v>
      </x:c>
      <x:c r="J14" s="12" t="str">
        <x:v>adopt, first_chunk</x:v>
      </x:c>
      <x:c r="K14" s="12" t="str">
        <x:v>none</x:v>
      </x:c>
      <x:c r="L14" s="13" t="n">
        <x:f>IF(G14&lt;=I14,0,MAX(0,L10,L13)+IF(E14="via",MAX(0,G14-MAX(F14,I14)),0))</x:f>
        <x:v>1.7480000000000002</x:v>
      </x:c>
    </x:row>
    <x:row r="15" ht="42" customHeight="1">
      <x:c r="A15" s="7" t="str">
        <x:v>BASE</x:v>
      </x:c>
      <x:c r="B15" s="7" t="str">
        <x:v>U01</x:v>
      </x:c>
      <x:c r="C15" s="7" t="str">
        <x:v>terminal</x:v>
      </x:c>
      <x:c r="D15" s="7" t="str">
        <x:v>공통 목표 최종 상태와 전체 음성 준비</x:v>
      </x:c>
      <x:c r="E15" s="7" t="str">
        <x:v>via</x:v>
      </x:c>
      <x:c r="F15" s="14" t="n">
        <x:v>3.1580000000000004</x:v>
      </x:c>
      <x:c r="G15" s="14" t="n">
        <x:v>3.1580000000000004</x:v>
      </x:c>
      <x:c r="H15" s="14" t="n">
        <x:v>0</x:v>
      </x:c>
      <x:c r="I15" s="14" t="n">
        <x:v>0</x:v>
      </x:c>
      <x:c r="J15" s="7" t="str">
        <x:v>first_display, response_audio, first_audio_output</x:v>
      </x:c>
      <x:c r="K15" s="7" t="str">
        <x:v>none</x:v>
      </x:c>
      <x:c r="L15" s="14" t="n">
        <x:f>IF(G15&lt;=I15,0,MAX(0,L11,L12,L14)+IF(E15="via",MAX(0,G15-MAX(F15,I15)),0))</x:f>
        <x:v>3.1580000000000004</x:v>
      </x:c>
    </x:row>
    <x:row r="16" ht="42" customHeight="1">
      <x:c r="A16" s="12" t="str">
        <x:v>BASE</x:v>
      </x:c>
      <x:c r="B16" s="12" t="str">
        <x:v>U02</x:v>
      </x:c>
      <x:c r="C16" s="12" t="str">
        <x:v>input_end</x:v>
      </x:c>
      <x:c r="D16" s="12" t="str">
        <x:v>사용자 입력 종료</x:v>
      </x:c>
      <x:c r="E16" s="12" t="str">
        <x:v>external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2" t="str"/>
      <x:c r="K16" s="12" t="str">
        <x:v>none</x:v>
      </x:c>
      <x:c r="L16" s="13" t="n">
        <x:f>IF(G16&lt;=I16,0,MAX(0)+IF(E16="via",MAX(0,G16-MAX(F16,I16)),0))</x:f>
        <x:v>0</x:v>
      </x:c>
    </x:row>
    <x:row r="17" ht="42" customHeight="1">
      <x:c r="A17" s="7" t="str">
        <x:v>BASE</x:v>
      </x:c>
      <x:c r="B17" s="7" t="str">
        <x:v>U02</x:v>
      </x:c>
      <x:c r="C17" s="7" t="str">
        <x:v>intake</x:v>
      </x:c>
      <x:c r="D17" s="7" t="str">
        <x:v>입력 확정</x:v>
      </x:c>
      <x:c r="E17" s="7" t="str">
        <x:v>via</x:v>
      </x:c>
      <x:c r="F17" s="14" t="n">
        <x:v>0</x:v>
      </x:c>
      <x:c r="G17" s="14" t="n">
        <x:v>0.3</x:v>
      </x:c>
      <x:c r="H17" s="14" t="n">
        <x:v>0.3</x:v>
      </x:c>
      <x:c r="I17" s="14" t="n">
        <x:v>0</x:v>
      </x:c>
      <x:c r="J17" s="7" t="str">
        <x:v>input_end</x:v>
      </x:c>
      <x:c r="K17" s="7" t="str">
        <x:v>none</x:v>
      </x:c>
      <x:c r="L17" s="14" t="n">
        <x:f>IF(G17&lt;=I17,0,MAX(0,L16)+IF(E17="via",MAX(0,G17-MAX(F17,I17)),0))</x:f>
        <x:v>0.3</x:v>
      </x:c>
    </x:row>
    <x:row r="18" ht="42" customHeight="1">
      <x:c r="A18" s="12" t="str">
        <x:v>BASE</x:v>
      </x:c>
      <x:c r="B18" s="12" t="str">
        <x:v>U02</x:v>
      </x:c>
      <x:c r="C18" s="12" t="str">
        <x:v>read</x:v>
      </x:c>
      <x:c r="D18" s="12" t="str">
        <x:v>공통 허용 원본 조회</x:v>
      </x:c>
      <x:c r="E18" s="12" t="str">
        <x:v>via</x:v>
      </x:c>
      <x:c r="F18" s="13" t="n">
        <x:v>0.3</x:v>
      </x:c>
      <x:c r="G18" s="13" t="n">
        <x:v>0.38</x:v>
      </x:c>
      <x:c r="H18" s="13" t="n">
        <x:v>0.08</x:v>
      </x:c>
      <x:c r="I18" s="13" t="n">
        <x:v>0</x:v>
      </x:c>
      <x:c r="J18" s="12" t="str">
        <x:v>intake</x:v>
      </x:c>
      <x:c r="K18" s="12" t="str">
        <x:v>none</x:v>
      </x:c>
      <x:c r="L18" s="13" t="n">
        <x:f>IF(G18&lt;=I18,0,MAX(0,L17)+IF(E18="via",MAX(0,G18-MAX(F18,I18)),0))</x:f>
        <x:v>0.38</x:v>
      </x:c>
    </x:row>
    <x:row r="19" ht="42" customHeight="1">
      <x:c r="A19" s="7" t="str">
        <x:v>BASE</x:v>
      </x:c>
      <x:c r="B19" s="7" t="str">
        <x:v>U02</x:v>
      </x:c>
      <x:c r="C19" s="7" t="str">
        <x:v>meaning</x:v>
      </x:c>
      <x:c r="D19" s="7" t="str">
        <x:v>최초 요청 의미 채택 packet 생성</x:v>
      </x:c>
      <x:c r="E19" s="7" t="str">
        <x:v>via</x:v>
      </x:c>
      <x:c r="F19" s="14" t="n">
        <x:v>0.38</x:v>
      </x:c>
      <x:c r="G19" s="14" t="n">
        <x:v>1.48</x:v>
      </x:c>
      <x:c r="H19" s="14" t="n">
        <x:v>1.1</x:v>
      </x:c>
      <x:c r="I19" s="14" t="n">
        <x:v>0</x:v>
      </x:c>
      <x:c r="J19" s="7" t="str">
        <x:v>read</x:v>
      </x:c>
      <x:c r="K19" s="7" t="str">
        <x:v>semantic</x:v>
      </x:c>
      <x:c r="L19" s="14" t="n">
        <x:f>IF(G19&lt;=I19,0,MAX(0,L18)+IF(E19="via",MAX(0,G19-MAX(F19,I19)),0))</x:f>
        <x:v>1.48</x:v>
      </x:c>
    </x:row>
    <x:row r="20" ht="42" customHeight="1">
      <x:c r="A20" s="12" t="str">
        <x:v>BASE</x:v>
      </x:c>
      <x:c r="B20" s="12" t="str">
        <x:v>U02</x:v>
      </x:c>
      <x:c r="C20" s="12" t="str">
        <x:v>adopt</x:v>
      </x:c>
      <x:c r="D20" s="12" t="str">
        <x:v>현재 revision과 권한 검사 및 채택</x:v>
      </x:c>
      <x:c r="E20" s="12" t="str">
        <x:v>via</x:v>
      </x:c>
      <x:c r="F20" s="13" t="n">
        <x:v>1.48</x:v>
      </x:c>
      <x:c r="G20" s="13" t="n">
        <x:v>1.51</x:v>
      </x:c>
      <x:c r="H20" s="13" t="n">
        <x:v>0.03</x:v>
      </x:c>
      <x:c r="I20" s="13" t="n">
        <x:v>0</x:v>
      </x:c>
      <x:c r="J20" s="12" t="str">
        <x:v>meaning</x:v>
      </x:c>
      <x:c r="K20" s="12" t="str">
        <x:v>none</x:v>
      </x:c>
      <x:c r="L20" s="13" t="n">
        <x:f>IF(G20&lt;=I20,0,MAX(0,L19)+IF(E20="via",MAX(0,G20-MAX(F20,I20)),0))</x:f>
        <x:v>1.51</x:v>
      </x:c>
    </x:row>
    <x:row r="21" ht="42" customHeight="1">
      <x:c r="A21" s="7" t="str">
        <x:v>BASE</x:v>
      </x:c>
      <x:c r="B21" s="7" t="str">
        <x:v>U02</x:v>
      </x:c>
      <x:c r="C21" s="7" t="str">
        <x:v>first_display</x:v>
      </x:c>
      <x:c r="D21" s="7" t="str">
        <x:v>첫 구체적 채택 내용 화면 표시</x:v>
      </x:c>
      <x:c r="E21" s="7" t="str">
        <x:v>via</x:v>
      </x:c>
      <x:c r="F21" s="14" t="n">
        <x:v>1.51</x:v>
      </x:c>
      <x:c r="G21" s="14" t="n">
        <x:v>1.55</x:v>
      </x:c>
      <x:c r="H21" s="14" t="n">
        <x:v>0.04</x:v>
      </x:c>
      <x:c r="I21" s="14" t="n">
        <x:v>0</x:v>
      </x:c>
      <x:c r="J21" s="7" t="str">
        <x:v>adopt</x:v>
      </x:c>
      <x:c r="K21" s="7" t="str">
        <x:v>none</x:v>
      </x:c>
      <x:c r="L21" s="14" t="n">
        <x:f>IF(G21&lt;=I21,0,MAX(0,L20)+IF(E21="via",MAX(0,G21-MAX(F21,I21)),0))</x:f>
        <x:v>1.55</x:v>
      </x:c>
    </x:row>
    <x:row r="22" ht="42" customHeight="1">
      <x:c r="A22" s="12" t="str">
        <x:v>BASE</x:v>
      </x:c>
      <x:c r="B22" s="12" t="str">
        <x:v>U02</x:v>
      </x:c>
      <x:c r="C22" s="12" t="str">
        <x:v>response_audio</x:v>
      </x:c>
      <x:c r="D22" s="12" t="str">
        <x:v>선택한 응답 음성 생성</x:v>
      </x:c>
      <x:c r="E22" s="12" t="str">
        <x:v>via</x:v>
      </x:c>
      <x:c r="F22" s="13" t="n">
        <x:v>1.51</x:v>
      </x:c>
      <x:c r="G22" s="13" t="n">
        <x:v>2.644</x:v>
      </x:c>
      <x:c r="H22" s="13" t="n">
        <x:v>1.134</x:v>
      </x:c>
      <x:c r="I22" s="13" t="n">
        <x:v>0</x:v>
      </x:c>
      <x:c r="J22" s="12" t="str">
        <x:v>adopt</x:v>
      </x:c>
      <x:c r="K22" s="12" t="str">
        <x:v>speech</x:v>
      </x:c>
      <x:c r="L22" s="13" t="n">
        <x:f>IF(G22&lt;=I22,0,MAX(0,L20)+IF(E22="via",MAX(0,G22-MAX(F22,I22)),0))</x:f>
        <x:v>2.644</x:v>
      </x:c>
    </x:row>
    <x:row r="23" ht="42" customHeight="1">
      <x:c r="A23" s="7" t="str">
        <x:v>BASE</x:v>
      </x:c>
      <x:c r="B23" s="7" t="str">
        <x:v>U02</x:v>
      </x:c>
      <x:c r="C23" s="7" t="str">
        <x:v>first_chunk</x:v>
      </x:c>
      <x:c r="D23" s="7" t="str">
        <x:v>같은 생성 job의 유효 첫 chunk 관측</x:v>
      </x:c>
      <x:c r="E23" s="7" t="str">
        <x:v>via</x:v>
      </x:c>
      <x:c r="F23" s="14" t="n">
        <x:v>1.51</x:v>
      </x:c>
      <x:c r="G23" s="14" t="n">
        <x:v>1.944</x:v>
      </x:c>
      <x:c r="H23" s="14" t="n">
        <x:v>0.434</x:v>
      </x:c>
      <x:c r="I23" s="14" t="n">
        <x:v>0</x:v>
      </x:c>
      <x:c r="J23" s="7" t="str">
        <x:v>adopt</x:v>
      </x:c>
      <x:c r="K23" s="7" t="str">
        <x:v>none</x:v>
      </x:c>
      <x:c r="L23" s="14" t="n">
        <x:f>IF(G23&lt;=I23,0,MAX(0,L20)+IF(E23="via",MAX(0,G23-MAX(F23,I23)),0))</x:f>
        <x:v>1.944</x:v>
      </x:c>
    </x:row>
    <x:row r="24" ht="42" customHeight="1">
      <x:c r="A24" s="12" t="str">
        <x:v>BASE</x:v>
      </x:c>
      <x:c r="B24" s="12" t="str">
        <x:v>U02</x:v>
      </x:c>
      <x:c r="C24" s="12" t="str">
        <x:v>first_audio_output</x:v>
      </x:c>
      <x:c r="D24" s="12" t="str">
        <x:v>공통 장치의 첫 음성 출력</x:v>
      </x:c>
      <x:c r="E24" s="12" t="str">
        <x:v>via</x:v>
      </x:c>
      <x:c r="F24" s="13" t="n">
        <x:v>1.944</x:v>
      </x:c>
      <x:c r="G24" s="13" t="n">
        <x:v>1.984</x:v>
      </x:c>
      <x:c r="H24" s="13" t="n">
        <x:v>0.04</x:v>
      </x:c>
      <x:c r="I24" s="13" t="n">
        <x:v>0</x:v>
      </x:c>
      <x:c r="J24" s="12" t="str">
        <x:v>adopt, first_chunk</x:v>
      </x:c>
      <x:c r="K24" s="12" t="str">
        <x:v>none</x:v>
      </x:c>
      <x:c r="L24" s="13" t="n">
        <x:f>IF(G24&lt;=I24,0,MAX(0,L20,L23)+IF(E24="via",MAX(0,G24-MAX(F24,I24)),0))</x:f>
        <x:v>1.984</x:v>
      </x:c>
    </x:row>
    <x:row r="25" ht="42" customHeight="1">
      <x:c r="A25" s="7" t="str">
        <x:v>BASE</x:v>
      </x:c>
      <x:c r="B25" s="7" t="str">
        <x:v>U02</x:v>
      </x:c>
      <x:c r="C25" s="7" t="str">
        <x:v>terminal</x:v>
      </x:c>
      <x:c r="D25" s="7" t="str">
        <x:v>공통 목표 최종 상태와 전체 음성 준비</x:v>
      </x:c>
      <x:c r="E25" s="7" t="str">
        <x:v>via</x:v>
      </x:c>
      <x:c r="F25" s="14" t="n">
        <x:v>2.644</x:v>
      </x:c>
      <x:c r="G25" s="14" t="n">
        <x:v>2.644</x:v>
      </x:c>
      <x:c r="H25" s="14" t="n">
        <x:v>0</x:v>
      </x:c>
      <x:c r="I25" s="14" t="n">
        <x:v>0</x:v>
      </x:c>
      <x:c r="J25" s="7" t="str">
        <x:v>first_display, response_audio, first_audio_output</x:v>
      </x:c>
      <x:c r="K25" s="7" t="str">
        <x:v>none</x:v>
      </x:c>
      <x:c r="L25" s="14" t="n">
        <x:f>IF(G25&lt;=I25,0,MAX(0,L21,L22,L24)+IF(E25="via",MAX(0,G25-MAX(F25,I25)),0))</x:f>
        <x:v>2.644</x:v>
      </x:c>
    </x:row>
    <x:row r="26" ht="42" customHeight="1">
      <x:c r="A26" s="12" t="str">
        <x:v>BASE</x:v>
      </x:c>
      <x:c r="B26" s="12" t="str">
        <x:v>U03</x:v>
      </x:c>
      <x:c r="C26" s="12" t="str">
        <x:v>input_end</x:v>
      </x:c>
      <x:c r="D26" s="12" t="str">
        <x:v>사용자 입력 종료</x:v>
      </x:c>
      <x:c r="E26" s="12" t="str">
        <x:v>external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2" t="str"/>
      <x:c r="K26" s="12" t="str">
        <x:v>none</x:v>
      </x:c>
      <x:c r="L26" s="13" t="n">
        <x:f>IF(G26&lt;=I26,0,MAX(0)+IF(E26="via",MAX(0,G26-MAX(F26,I26)),0))</x:f>
        <x:v>0</x:v>
      </x:c>
    </x:row>
    <x:row r="27" ht="42" customHeight="1">
      <x:c r="A27" s="7" t="str">
        <x:v>BASE</x:v>
      </x:c>
      <x:c r="B27" s="7" t="str">
        <x:v>U03</x:v>
      </x:c>
      <x:c r="C27" s="7" t="str">
        <x:v>intake</x:v>
      </x:c>
      <x:c r="D27" s="7" t="str">
        <x:v>입력 확정</x:v>
      </x:c>
      <x:c r="E27" s="7" t="str">
        <x:v>via</x:v>
      </x:c>
      <x:c r="F27" s="14" t="n">
        <x:v>0</x:v>
      </x:c>
      <x:c r="G27" s="14" t="n">
        <x:v>0.06</x:v>
      </x:c>
      <x:c r="H27" s="14" t="n">
        <x:v>0.06</x:v>
      </x:c>
      <x:c r="I27" s="14" t="n">
        <x:v>0</x:v>
      </x:c>
      <x:c r="J27" s="7" t="str">
        <x:v>input_end</x:v>
      </x:c>
      <x:c r="K27" s="7" t="str">
        <x:v>none</x:v>
      </x:c>
      <x:c r="L27" s="14" t="n">
        <x:f>IF(G27&lt;=I27,0,MAX(0,L26)+IF(E27="via",MAX(0,G27-MAX(F27,I27)),0))</x:f>
        <x:v>0.06</x:v>
      </x:c>
    </x:row>
    <x:row r="28" ht="42" customHeight="1">
      <x:c r="A28" s="12" t="str">
        <x:v>BASE</x:v>
      </x:c>
      <x:c r="B28" s="12" t="str">
        <x:v>U03</x:v>
      </x:c>
      <x:c r="C28" s="12" t="str">
        <x:v>read</x:v>
      </x:c>
      <x:c r="D28" s="12" t="str">
        <x:v>공통 허용 원본 조회</x:v>
      </x:c>
      <x:c r="E28" s="12" t="str">
        <x:v>via</x:v>
      </x:c>
      <x:c r="F28" s="13" t="n">
        <x:v>0.06</x:v>
      </x:c>
      <x:c r="G28" s="13" t="n">
        <x:v>0.14</x:v>
      </x:c>
      <x:c r="H28" s="13" t="n">
        <x:v>0.08</x:v>
      </x:c>
      <x:c r="I28" s="13" t="n">
        <x:v>0</x:v>
      </x:c>
      <x:c r="J28" s="12" t="str">
        <x:v>intake</x:v>
      </x:c>
      <x:c r="K28" s="12" t="str">
        <x:v>none</x:v>
      </x:c>
      <x:c r="L28" s="13" t="n">
        <x:f>IF(G28&lt;=I28,0,MAX(0,L27)+IF(E28="via",MAX(0,G28-MAX(F28,I28)),0))</x:f>
        <x:v>0.14</x:v>
      </x:c>
    </x:row>
    <x:row r="29" ht="42" customHeight="1">
      <x:c r="A29" s="7" t="str">
        <x:v>BASE</x:v>
      </x:c>
      <x:c r="B29" s="7" t="str">
        <x:v>U03</x:v>
      </x:c>
      <x:c r="C29" s="7" t="str">
        <x:v>meaning</x:v>
      </x:c>
      <x:c r="D29" s="7" t="str">
        <x:v>최초 요청 의미 채택 packet 생성</x:v>
      </x:c>
      <x:c r="E29" s="7" t="str">
        <x:v>via</x:v>
      </x:c>
      <x:c r="F29" s="14" t="n">
        <x:v>0.14</x:v>
      </x:c>
      <x:c r="G29" s="14" t="n">
        <x:v>1.2400000000000002</x:v>
      </x:c>
      <x:c r="H29" s="14" t="n">
        <x:v>1.1</x:v>
      </x:c>
      <x:c r="I29" s="14" t="n">
        <x:v>0</x:v>
      </x:c>
      <x:c r="J29" s="7" t="str">
        <x:v>read</x:v>
      </x:c>
      <x:c r="K29" s="7" t="str">
        <x:v>semantic</x:v>
      </x:c>
      <x:c r="L29" s="14" t="n">
        <x:f>IF(G29&lt;=I29,0,MAX(0,L28)+IF(E29="via",MAX(0,G29-MAX(F29,I29)),0))</x:f>
        <x:v>1.2400000000000002</x:v>
      </x:c>
    </x:row>
    <x:row r="30" ht="42" customHeight="1">
      <x:c r="A30" s="12" t="str">
        <x:v>BASE</x:v>
      </x:c>
      <x:c r="B30" s="12" t="str">
        <x:v>U03</x:v>
      </x:c>
      <x:c r="C30" s="12" t="str">
        <x:v>adopt</x:v>
      </x:c>
      <x:c r="D30" s="12" t="str">
        <x:v>현재 revision과 권한 검사 및 채택</x:v>
      </x:c>
      <x:c r="E30" s="12" t="str">
        <x:v>via</x:v>
      </x:c>
      <x:c r="F30" s="13" t="n">
        <x:v>1.2400000000000002</x:v>
      </x:c>
      <x:c r="G30" s="13" t="n">
        <x:v>1.2700000000000002</x:v>
      </x:c>
      <x:c r="H30" s="13" t="n">
        <x:v>0.03</x:v>
      </x:c>
      <x:c r="I30" s="13" t="n">
        <x:v>0</x:v>
      </x:c>
      <x:c r="J30" s="12" t="str">
        <x:v>meaning</x:v>
      </x:c>
      <x:c r="K30" s="12" t="str">
        <x:v>none</x:v>
      </x:c>
      <x:c r="L30" s="13" t="n">
        <x:f>IF(G30&lt;=I30,0,MAX(0,L29)+IF(E30="via",MAX(0,G30-MAX(F30,I30)),0))</x:f>
        <x:v>1.2700000000000002</x:v>
      </x:c>
    </x:row>
    <x:row r="31" ht="42" customHeight="1">
      <x:c r="A31" s="7" t="str">
        <x:v>BASE</x:v>
      </x:c>
      <x:c r="B31" s="7" t="str">
        <x:v>U03</x:v>
      </x:c>
      <x:c r="C31" s="7" t="str">
        <x:v>first_display</x:v>
      </x:c>
      <x:c r="D31" s="7" t="str">
        <x:v>첫 구체적 채택 내용 화면 표시</x:v>
      </x:c>
      <x:c r="E31" s="7" t="str">
        <x:v>via</x:v>
      </x:c>
      <x:c r="F31" s="14" t="n">
        <x:v>1.2700000000000002</x:v>
      </x:c>
      <x:c r="G31" s="14" t="n">
        <x:v>1.3100000000000003</x:v>
      </x:c>
      <x:c r="H31" s="14" t="n">
        <x:v>0.04</x:v>
      </x:c>
      <x:c r="I31" s="14" t="n">
        <x:v>0</x:v>
      </x:c>
      <x:c r="J31" s="7" t="str">
        <x:v>adopt</x:v>
      </x:c>
      <x:c r="K31" s="7" t="str">
        <x:v>none</x:v>
      </x:c>
      <x:c r="L31" s="14" t="n">
        <x:f>IF(G31&lt;=I31,0,MAX(0,L30)+IF(E31="via",MAX(0,G31-MAX(F31,I31)),0))</x:f>
        <x:v>1.3100000000000003</x:v>
      </x:c>
    </x:row>
    <x:row r="32" ht="42" customHeight="1">
      <x:c r="A32" s="12" t="str">
        <x:v>BASE</x:v>
      </x:c>
      <x:c r="B32" s="12" t="str">
        <x:v>U03</x:v>
      </x:c>
      <x:c r="C32" s="12" t="str">
        <x:v>long_work</x:v>
      </x:c>
      <x:c r="D32" s="12" t="str">
        <x:v>요청의 남은 VIA 판단</x:v>
      </x:c>
      <x:c r="E32" s="12" t="str">
        <x:v>via</x:v>
      </x:c>
      <x:c r="F32" s="13" t="n">
        <x:v>1.2700000000000002</x:v>
      </x:c>
      <x:c r="G32" s="13" t="n">
        <x:v>2.87</x:v>
      </x:c>
      <x:c r="H32" s="13" t="n">
        <x:v>1.6</x:v>
      </x:c>
      <x:c r="I32" s="13" t="n">
        <x:v>0</x:v>
      </x:c>
      <x:c r="J32" s="12" t="str">
        <x:v>adopt</x:v>
      </x:c>
      <x:c r="K32" s="12" t="str">
        <x:v>semantic</x:v>
      </x:c>
      <x:c r="L32" s="13" t="n">
        <x:f>IF(G32&lt;=I32,0,MAX(0,L30)+IF(E32="via",MAX(0,G32-MAX(F32,I32)),0))</x:f>
        <x:v>2.87</x:v>
      </x:c>
    </x:row>
    <x:row r="33" ht="42" customHeight="1">
      <x:c r="A33" s="7" t="str">
        <x:v>BASE</x:v>
      </x:c>
      <x:c r="B33" s="7" t="str">
        <x:v>U03</x:v>
      </x:c>
      <x:c r="C33" s="7" t="str">
        <x:v>result_display</x:v>
      </x:c>
      <x:c r="D33" s="7" t="str">
        <x:v>최종 설명 상세 표시</x:v>
      </x:c>
      <x:c r="E33" s="7" t="str">
        <x:v>via</x:v>
      </x:c>
      <x:c r="F33" s="14" t="n">
        <x:v>2.87</x:v>
      </x:c>
      <x:c r="G33" s="14" t="n">
        <x:v>2.91</x:v>
      </x:c>
      <x:c r="H33" s="14" t="n">
        <x:v>0.04</x:v>
      </x:c>
      <x:c r="I33" s="14" t="n">
        <x:v>0</x:v>
      </x:c>
      <x:c r="J33" s="7" t="str">
        <x:v>long_work</x:v>
      </x:c>
      <x:c r="K33" s="7" t="str">
        <x:v>none</x:v>
      </x:c>
      <x:c r="L33" s="14" t="n">
        <x:f>IF(G33&lt;=I33,0,MAX(0,L32)+IF(E33="via",MAX(0,G33-MAX(F33,I33)),0))</x:f>
        <x:v>2.91</x:v>
      </x:c>
    </x:row>
    <x:row r="34" ht="42" customHeight="1">
      <x:c r="A34" s="12" t="str">
        <x:v>BASE</x:v>
      </x:c>
      <x:c r="B34" s="12" t="str">
        <x:v>U03</x:v>
      </x:c>
      <x:c r="C34" s="12" t="str">
        <x:v>response_audio</x:v>
      </x:c>
      <x:c r="D34" s="12" t="str">
        <x:v>선택한 응답 음성 생성</x:v>
      </x:c>
      <x:c r="E34" s="12" t="str">
        <x:v>via</x:v>
      </x:c>
      <x:c r="F34" s="13" t="n">
        <x:v>2.87</x:v>
      </x:c>
      <x:c r="G34" s="13" t="n">
        <x:v>4.758</x:v>
      </x:c>
      <x:c r="H34" s="13" t="n">
        <x:v>1.888</x:v>
      </x:c>
      <x:c r="I34" s="13" t="n">
        <x:v>0</x:v>
      </x:c>
      <x:c r="J34" s="12" t="str">
        <x:v>long_work</x:v>
      </x:c>
      <x:c r="K34" s="12" t="str">
        <x:v>speech</x:v>
      </x:c>
      <x:c r="L34" s="13" t="n">
        <x:f>IF(G34&lt;=I34,0,MAX(0,L32)+IF(E34="via",MAX(0,G34-MAX(F34,I34)),0))</x:f>
        <x:v>4.758</x:v>
      </x:c>
    </x:row>
    <x:row r="35" ht="42" customHeight="1">
      <x:c r="A35" s="7" t="str">
        <x:v>BASE</x:v>
      </x:c>
      <x:c r="B35" s="7" t="str">
        <x:v>U03</x:v>
      </x:c>
      <x:c r="C35" s="7" t="str">
        <x:v>intent_audio</x:v>
      </x:c>
      <x:c r="D35" s="7" t="str">
        <x:v>채택한 구체적 수행 의도의 짧은 음성</x:v>
      </x:c>
      <x:c r="E35" s="7" t="str">
        <x:v>via</x:v>
      </x:c>
      <x:c r="F35" s="14" t="n">
        <x:v>1.2700000000000002</x:v>
      </x:c>
      <x:c r="G35" s="14" t="n">
        <x:v>2.404</x:v>
      </x:c>
      <x:c r="H35" s="14" t="n">
        <x:v>1.134</x:v>
      </x:c>
      <x:c r="I35" s="14" t="n">
        <x:v>0</x:v>
      </x:c>
      <x:c r="J35" s="7" t="str">
        <x:v>adopt</x:v>
      </x:c>
      <x:c r="K35" s="7" t="str">
        <x:v>speech</x:v>
      </x:c>
      <x:c r="L35" s="14" t="n">
        <x:f>IF(G35&lt;=I35,0,MAX(0,L30)+IF(E35="via",MAX(0,G35-MAX(F35,I35)),0))</x:f>
        <x:v>2.404</x:v>
      </x:c>
    </x:row>
    <x:row r="36" ht="42" customHeight="1">
      <x:c r="A36" s="12" t="str">
        <x:v>BASE</x:v>
      </x:c>
      <x:c r="B36" s="12" t="str">
        <x:v>U03</x:v>
      </x:c>
      <x:c r="C36" s="12" t="str">
        <x:v>first_chunk</x:v>
      </x:c>
      <x:c r="D36" s="12" t="str">
        <x:v>같은 생성 job의 유효 첫 chunk 관측</x:v>
      </x:c>
      <x:c r="E36" s="12" t="str">
        <x:v>via</x:v>
      </x:c>
      <x:c r="F36" s="13" t="n">
        <x:v>1.2700000000000002</x:v>
      </x:c>
      <x:c r="G36" s="13" t="n">
        <x:v>1.7040000000000002</x:v>
      </x:c>
      <x:c r="H36" s="13" t="n">
        <x:v>0.434</x:v>
      </x:c>
      <x:c r="I36" s="13" t="n">
        <x:v>0</x:v>
      </x:c>
      <x:c r="J36" s="12" t="str">
        <x:v>adopt</x:v>
      </x:c>
      <x:c r="K36" s="12" t="str">
        <x:v>none</x:v>
      </x:c>
      <x:c r="L36" s="13" t="n">
        <x:f>IF(G36&lt;=I36,0,MAX(0,L30)+IF(E36="via",MAX(0,G36-MAX(F36,I36)),0))</x:f>
        <x:v>1.7040000000000002</x:v>
      </x:c>
    </x:row>
    <x:row r="37" ht="42" customHeight="1">
      <x:c r="A37" s="7" t="str">
        <x:v>BASE</x:v>
      </x:c>
      <x:c r="B37" s="7" t="str">
        <x:v>U03</x:v>
      </x:c>
      <x:c r="C37" s="7" t="str">
        <x:v>first_audio_output</x:v>
      </x:c>
      <x:c r="D37" s="7" t="str">
        <x:v>공통 장치의 첫 음성 출력</x:v>
      </x:c>
      <x:c r="E37" s="7" t="str">
        <x:v>via</x:v>
      </x:c>
      <x:c r="F37" s="14" t="n">
        <x:v>1.7040000000000002</x:v>
      </x:c>
      <x:c r="G37" s="14" t="n">
        <x:v>1.7440000000000002</x:v>
      </x:c>
      <x:c r="H37" s="14" t="n">
        <x:v>0.04</x:v>
      </x:c>
      <x:c r="I37" s="14" t="n">
        <x:v>0</x:v>
      </x:c>
      <x:c r="J37" s="7" t="str">
        <x:v>adopt, first_chunk</x:v>
      </x:c>
      <x:c r="K37" s="7" t="str">
        <x:v>none</x:v>
      </x:c>
      <x:c r="L37" s="14" t="n">
        <x:f>IF(G37&lt;=I37,0,MAX(0,L30,L36)+IF(E37="via",MAX(0,G37-MAX(F37,I37)),0))</x:f>
        <x:v>1.7440000000000002</x:v>
      </x:c>
    </x:row>
    <x:row r="38" ht="42" customHeight="1">
      <x:c r="A38" s="12" t="str">
        <x:v>BASE</x:v>
      </x:c>
      <x:c r="B38" s="12" t="str">
        <x:v>U03</x:v>
      </x:c>
      <x:c r="C38" s="12" t="str">
        <x:v>next_speech_selection</x:v>
      </x:c>
      <x:c r="D38" s="12" t="str">
        <x:v>현재 발화 재생 후 다음 응답 선택</x:v>
      </x:c>
      <x:c r="E38" s="12" t="str">
        <x:v>external</x:v>
      </x:c>
      <x:c r="F38" s="13" t="n">
        <x:v>1.7440000000000002</x:v>
      </x:c>
      <x:c r="G38" s="13" t="n">
        <x:v>4.744</x:v>
      </x:c>
      <x:c r="H38" s="13" t="n">
        <x:v>3</x:v>
      </x:c>
      <x:c r="I38" s="13" t="n">
        <x:v>0</x:v>
      </x:c>
      <x:c r="J38" s="12" t="str">
        <x:v>first_audio_output</x:v>
      </x:c>
      <x:c r="K38" s="12" t="str">
        <x:v>none</x:v>
      </x:c>
      <x:c r="L38" s="13" t="n">
        <x:f>IF(G38&lt;=I38,0,MAX(0,L37)+IF(E38="via",MAX(0,G38-MAX(F38,I38)),0))</x:f>
        <x:v>1.7440000000000002</x:v>
      </x:c>
    </x:row>
    <x:row r="39" ht="42" customHeight="1">
      <x:c r="A39" s="7" t="str">
        <x:v>BASE</x:v>
      </x:c>
      <x:c r="B39" s="7" t="str">
        <x:v>U03</x:v>
      </x:c>
      <x:c r="C39" s="7" t="str">
        <x:v>terminal</x:v>
      </x:c>
      <x:c r="D39" s="7" t="str">
        <x:v>공통 목표 최종 상태와 전체 음성 준비</x:v>
      </x:c>
      <x:c r="E39" s="7" t="str">
        <x:v>via</x:v>
      </x:c>
      <x:c r="F39" s="14" t="n">
        <x:v>4.758</x:v>
      </x:c>
      <x:c r="G39" s="14" t="n">
        <x:v>4.758</x:v>
      </x:c>
      <x:c r="H39" s="14" t="n">
        <x:v>0</x:v>
      </x:c>
      <x:c r="I39" s="14" t="n">
        <x:v>0</x:v>
      </x:c>
      <x:c r="J39" s="7" t="str">
        <x:v>result_display, response_audio, intent_audio, first_audio_output</x:v>
      </x:c>
      <x:c r="K39" s="7" t="str">
        <x:v>none</x:v>
      </x:c>
      <x:c r="L39" s="14" t="n">
        <x:f>IF(G39&lt;=I39,0,MAX(0,L33,L34,L35,L37)+IF(E39="via",MAX(0,G39-MAX(F39,I39)),0))</x:f>
        <x:v>4.758</x:v>
      </x:c>
    </x:row>
    <x:row r="40" ht="42" customHeight="1">
      <x:c r="A40" s="12" t="str">
        <x:v>BASE</x:v>
      </x:c>
      <x:c r="B40" s="12" t="str">
        <x:v>U04</x:v>
      </x:c>
      <x:c r="C40" s="12" t="str">
        <x:v>input_end</x:v>
      </x:c>
      <x:c r="D40" s="12" t="str">
        <x:v>사용자 입력 종료</x:v>
      </x:c>
      <x:c r="E40" s="12" t="str">
        <x:v>external</x:v>
      </x:c>
      <x:c r="F40" s="13" t="n">
        <x:v>0</x:v>
      </x:c>
      <x:c r="G40" s="13" t="n">
        <x:v>0</x:v>
      </x:c>
      <x:c r="H40" s="13" t="n">
        <x:v>0</x:v>
      </x:c>
      <x:c r="I40" s="13" t="n">
        <x:v>0</x:v>
      </x:c>
      <x:c r="J40" s="12" t="str"/>
      <x:c r="K40" s="12" t="str">
        <x:v>none</x:v>
      </x:c>
      <x:c r="L40" s="13" t="n">
        <x:f>IF(G40&lt;=I40,0,MAX(0)+IF(E40="via",MAX(0,G40-MAX(F40,I40)),0))</x:f>
        <x:v>0</x:v>
      </x:c>
    </x:row>
    <x:row r="41" ht="42" customHeight="1">
      <x:c r="A41" s="7" t="str">
        <x:v>BASE</x:v>
      </x:c>
      <x:c r="B41" s="7" t="str">
        <x:v>U04</x:v>
      </x:c>
      <x:c r="C41" s="7" t="str">
        <x:v>intake</x:v>
      </x:c>
      <x:c r="D41" s="7" t="str">
        <x:v>입력 확정</x:v>
      </x:c>
      <x:c r="E41" s="7" t="str">
        <x:v>via</x:v>
      </x:c>
      <x:c r="F41" s="14" t="n">
        <x:v>0</x:v>
      </x:c>
      <x:c r="G41" s="14" t="n">
        <x:v>0.3</x:v>
      </x:c>
      <x:c r="H41" s="14" t="n">
        <x:v>0.3</x:v>
      </x:c>
      <x:c r="I41" s="14" t="n">
        <x:v>0</x:v>
      </x:c>
      <x:c r="J41" s="7" t="str">
        <x:v>input_end</x:v>
      </x:c>
      <x:c r="K41" s="7" t="str">
        <x:v>none</x:v>
      </x:c>
      <x:c r="L41" s="14" t="n">
        <x:f>IF(G41&lt;=I41,0,MAX(0,L40)+IF(E41="via",MAX(0,G41-MAX(F41,I41)),0))</x:f>
        <x:v>0.3</x:v>
      </x:c>
    </x:row>
    <x:row r="42" ht="42" customHeight="1">
      <x:c r="A42" s="12" t="str">
        <x:v>BASE</x:v>
      </x:c>
      <x:c r="B42" s="12" t="str">
        <x:v>U04</x:v>
      </x:c>
      <x:c r="C42" s="12" t="str">
        <x:v>read</x:v>
      </x:c>
      <x:c r="D42" s="12" t="str">
        <x:v>공통 허용 원본 조회</x:v>
      </x:c>
      <x:c r="E42" s="12" t="str">
        <x:v>via</x:v>
      </x:c>
      <x:c r="F42" s="13" t="n">
        <x:v>0.3</x:v>
      </x:c>
      <x:c r="G42" s="13" t="n">
        <x:v>0.38</x:v>
      </x:c>
      <x:c r="H42" s="13" t="n">
        <x:v>0.08</x:v>
      </x:c>
      <x:c r="I42" s="13" t="n">
        <x:v>0</x:v>
      </x:c>
      <x:c r="J42" s="12" t="str">
        <x:v>intake</x:v>
      </x:c>
      <x:c r="K42" s="12" t="str">
        <x:v>none</x:v>
      </x:c>
      <x:c r="L42" s="13" t="n">
        <x:f>IF(G42&lt;=I42,0,MAX(0,L41)+IF(E42="via",MAX(0,G42-MAX(F42,I42)),0))</x:f>
        <x:v>0.38</x:v>
      </x:c>
    </x:row>
    <x:row r="43" ht="42" customHeight="1">
      <x:c r="A43" s="7" t="str">
        <x:v>BASE</x:v>
      </x:c>
      <x:c r="B43" s="7" t="str">
        <x:v>U04</x:v>
      </x:c>
      <x:c r="C43" s="7" t="str">
        <x:v>meaning</x:v>
      </x:c>
      <x:c r="D43" s="7" t="str">
        <x:v>최초 요청 의미 채택 packet 생성</x:v>
      </x:c>
      <x:c r="E43" s="7" t="str">
        <x:v>via</x:v>
      </x:c>
      <x:c r="F43" s="14" t="n">
        <x:v>0.38</x:v>
      </x:c>
      <x:c r="G43" s="14" t="n">
        <x:v>1.48</x:v>
      </x:c>
      <x:c r="H43" s="14" t="n">
        <x:v>1.1</x:v>
      </x:c>
      <x:c r="I43" s="14" t="n">
        <x:v>0</x:v>
      </x:c>
      <x:c r="J43" s="7" t="str">
        <x:v>read</x:v>
      </x:c>
      <x:c r="K43" s="7" t="str">
        <x:v>semantic</x:v>
      </x:c>
      <x:c r="L43" s="14" t="n">
        <x:f>IF(G43&lt;=I43,0,MAX(0,L42)+IF(E43="via",MAX(0,G43-MAX(F43,I43)),0))</x:f>
        <x:v>1.48</x:v>
      </x:c>
    </x:row>
    <x:row r="44" ht="42" customHeight="1">
      <x:c r="A44" s="12" t="str">
        <x:v>BASE</x:v>
      </x:c>
      <x:c r="B44" s="12" t="str">
        <x:v>U04</x:v>
      </x:c>
      <x:c r="C44" s="12" t="str">
        <x:v>adopt</x:v>
      </x:c>
      <x:c r="D44" s="12" t="str">
        <x:v>현재 revision과 권한 검사 및 채택</x:v>
      </x:c>
      <x:c r="E44" s="12" t="str">
        <x:v>via</x:v>
      </x:c>
      <x:c r="F44" s="13" t="n">
        <x:v>1.48</x:v>
      </x:c>
      <x:c r="G44" s="13" t="n">
        <x:v>1.51</x:v>
      </x:c>
      <x:c r="H44" s="13" t="n">
        <x:v>0.03</x:v>
      </x:c>
      <x:c r="I44" s="13" t="n">
        <x:v>0</x:v>
      </x:c>
      <x:c r="J44" s="12" t="str">
        <x:v>meaning</x:v>
      </x:c>
      <x:c r="K44" s="12" t="str">
        <x:v>none</x:v>
      </x:c>
      <x:c r="L44" s="13" t="n">
        <x:f>IF(G44&lt;=I44,0,MAX(0,L43)+IF(E44="via",MAX(0,G44-MAX(F44,I44)),0))</x:f>
        <x:v>1.51</x:v>
      </x:c>
    </x:row>
    <x:row r="45" ht="42" customHeight="1">
      <x:c r="A45" s="7" t="str">
        <x:v>BASE</x:v>
      </x:c>
      <x:c r="B45" s="7" t="str">
        <x:v>U04</x:v>
      </x:c>
      <x:c r="C45" s="7" t="str">
        <x:v>first_display</x:v>
      </x:c>
      <x:c r="D45" s="7" t="str">
        <x:v>첫 구체적 채택 내용 화면 표시</x:v>
      </x:c>
      <x:c r="E45" s="7" t="str">
        <x:v>via</x:v>
      </x:c>
      <x:c r="F45" s="14" t="n">
        <x:v>1.51</x:v>
      </x:c>
      <x:c r="G45" s="14" t="n">
        <x:v>1.55</x:v>
      </x:c>
      <x:c r="H45" s="14" t="n">
        <x:v>0.04</x:v>
      </x:c>
      <x:c r="I45" s="14" t="n">
        <x:v>0</x:v>
      </x:c>
      <x:c r="J45" s="7" t="str">
        <x:v>adopt</x:v>
      </x:c>
      <x:c r="K45" s="7" t="str">
        <x:v>none</x:v>
      </x:c>
      <x:c r="L45" s="14" t="n">
        <x:f>IF(G45&lt;=I45,0,MAX(0,L44)+IF(E45="via",MAX(0,G45-MAX(F45,I45)),0))</x:f>
        <x:v>1.55</x:v>
      </x:c>
    </x:row>
    <x:row r="46" ht="42" customHeight="1">
      <x:c r="A46" s="12" t="str">
        <x:v>BASE</x:v>
      </x:c>
      <x:c r="B46" s="12" t="str">
        <x:v>U04</x:v>
      </x:c>
      <x:c r="C46" s="12" t="str">
        <x:v>response_audio</x:v>
      </x:c>
      <x:c r="D46" s="12" t="str">
        <x:v>선택한 응답 음성 생성</x:v>
      </x:c>
      <x:c r="E46" s="12" t="str">
        <x:v>via</x:v>
      </x:c>
      <x:c r="F46" s="13" t="n">
        <x:v>1.51</x:v>
      </x:c>
      <x:c r="G46" s="13" t="n">
        <x:v>3.3979999999999997</x:v>
      </x:c>
      <x:c r="H46" s="13" t="n">
        <x:v>1.888</x:v>
      </x:c>
      <x:c r="I46" s="13" t="n">
        <x:v>0</x:v>
      </x:c>
      <x:c r="J46" s="12" t="str">
        <x:v>adopt</x:v>
      </x:c>
      <x:c r="K46" s="12" t="str">
        <x:v>speech</x:v>
      </x:c>
      <x:c r="L46" s="13" t="n">
        <x:f>IF(G46&lt;=I46,0,MAX(0,L44)+IF(E46="via",MAX(0,G46-MAX(F46,I46)),0))</x:f>
        <x:v>3.3979999999999997</x:v>
      </x:c>
    </x:row>
    <x:row r="47" ht="42" customHeight="1">
      <x:c r="A47" s="7" t="str">
        <x:v>BASE</x:v>
      </x:c>
      <x:c r="B47" s="7" t="str">
        <x:v>U04</x:v>
      </x:c>
      <x:c r="C47" s="7" t="str">
        <x:v>first_chunk</x:v>
      </x:c>
      <x:c r="D47" s="7" t="str">
        <x:v>같은 생성 job의 유효 첫 chunk 관측</x:v>
      </x:c>
      <x:c r="E47" s="7" t="str">
        <x:v>via</x:v>
      </x:c>
      <x:c r="F47" s="14" t="n">
        <x:v>1.51</x:v>
      </x:c>
      <x:c r="G47" s="14" t="n">
        <x:v>1.948</x:v>
      </x:c>
      <x:c r="H47" s="14" t="n">
        <x:v>0.438</x:v>
      </x:c>
      <x:c r="I47" s="14" t="n">
        <x:v>0</x:v>
      </x:c>
      <x:c r="J47" s="7" t="str">
        <x:v>adopt</x:v>
      </x:c>
      <x:c r="K47" s="7" t="str">
        <x:v>none</x:v>
      </x:c>
      <x:c r="L47" s="14" t="n">
        <x:f>IF(G47&lt;=I47,0,MAX(0,L44)+IF(E47="via",MAX(0,G47-MAX(F47,I47)),0))</x:f>
        <x:v>1.948</x:v>
      </x:c>
    </x:row>
    <x:row r="48" ht="42" customHeight="1">
      <x:c r="A48" s="12" t="str">
        <x:v>BASE</x:v>
      </x:c>
      <x:c r="B48" s="12" t="str">
        <x:v>U04</x:v>
      </x:c>
      <x:c r="C48" s="12" t="str">
        <x:v>first_audio_output</x:v>
      </x:c>
      <x:c r="D48" s="12" t="str">
        <x:v>공통 장치의 첫 음성 출력</x:v>
      </x:c>
      <x:c r="E48" s="12" t="str">
        <x:v>via</x:v>
      </x:c>
      <x:c r="F48" s="13" t="n">
        <x:v>1.948</x:v>
      </x:c>
      <x:c r="G48" s="13" t="n">
        <x:v>1.988</x:v>
      </x:c>
      <x:c r="H48" s="13" t="n">
        <x:v>0.04</x:v>
      </x:c>
      <x:c r="I48" s="13" t="n">
        <x:v>0</x:v>
      </x:c>
      <x:c r="J48" s="12" t="str">
        <x:v>adopt, first_chunk</x:v>
      </x:c>
      <x:c r="K48" s="12" t="str">
        <x:v>none</x:v>
      </x:c>
      <x:c r="L48" s="13" t="n">
        <x:f>IF(G48&lt;=I48,0,MAX(0,L44,L47)+IF(E48="via",MAX(0,G48-MAX(F48,I48)),0))</x:f>
        <x:v>1.988</x:v>
      </x:c>
    </x:row>
    <x:row r="49" ht="42" customHeight="1">
      <x:c r="A49" s="7" t="str">
        <x:v>BASE</x:v>
      </x:c>
      <x:c r="B49" s="7" t="str">
        <x:v>U04</x:v>
      </x:c>
      <x:c r="C49" s="7" t="str">
        <x:v>terminal</x:v>
      </x:c>
      <x:c r="D49" s="7" t="str">
        <x:v>공통 목표 최종 상태와 전체 음성 준비</x:v>
      </x:c>
      <x:c r="E49" s="7" t="str">
        <x:v>via</x:v>
      </x:c>
      <x:c r="F49" s="14" t="n">
        <x:v>3.3979999999999997</x:v>
      </x:c>
      <x:c r="G49" s="14" t="n">
        <x:v>3.3979999999999997</x:v>
      </x:c>
      <x:c r="H49" s="14" t="n">
        <x:v>0</x:v>
      </x:c>
      <x:c r="I49" s="14" t="n">
        <x:v>0</x:v>
      </x:c>
      <x:c r="J49" s="7" t="str">
        <x:v>first_display, response_audio, first_audio_output</x:v>
      </x:c>
      <x:c r="K49" s="7" t="str">
        <x:v>none</x:v>
      </x:c>
      <x:c r="L49" s="14" t="n">
        <x:f>IF(G49&lt;=I49,0,MAX(0,L45,L46,L48)+IF(E49="via",MAX(0,G49-MAX(F49,I49)),0))</x:f>
        <x:v>3.3979999999999997</x:v>
      </x:c>
    </x:row>
    <x:row r="50" ht="42" customHeight="1">
      <x:c r="A50" s="12" t="str">
        <x:v>BASE</x:v>
      </x:c>
      <x:c r="B50" s="12" t="str">
        <x:v>U05</x:v>
      </x:c>
      <x:c r="C50" s="12" t="str">
        <x:v>bg1</x:v>
      </x:c>
      <x:c r="D50" s="12" t="str">
        <x:v>진행 중인 현재 대화의 의미 step</x:v>
      </x:c>
      <x:c r="E50" s="12" t="str">
        <x:v>via</x:v>
      </x:c>
      <x:c r="F50" s="13" t="n">
        <x:v>-1</x:v>
      </x:c>
      <x:c r="G50" s="13" t="n">
        <x:v>2.4</x:v>
      </x:c>
      <x:c r="H50" s="13" t="n">
        <x:v>3.4</x:v>
      </x:c>
      <x:c r="I50" s="13" t="n">
        <x:v>0</x:v>
      </x:c>
      <x:c r="J50" s="12" t="str"/>
      <x:c r="K50" s="12" t="str">
        <x:v>semantic</x:v>
      </x:c>
      <x:c r="L50" s="13" t="n">
        <x:f>IF(G50&lt;=I50,0,MAX(0)+IF(E50="via",MAX(0,G50-MAX(F50,I50)),0))</x:f>
        <x:v>2.4</x:v>
      </x:c>
    </x:row>
    <x:row r="51" ht="42" customHeight="1">
      <x:c r="A51" s="7" t="str">
        <x:v>BASE</x:v>
      </x:c>
      <x:c r="B51" s="7" t="str">
        <x:v>U05</x:v>
      </x:c>
      <x:c r="C51" s="7" t="str">
        <x:v>input_end</x:v>
      </x:c>
      <x:c r="D51" s="7" t="str">
        <x:v>사용자 입력 종료</x:v>
      </x:c>
      <x:c r="E51" s="7" t="str">
        <x:v>external</x:v>
      </x:c>
      <x:c r="F51" s="14" t="n">
        <x:v>0</x:v>
      </x:c>
      <x:c r="G51" s="14" t="n">
        <x:v>0</x:v>
      </x:c>
      <x:c r="H51" s="14" t="n">
        <x:v>0</x:v>
      </x:c>
      <x:c r="I51" s="14" t="n">
        <x:v>0</x:v>
      </x:c>
      <x:c r="J51" s="7" t="str"/>
      <x:c r="K51" s="7" t="str">
        <x:v>none</x:v>
      </x:c>
      <x:c r="L51" s="14" t="n">
        <x:f>IF(G51&lt;=I51,0,MAX(0)+IF(E51="via",MAX(0,G51-MAX(F51,I51)),0))</x:f>
        <x:v>0</x:v>
      </x:c>
    </x:row>
    <x:row r="52" ht="42" customHeight="1">
      <x:c r="A52" s="12" t="str">
        <x:v>BASE</x:v>
      </x:c>
      <x:c r="B52" s="12" t="str">
        <x:v>U05</x:v>
      </x:c>
      <x:c r="C52" s="12" t="str">
        <x:v>intake</x:v>
      </x:c>
      <x:c r="D52" s="12" t="str">
        <x:v>입력 확정</x:v>
      </x:c>
      <x:c r="E52" s="12" t="str">
        <x:v>via</x:v>
      </x:c>
      <x:c r="F52" s="13" t="n">
        <x:v>0</x:v>
      </x:c>
      <x:c r="G52" s="13" t="n">
        <x:v>0.3</x:v>
      </x:c>
      <x:c r="H52" s="13" t="n">
        <x:v>0.3</x:v>
      </x:c>
      <x:c r="I52" s="13" t="n">
        <x:v>0</x:v>
      </x:c>
      <x:c r="J52" s="12" t="str">
        <x:v>input_end</x:v>
      </x:c>
      <x:c r="K52" s="12" t="str">
        <x:v>none</x:v>
      </x:c>
      <x:c r="L52" s="13" t="n">
        <x:f>IF(G52&lt;=I52,0,MAX(0,L51)+IF(E52="via",MAX(0,G52-MAX(F52,I52)),0))</x:f>
        <x:v>0.3</x:v>
      </x:c>
    </x:row>
    <x:row r="53" ht="42" customHeight="1">
      <x:c r="A53" s="7" t="str">
        <x:v>BASE</x:v>
      </x:c>
      <x:c r="B53" s="7" t="str">
        <x:v>U05</x:v>
      </x:c>
      <x:c r="C53" s="7" t="str">
        <x:v>read</x:v>
      </x:c>
      <x:c r="D53" s="7" t="str">
        <x:v>공통 허용 원본 조회</x:v>
      </x:c>
      <x:c r="E53" s="7" t="str">
        <x:v>via</x:v>
      </x:c>
      <x:c r="F53" s="14" t="n">
        <x:v>0.3</x:v>
      </x:c>
      <x:c r="G53" s="14" t="n">
        <x:v>0.38</x:v>
      </x:c>
      <x:c r="H53" s="14" t="n">
        <x:v>0.08</x:v>
      </x:c>
      <x:c r="I53" s="14" t="n">
        <x:v>0</x:v>
      </x:c>
      <x:c r="J53" s="7" t="str">
        <x:v>intake</x:v>
      </x:c>
      <x:c r="K53" s="7" t="str">
        <x:v>none</x:v>
      </x:c>
      <x:c r="L53" s="14" t="n">
        <x:f>IF(G53&lt;=I53,0,MAX(0,L52)+IF(E53="via",MAX(0,G53-MAX(F53,I53)),0))</x:f>
        <x:v>0.38</x:v>
      </x:c>
    </x:row>
    <x:row r="54" ht="42" customHeight="1">
      <x:c r="A54" s="12" t="str">
        <x:v>BASE</x:v>
      </x:c>
      <x:c r="B54" s="12" t="str">
        <x:v>U05</x:v>
      </x:c>
      <x:c r="C54" s="12" t="str">
        <x:v>meaning</x:v>
      </x:c>
      <x:c r="D54" s="12" t="str">
        <x:v>최초 요청 의미 채택 packet 생성</x:v>
      </x:c>
      <x:c r="E54" s="12" t="str">
        <x:v>via</x:v>
      </x:c>
      <x:c r="F54" s="13" t="n">
        <x:v>2.4</x:v>
      </x:c>
      <x:c r="G54" s="13" t="n">
        <x:v>3.5</x:v>
      </x:c>
      <x:c r="H54" s="13" t="n">
        <x:v>1.1</x:v>
      </x:c>
      <x:c r="I54" s="13" t="n">
        <x:v>0</x:v>
      </x:c>
      <x:c r="J54" s="12" t="str">
        <x:v>read, bg1</x:v>
      </x:c>
      <x:c r="K54" s="12" t="str">
        <x:v>semantic</x:v>
      </x:c>
      <x:c r="L54" s="13" t="n">
        <x:f>IF(G54&lt;=I54,0,MAX(0,L53,L50)+IF(E54="via",MAX(0,G54-MAX(F54,I54)),0))</x:f>
        <x:v>3.5</x:v>
      </x:c>
    </x:row>
    <x:row r="55" ht="42" customHeight="1">
      <x:c r="A55" s="7" t="str">
        <x:v>BASE</x:v>
      </x:c>
      <x:c r="B55" s="7" t="str">
        <x:v>U05</x:v>
      </x:c>
      <x:c r="C55" s="7" t="str">
        <x:v>adopt</x:v>
      </x:c>
      <x:c r="D55" s="7" t="str">
        <x:v>현재 revision과 권한 검사 및 채택</x:v>
      </x:c>
      <x:c r="E55" s="7" t="str">
        <x:v>via</x:v>
      </x:c>
      <x:c r="F55" s="14" t="n">
        <x:v>3.5</x:v>
      </x:c>
      <x:c r="G55" s="14" t="n">
        <x:v>3.53</x:v>
      </x:c>
      <x:c r="H55" s="14" t="n">
        <x:v>0.03</x:v>
      </x:c>
      <x:c r="I55" s="14" t="n">
        <x:v>0</x:v>
      </x:c>
      <x:c r="J55" s="7" t="str">
        <x:v>meaning</x:v>
      </x:c>
      <x:c r="K55" s="7" t="str">
        <x:v>none</x:v>
      </x:c>
      <x:c r="L55" s="14" t="n">
        <x:f>IF(G55&lt;=I55,0,MAX(0,L54)+IF(E55="via",MAX(0,G55-MAX(F55,I55)),0))</x:f>
        <x:v>3.53</x:v>
      </x:c>
    </x:row>
    <x:row r="56" ht="42" customHeight="1">
      <x:c r="A56" s="12" t="str">
        <x:v>BASE</x:v>
      </x:c>
      <x:c r="B56" s="12" t="str">
        <x:v>U05</x:v>
      </x:c>
      <x:c r="C56" s="12" t="str">
        <x:v>first_display</x:v>
      </x:c>
      <x:c r="D56" s="12" t="str">
        <x:v>첫 구체적 채택 내용 화면 표시</x:v>
      </x:c>
      <x:c r="E56" s="12" t="str">
        <x:v>via</x:v>
      </x:c>
      <x:c r="F56" s="13" t="n">
        <x:v>3.53</x:v>
      </x:c>
      <x:c r="G56" s="13" t="n">
        <x:v>3.57</x:v>
      </x:c>
      <x:c r="H56" s="13" t="n">
        <x:v>0.04</x:v>
      </x:c>
      <x:c r="I56" s="13" t="n">
        <x:v>0</x:v>
      </x:c>
      <x:c r="J56" s="12" t="str">
        <x:v>adopt</x:v>
      </x:c>
      <x:c r="K56" s="12" t="str">
        <x:v>none</x:v>
      </x:c>
      <x:c r="L56" s="13" t="n">
        <x:f>IF(G56&lt;=I56,0,MAX(0,L55)+IF(E56="via",MAX(0,G56-MAX(F56,I56)),0))</x:f>
        <x:v>3.57</x:v>
      </x:c>
    </x:row>
    <x:row r="57" ht="42" customHeight="1">
      <x:c r="A57" s="7" t="str">
        <x:v>BASE</x:v>
      </x:c>
      <x:c r="B57" s="7" t="str">
        <x:v>U05</x:v>
      </x:c>
      <x:c r="C57" s="7" t="str">
        <x:v>response_audio</x:v>
      </x:c>
      <x:c r="D57" s="7" t="str">
        <x:v>선택한 응답 음성 생성</x:v>
      </x:c>
      <x:c r="E57" s="7" t="str">
        <x:v>via</x:v>
      </x:c>
      <x:c r="F57" s="14" t="n">
        <x:v>3.53</x:v>
      </x:c>
      <x:c r="G57" s="14" t="n">
        <x:v>5.417999999999999</x:v>
      </x:c>
      <x:c r="H57" s="14" t="n">
        <x:v>1.888</x:v>
      </x:c>
      <x:c r="I57" s="14" t="n">
        <x:v>0</x:v>
      </x:c>
      <x:c r="J57" s="7" t="str">
        <x:v>adopt</x:v>
      </x:c>
      <x:c r="K57" s="7" t="str">
        <x:v>speech</x:v>
      </x:c>
      <x:c r="L57" s="14" t="n">
        <x:f>IF(G57&lt;=I57,0,MAX(0,L55)+IF(E57="via",MAX(0,G57-MAX(F57,I57)),0))</x:f>
        <x:v>5.417999999999999</x:v>
      </x:c>
    </x:row>
    <x:row r="58" ht="42" customHeight="1">
      <x:c r="A58" s="12" t="str">
        <x:v>BASE</x:v>
      </x:c>
      <x:c r="B58" s="12" t="str">
        <x:v>U05</x:v>
      </x:c>
      <x:c r="C58" s="12" t="str">
        <x:v>first_chunk</x:v>
      </x:c>
      <x:c r="D58" s="12" t="str">
        <x:v>같은 생성 job의 유효 첫 chunk 관측</x:v>
      </x:c>
      <x:c r="E58" s="12" t="str">
        <x:v>via</x:v>
      </x:c>
      <x:c r="F58" s="13" t="n">
        <x:v>3.53</x:v>
      </x:c>
      <x:c r="G58" s="13" t="n">
        <x:v>3.968</x:v>
      </x:c>
      <x:c r="H58" s="13" t="n">
        <x:v>0.438</x:v>
      </x:c>
      <x:c r="I58" s="13" t="n">
        <x:v>0</x:v>
      </x:c>
      <x:c r="J58" s="12" t="str">
        <x:v>adopt</x:v>
      </x:c>
      <x:c r="K58" s="12" t="str">
        <x:v>none</x:v>
      </x:c>
      <x:c r="L58" s="13" t="n">
        <x:f>IF(G58&lt;=I58,0,MAX(0,L55)+IF(E58="via",MAX(0,G58-MAX(F58,I58)),0))</x:f>
        <x:v>3.968</x:v>
      </x:c>
    </x:row>
    <x:row r="59" ht="42" customHeight="1">
      <x:c r="A59" s="7" t="str">
        <x:v>BASE</x:v>
      </x:c>
      <x:c r="B59" s="7" t="str">
        <x:v>U05</x:v>
      </x:c>
      <x:c r="C59" s="7" t="str">
        <x:v>first_audio_output</x:v>
      </x:c>
      <x:c r="D59" s="7" t="str">
        <x:v>공통 장치의 첫 음성 출력</x:v>
      </x:c>
      <x:c r="E59" s="7" t="str">
        <x:v>via</x:v>
      </x:c>
      <x:c r="F59" s="14" t="n">
        <x:v>3.968</x:v>
      </x:c>
      <x:c r="G59" s="14" t="n">
        <x:v>4.008</x:v>
      </x:c>
      <x:c r="H59" s="14" t="n">
        <x:v>0.04</x:v>
      </x:c>
      <x:c r="I59" s="14" t="n">
        <x:v>0</x:v>
      </x:c>
      <x:c r="J59" s="7" t="str">
        <x:v>adopt, first_chunk</x:v>
      </x:c>
      <x:c r="K59" s="7" t="str">
        <x:v>none</x:v>
      </x:c>
      <x:c r="L59" s="14" t="n">
        <x:f>IF(G59&lt;=I59,0,MAX(0,L55,L58)+IF(E59="via",MAX(0,G59-MAX(F59,I59)),0))</x:f>
        <x:v>4.008</x:v>
      </x:c>
    </x:row>
    <x:row r="60" ht="42" customHeight="1">
      <x:c r="A60" s="12" t="str">
        <x:v>BASE</x:v>
      </x:c>
      <x:c r="B60" s="12" t="str">
        <x:v>U05</x:v>
      </x:c>
      <x:c r="C60" s="12" t="str">
        <x:v>terminal</x:v>
      </x:c>
      <x:c r="D60" s="12" t="str">
        <x:v>공통 목표 최종 상태와 전체 음성 준비</x:v>
      </x:c>
      <x:c r="E60" s="12" t="str">
        <x:v>via</x:v>
      </x:c>
      <x:c r="F60" s="13" t="n">
        <x:v>5.417999999999999</x:v>
      </x:c>
      <x:c r="G60" s="13" t="n">
        <x:v>5.417999999999999</x:v>
      </x:c>
      <x:c r="H60" s="13" t="n">
        <x:v>0</x:v>
      </x:c>
      <x:c r="I60" s="13" t="n">
        <x:v>0</x:v>
      </x:c>
      <x:c r="J60" s="12" t="str">
        <x:v>first_display, response_audio, first_audio_output</x:v>
      </x:c>
      <x:c r="K60" s="12" t="str">
        <x:v>none</x:v>
      </x:c>
      <x:c r="L60" s="13" t="n">
        <x:f>IF(G60&lt;=I60,0,MAX(0,L56,L57,L59)+IF(E60="via",MAX(0,G60-MAX(F60,I60)),0))</x:f>
        <x:v>5.417999999999999</x:v>
      </x:c>
    </x:row>
    <x:row r="61" ht="42" customHeight="1">
      <x:c r="A61" s="7" t="str">
        <x:v>BASE</x:v>
      </x:c>
      <x:c r="B61" s="7" t="str">
        <x:v>U06</x:v>
      </x:c>
      <x:c r="C61" s="7" t="str">
        <x:v>bg1</x:v>
      </x:c>
      <x:c r="D61" s="7" t="str">
        <x:v>진행 중인 현재 대화의 의미 step</x:v>
      </x:c>
      <x:c r="E61" s="7" t="str">
        <x:v>via</x:v>
      </x:c>
      <x:c r="F61" s="14" t="n">
        <x:v>-1</x:v>
      </x:c>
      <x:c r="G61" s="14" t="n">
        <x:v>2.4</x:v>
      </x:c>
      <x:c r="H61" s="14" t="n">
        <x:v>3.4</x:v>
      </x:c>
      <x:c r="I61" s="14" t="n">
        <x:v>0</x:v>
      </x:c>
      <x:c r="J61" s="7" t="str"/>
      <x:c r="K61" s="7" t="str">
        <x:v>semantic</x:v>
      </x:c>
      <x:c r="L61" s="14" t="n">
        <x:f>IF(G61&lt;=I61,0,MAX(0)+IF(E61="via",MAX(0,G61-MAX(F61,I61)),0))</x:f>
        <x:v>2.4</x:v>
      </x:c>
    </x:row>
    <x:row r="62" ht="42" customHeight="1">
      <x:c r="A62" s="12" t="str">
        <x:v>BASE</x:v>
      </x:c>
      <x:c r="B62" s="12" t="str">
        <x:v>U06</x:v>
      </x:c>
      <x:c r="C62" s="12" t="str">
        <x:v>input_end</x:v>
      </x:c>
      <x:c r="D62" s="12" t="str">
        <x:v>사용자 입력 종료</x:v>
      </x:c>
      <x:c r="E62" s="12" t="str">
        <x:v>external</x:v>
      </x:c>
      <x:c r="F62" s="13" t="n">
        <x:v>0</x:v>
      </x:c>
      <x:c r="G62" s="13" t="n">
        <x:v>0</x:v>
      </x:c>
      <x:c r="H62" s="13" t="n">
        <x:v>0</x:v>
      </x:c>
      <x:c r="I62" s="13" t="n">
        <x:v>0</x:v>
      </x:c>
      <x:c r="J62" s="12" t="str"/>
      <x:c r="K62" s="12" t="str">
        <x:v>none</x:v>
      </x:c>
      <x:c r="L62" s="13" t="n">
        <x:f>IF(G62&lt;=I62,0,MAX(0)+IF(E62="via",MAX(0,G62-MAX(F62,I62)),0))</x:f>
        <x:v>0</x:v>
      </x:c>
    </x:row>
    <x:row r="63" ht="42" customHeight="1">
      <x:c r="A63" s="7" t="str">
        <x:v>BASE</x:v>
      </x:c>
      <x:c r="B63" s="7" t="str">
        <x:v>U06</x:v>
      </x:c>
      <x:c r="C63" s="7" t="str">
        <x:v>intake</x:v>
      </x:c>
      <x:c r="D63" s="7" t="str">
        <x:v>입력 확정</x:v>
      </x:c>
      <x:c r="E63" s="7" t="str">
        <x:v>via</x:v>
      </x:c>
      <x:c r="F63" s="14" t="n">
        <x:v>0</x:v>
      </x:c>
      <x:c r="G63" s="14" t="n">
        <x:v>0.06</x:v>
      </x:c>
      <x:c r="H63" s="14" t="n">
        <x:v>0.06</x:v>
      </x:c>
      <x:c r="I63" s="14" t="n">
        <x:v>0</x:v>
      </x:c>
      <x:c r="J63" s="7" t="str">
        <x:v>input_end</x:v>
      </x:c>
      <x:c r="K63" s="7" t="str">
        <x:v>none</x:v>
      </x:c>
      <x:c r="L63" s="14" t="n">
        <x:f>IF(G63&lt;=I63,0,MAX(0,L62)+IF(E63="via",MAX(0,G63-MAX(F63,I63)),0))</x:f>
        <x:v>0.06</x:v>
      </x:c>
    </x:row>
    <x:row r="64" ht="42" customHeight="1">
      <x:c r="A64" s="12" t="str">
        <x:v>BASE</x:v>
      </x:c>
      <x:c r="B64" s="12" t="str">
        <x:v>U06</x:v>
      </x:c>
      <x:c r="C64" s="12" t="str">
        <x:v>read</x:v>
      </x:c>
      <x:c r="D64" s="12" t="str">
        <x:v>공통 허용 원본 조회</x:v>
      </x:c>
      <x:c r="E64" s="12" t="str">
        <x:v>via</x:v>
      </x:c>
      <x:c r="F64" s="13" t="n">
        <x:v>0.06</x:v>
      </x:c>
      <x:c r="G64" s="13" t="n">
        <x:v>0.14</x:v>
      </x:c>
      <x:c r="H64" s="13" t="n">
        <x:v>0.08</x:v>
      </x:c>
      <x:c r="I64" s="13" t="n">
        <x:v>0</x:v>
      </x:c>
      <x:c r="J64" s="12" t="str">
        <x:v>intake</x:v>
      </x:c>
      <x:c r="K64" s="12" t="str">
        <x:v>none</x:v>
      </x:c>
      <x:c r="L64" s="13" t="n">
        <x:f>IF(G64&lt;=I64,0,MAX(0,L63)+IF(E64="via",MAX(0,G64-MAX(F64,I64)),0))</x:f>
        <x:v>0.14</x:v>
      </x:c>
    </x:row>
    <x:row r="65" ht="42" customHeight="1">
      <x:c r="A65" s="7" t="str">
        <x:v>BASE</x:v>
      </x:c>
      <x:c r="B65" s="7" t="str">
        <x:v>U06</x:v>
      </x:c>
      <x:c r="C65" s="7" t="str">
        <x:v>meaning</x:v>
      </x:c>
      <x:c r="D65" s="7" t="str">
        <x:v>최초 요청 의미 채택 packet 생성</x:v>
      </x:c>
      <x:c r="E65" s="7" t="str">
        <x:v>via</x:v>
      </x:c>
      <x:c r="F65" s="14" t="n">
        <x:v>2.4</x:v>
      </x:c>
      <x:c r="G65" s="14" t="n">
        <x:v>3.5</x:v>
      </x:c>
      <x:c r="H65" s="14" t="n">
        <x:v>1.1</x:v>
      </x:c>
      <x:c r="I65" s="14" t="n">
        <x:v>0</x:v>
      </x:c>
      <x:c r="J65" s="7" t="str">
        <x:v>read, bg1</x:v>
      </x:c>
      <x:c r="K65" s="7" t="str">
        <x:v>semantic</x:v>
      </x:c>
      <x:c r="L65" s="14" t="n">
        <x:f>IF(G65&lt;=I65,0,MAX(0,L64,L61)+IF(E65="via",MAX(0,G65-MAX(F65,I65)),0))</x:f>
        <x:v>3.5</x:v>
      </x:c>
    </x:row>
    <x:row r="66" ht="42" customHeight="1">
      <x:c r="A66" s="12" t="str">
        <x:v>BASE</x:v>
      </x:c>
      <x:c r="B66" s="12" t="str">
        <x:v>U06</x:v>
      </x:c>
      <x:c r="C66" s="12" t="str">
        <x:v>adopt</x:v>
      </x:c>
      <x:c r="D66" s="12" t="str">
        <x:v>현재 revision과 권한 검사 및 채택</x:v>
      </x:c>
      <x:c r="E66" s="12" t="str">
        <x:v>via</x:v>
      </x:c>
      <x:c r="F66" s="13" t="n">
        <x:v>3.5</x:v>
      </x:c>
      <x:c r="G66" s="13" t="n">
        <x:v>3.53</x:v>
      </x:c>
      <x:c r="H66" s="13" t="n">
        <x:v>0.03</x:v>
      </x:c>
      <x:c r="I66" s="13" t="n">
        <x:v>0</x:v>
      </x:c>
      <x:c r="J66" s="12" t="str">
        <x:v>meaning</x:v>
      </x:c>
      <x:c r="K66" s="12" t="str">
        <x:v>none</x:v>
      </x:c>
      <x:c r="L66" s="13" t="n">
        <x:f>IF(G66&lt;=I66,0,MAX(0,L65)+IF(E66="via",MAX(0,G66-MAX(F66,I66)),0))</x:f>
        <x:v>3.53</x:v>
      </x:c>
    </x:row>
    <x:row r="67" ht="42" customHeight="1">
      <x:c r="A67" s="7" t="str">
        <x:v>BASE</x:v>
      </x:c>
      <x:c r="B67" s="7" t="str">
        <x:v>U06</x:v>
      </x:c>
      <x:c r="C67" s="7" t="str">
        <x:v>first_display</x:v>
      </x:c>
      <x:c r="D67" s="7" t="str">
        <x:v>첫 구체적 채택 내용 화면 표시</x:v>
      </x:c>
      <x:c r="E67" s="7" t="str">
        <x:v>via</x:v>
      </x:c>
      <x:c r="F67" s="14" t="n">
        <x:v>3.53</x:v>
      </x:c>
      <x:c r="G67" s="14" t="n">
        <x:v>3.57</x:v>
      </x:c>
      <x:c r="H67" s="14" t="n">
        <x:v>0.04</x:v>
      </x:c>
      <x:c r="I67" s="14" t="n">
        <x:v>0</x:v>
      </x:c>
      <x:c r="J67" s="7" t="str">
        <x:v>adopt</x:v>
      </x:c>
      <x:c r="K67" s="7" t="str">
        <x:v>none</x:v>
      </x:c>
      <x:c r="L67" s="14" t="n">
        <x:f>IF(G67&lt;=I67,0,MAX(0,L66)+IF(E67="via",MAX(0,G67-MAX(F67,I67)),0))</x:f>
        <x:v>3.57</x:v>
      </x:c>
    </x:row>
    <x:row r="68" ht="42" customHeight="1">
      <x:c r="A68" s="12" t="str">
        <x:v>BASE</x:v>
      </x:c>
      <x:c r="B68" s="12" t="str">
        <x:v>U06</x:v>
      </x:c>
      <x:c r="C68" s="12" t="str">
        <x:v>long_work</x:v>
      </x:c>
      <x:c r="D68" s="12" t="str">
        <x:v>요청의 남은 VIA 판단</x:v>
      </x:c>
      <x:c r="E68" s="12" t="str">
        <x:v>via</x:v>
      </x:c>
      <x:c r="F68" s="13" t="n">
        <x:v>3.53</x:v>
      </x:c>
      <x:c r="G68" s="13" t="n">
        <x:v>5.13</x:v>
      </x:c>
      <x:c r="H68" s="13" t="n">
        <x:v>1.6</x:v>
      </x:c>
      <x:c r="I68" s="13" t="n">
        <x:v>0</x:v>
      </x:c>
      <x:c r="J68" s="12" t="str">
        <x:v>adopt</x:v>
      </x:c>
      <x:c r="K68" s="12" t="str">
        <x:v>semantic</x:v>
      </x:c>
      <x:c r="L68" s="13" t="n">
        <x:f>IF(G68&lt;=I68,0,MAX(0,L66)+IF(E68="via",MAX(0,G68-MAX(F68,I68)),0))</x:f>
        <x:v>5.13</x:v>
      </x:c>
    </x:row>
    <x:row r="69" ht="42" customHeight="1">
      <x:c r="A69" s="7" t="str">
        <x:v>BASE</x:v>
      </x:c>
      <x:c r="B69" s="7" t="str">
        <x:v>U06</x:v>
      </x:c>
      <x:c r="C69" s="7" t="str">
        <x:v>result_display</x:v>
      </x:c>
      <x:c r="D69" s="7" t="str">
        <x:v>최종 설명 상세 표시</x:v>
      </x:c>
      <x:c r="E69" s="7" t="str">
        <x:v>via</x:v>
      </x:c>
      <x:c r="F69" s="14" t="n">
        <x:v>5.13</x:v>
      </x:c>
      <x:c r="G69" s="14" t="n">
        <x:v>5.17</x:v>
      </x:c>
      <x:c r="H69" s="14" t="n">
        <x:v>0.04</x:v>
      </x:c>
      <x:c r="I69" s="14" t="n">
        <x:v>0</x:v>
      </x:c>
      <x:c r="J69" s="7" t="str">
        <x:v>long_work</x:v>
      </x:c>
      <x:c r="K69" s="7" t="str">
        <x:v>none</x:v>
      </x:c>
      <x:c r="L69" s="14" t="n">
        <x:f>IF(G69&lt;=I69,0,MAX(0,L68)+IF(E69="via",MAX(0,G69-MAX(F69,I69)),0))</x:f>
        <x:v>5.17</x:v>
      </x:c>
    </x:row>
    <x:row r="70" ht="42" customHeight="1">
      <x:c r="A70" s="12" t="str">
        <x:v>BASE</x:v>
      </x:c>
      <x:c r="B70" s="12" t="str">
        <x:v>U06</x:v>
      </x:c>
      <x:c r="C70" s="12" t="str">
        <x:v>response_audio</x:v>
      </x:c>
      <x:c r="D70" s="12" t="str">
        <x:v>선택한 응답 음성 생성</x:v>
      </x:c>
      <x:c r="E70" s="12" t="str">
        <x:v>via</x:v>
      </x:c>
      <x:c r="F70" s="13" t="n">
        <x:v>5.13</x:v>
      </x:c>
      <x:c r="G70" s="13" t="n">
        <x:v>7.018</x:v>
      </x:c>
      <x:c r="H70" s="13" t="n">
        <x:v>1.888</x:v>
      </x:c>
      <x:c r="I70" s="13" t="n">
        <x:v>0</x:v>
      </x:c>
      <x:c r="J70" s="12" t="str">
        <x:v>long_work</x:v>
      </x:c>
      <x:c r="K70" s="12" t="str">
        <x:v>speech</x:v>
      </x:c>
      <x:c r="L70" s="13" t="n">
        <x:f>IF(G70&lt;=I70,0,MAX(0,L68)+IF(E70="via",MAX(0,G70-MAX(F70,I70)),0))</x:f>
        <x:v>7.018</x:v>
      </x:c>
    </x:row>
    <x:row r="71" ht="42" customHeight="1">
      <x:c r="A71" s="7" t="str">
        <x:v>BASE</x:v>
      </x:c>
      <x:c r="B71" s="7" t="str">
        <x:v>U06</x:v>
      </x:c>
      <x:c r="C71" s="7" t="str">
        <x:v>intent_audio</x:v>
      </x:c>
      <x:c r="D71" s="7" t="str">
        <x:v>채택한 구체적 수행 의도의 짧은 음성</x:v>
      </x:c>
      <x:c r="E71" s="7" t="str">
        <x:v>via</x:v>
      </x:c>
      <x:c r="F71" s="14" t="n">
        <x:v>3.53</x:v>
      </x:c>
      <x:c r="G71" s="14" t="n">
        <x:v>4.664</x:v>
      </x:c>
      <x:c r="H71" s="14" t="n">
        <x:v>1.134</x:v>
      </x:c>
      <x:c r="I71" s="14" t="n">
        <x:v>0</x:v>
      </x:c>
      <x:c r="J71" s="7" t="str">
        <x:v>adopt</x:v>
      </x:c>
      <x:c r="K71" s="7" t="str">
        <x:v>speech</x:v>
      </x:c>
      <x:c r="L71" s="14" t="n">
        <x:f>IF(G71&lt;=I71,0,MAX(0,L66)+IF(E71="via",MAX(0,G71-MAX(F71,I71)),0))</x:f>
        <x:v>4.664</x:v>
      </x:c>
    </x:row>
    <x:row r="72" ht="42" customHeight="1">
      <x:c r="A72" s="12" t="str">
        <x:v>BASE</x:v>
      </x:c>
      <x:c r="B72" s="12" t="str">
        <x:v>U06</x:v>
      </x:c>
      <x:c r="C72" s="12" t="str">
        <x:v>first_chunk</x:v>
      </x:c>
      <x:c r="D72" s="12" t="str">
        <x:v>같은 생성 job의 유효 첫 chunk 관측</x:v>
      </x:c>
      <x:c r="E72" s="12" t="str">
        <x:v>via</x:v>
      </x:c>
      <x:c r="F72" s="13" t="n">
        <x:v>3.53</x:v>
      </x:c>
      <x:c r="G72" s="13" t="n">
        <x:v>3.964</x:v>
      </x:c>
      <x:c r="H72" s="13" t="n">
        <x:v>0.434</x:v>
      </x:c>
      <x:c r="I72" s="13" t="n">
        <x:v>0</x:v>
      </x:c>
      <x:c r="J72" s="12" t="str">
        <x:v>adopt</x:v>
      </x:c>
      <x:c r="K72" s="12" t="str">
        <x:v>none</x:v>
      </x:c>
      <x:c r="L72" s="13" t="n">
        <x:f>IF(G72&lt;=I72,0,MAX(0,L66)+IF(E72="via",MAX(0,G72-MAX(F72,I72)),0))</x:f>
        <x:v>3.964</x:v>
      </x:c>
    </x:row>
    <x:row r="73" ht="42" customHeight="1">
      <x:c r="A73" s="7" t="str">
        <x:v>BASE</x:v>
      </x:c>
      <x:c r="B73" s="7" t="str">
        <x:v>U06</x:v>
      </x:c>
      <x:c r="C73" s="7" t="str">
        <x:v>first_audio_output</x:v>
      </x:c>
      <x:c r="D73" s="7" t="str">
        <x:v>공통 장치의 첫 음성 출력</x:v>
      </x:c>
      <x:c r="E73" s="7" t="str">
        <x:v>via</x:v>
      </x:c>
      <x:c r="F73" s="14" t="n">
        <x:v>3.964</x:v>
      </x:c>
      <x:c r="G73" s="14" t="n">
        <x:v>4.004</x:v>
      </x:c>
      <x:c r="H73" s="14" t="n">
        <x:v>0.04</x:v>
      </x:c>
      <x:c r="I73" s="14" t="n">
        <x:v>0</x:v>
      </x:c>
      <x:c r="J73" s="7" t="str">
        <x:v>adopt, first_chunk</x:v>
      </x:c>
      <x:c r="K73" s="7" t="str">
        <x:v>none</x:v>
      </x:c>
      <x:c r="L73" s="14" t="n">
        <x:f>IF(G73&lt;=I73,0,MAX(0,L66,L72)+IF(E73="via",MAX(0,G73-MAX(F73,I73)),0))</x:f>
        <x:v>4.004</x:v>
      </x:c>
    </x:row>
    <x:row r="74" ht="42" customHeight="1">
      <x:c r="A74" s="12" t="str">
        <x:v>BASE</x:v>
      </x:c>
      <x:c r="B74" s="12" t="str">
        <x:v>U06</x:v>
      </x:c>
      <x:c r="C74" s="12" t="str">
        <x:v>next_speech_selection</x:v>
      </x:c>
      <x:c r="D74" s="12" t="str">
        <x:v>현재 발화 재생 후 다음 응답 선택</x:v>
      </x:c>
      <x:c r="E74" s="12" t="str">
        <x:v>external</x:v>
      </x:c>
      <x:c r="F74" s="13" t="n">
        <x:v>4.004</x:v>
      </x:c>
      <x:c r="G74" s="13" t="n">
        <x:v>7.004</x:v>
      </x:c>
      <x:c r="H74" s="13" t="n">
        <x:v>3</x:v>
      </x:c>
      <x:c r="I74" s="13" t="n">
        <x:v>0</x:v>
      </x:c>
      <x:c r="J74" s="12" t="str">
        <x:v>first_audio_output</x:v>
      </x:c>
      <x:c r="K74" s="12" t="str">
        <x:v>none</x:v>
      </x:c>
      <x:c r="L74" s="13" t="n">
        <x:f>IF(G74&lt;=I74,0,MAX(0,L73)+IF(E74="via",MAX(0,G74-MAX(F74,I74)),0))</x:f>
        <x:v>4.004</x:v>
      </x:c>
    </x:row>
    <x:row r="75" ht="42" customHeight="1">
      <x:c r="A75" s="7" t="str">
        <x:v>BASE</x:v>
      </x:c>
      <x:c r="B75" s="7" t="str">
        <x:v>U06</x:v>
      </x:c>
      <x:c r="C75" s="7" t="str">
        <x:v>terminal</x:v>
      </x:c>
      <x:c r="D75" s="7" t="str">
        <x:v>공통 목표 최종 상태와 전체 음성 준비</x:v>
      </x:c>
      <x:c r="E75" s="7" t="str">
        <x:v>via</x:v>
      </x:c>
      <x:c r="F75" s="14" t="n">
        <x:v>7.018</x:v>
      </x:c>
      <x:c r="G75" s="14" t="n">
        <x:v>7.018</x:v>
      </x:c>
      <x:c r="H75" s="14" t="n">
        <x:v>0</x:v>
      </x:c>
      <x:c r="I75" s="14" t="n">
        <x:v>0</x:v>
      </x:c>
      <x:c r="J75" s="7" t="str">
        <x:v>result_display, response_audio, intent_audio, first_audio_output</x:v>
      </x:c>
      <x:c r="K75" s="7" t="str">
        <x:v>none</x:v>
      </x:c>
      <x:c r="L75" s="14" t="n">
        <x:f>IF(G75&lt;=I75,0,MAX(0,L69,L70,L71,L73)+IF(E75="via",MAX(0,G75-MAX(F75,I75)),0))</x:f>
        <x:v>7.018</x:v>
      </x:c>
    </x:row>
    <x:row r="76" ht="42" customHeight="1">
      <x:c r="A76" s="12" t="str">
        <x:v>BASE</x:v>
      </x:c>
      <x:c r="B76" s="12" t="str">
        <x:v>U07</x:v>
      </x:c>
      <x:c r="C76" s="12" t="str">
        <x:v>bg1</x:v>
      </x:c>
      <x:c r="D76" s="12" t="str">
        <x:v>진행 중인 현재 대화의 의미 step</x:v>
      </x:c>
      <x:c r="E76" s="12" t="str">
        <x:v>via</x:v>
      </x:c>
      <x:c r="F76" s="13" t="n">
        <x:v>-1</x:v>
      </x:c>
      <x:c r="G76" s="13" t="n">
        <x:v>2.4</x:v>
      </x:c>
      <x:c r="H76" s="13" t="n">
        <x:v>3.4</x:v>
      </x:c>
      <x:c r="I76" s="13" t="n">
        <x:v>0</x:v>
      </x:c>
      <x:c r="J76" s="12" t="str"/>
      <x:c r="K76" s="12" t="str">
        <x:v>semantic</x:v>
      </x:c>
      <x:c r="L76" s="13" t="n">
        <x:f>IF(G76&lt;=I76,0,MAX(0)+IF(E76="via",MAX(0,G76-MAX(F76,I76)),0))</x:f>
        <x:v>2.4</x:v>
      </x:c>
    </x:row>
    <x:row r="77" ht="42" customHeight="1">
      <x:c r="A77" s="7" t="str">
        <x:v>BASE</x:v>
      </x:c>
      <x:c r="B77" s="7" t="str">
        <x:v>U07</x:v>
      </x:c>
      <x:c r="C77" s="7" t="str">
        <x:v>bg2</x:v>
      </x:c>
      <x:c r="D77" s="7" t="str">
        <x:v>다른 대화의 의미 step</x:v>
      </x:c>
      <x:c r="E77" s="7" t="str">
        <x:v>via</x:v>
      </x:c>
      <x:c r="F77" s="14" t="n">
        <x:v>-1</x:v>
      </x:c>
      <x:c r="G77" s="14" t="n">
        <x:v>2.4</x:v>
      </x:c>
      <x:c r="H77" s="14" t="n">
        <x:v>3.4</x:v>
      </x:c>
      <x:c r="I77" s="14" t="n">
        <x:v>0</x:v>
      </x:c>
      <x:c r="J77" s="7" t="str"/>
      <x:c r="K77" s="7" t="str">
        <x:v>semantic</x:v>
      </x:c>
      <x:c r="L77" s="14" t="n">
        <x:f>IF(G77&lt;=I77,0,MAX(0)+IF(E77="via",MAX(0,G77-MAX(F77,I77)),0))</x:f>
        <x:v>2.4</x:v>
      </x:c>
    </x:row>
    <x:row r="78" ht="42" customHeight="1">
      <x:c r="A78" s="12" t="str">
        <x:v>BASE</x:v>
      </x:c>
      <x:c r="B78" s="12" t="str">
        <x:v>U07</x:v>
      </x:c>
      <x:c r="C78" s="12" t="str">
        <x:v>input_end</x:v>
      </x:c>
      <x:c r="D78" s="12" t="str">
        <x:v>사용자 입력 종료</x:v>
      </x:c>
      <x:c r="E78" s="12" t="str">
        <x:v>external</x:v>
      </x:c>
      <x:c r="F78" s="13" t="n">
        <x:v>0</x:v>
      </x:c>
      <x:c r="G78" s="13" t="n">
        <x:v>0</x:v>
      </x:c>
      <x:c r="H78" s="13" t="n">
        <x:v>0</x:v>
      </x:c>
      <x:c r="I78" s="13" t="n">
        <x:v>0</x:v>
      </x:c>
      <x:c r="J78" s="12" t="str"/>
      <x:c r="K78" s="12" t="str">
        <x:v>none</x:v>
      </x:c>
      <x:c r="L78" s="13" t="n">
        <x:f>IF(G78&lt;=I78,0,MAX(0)+IF(E78="via",MAX(0,G78-MAX(F78,I78)),0))</x:f>
        <x:v>0</x:v>
      </x:c>
    </x:row>
    <x:row r="79" ht="42" customHeight="1">
      <x:c r="A79" s="7" t="str">
        <x:v>BASE</x:v>
      </x:c>
      <x:c r="B79" s="7" t="str">
        <x:v>U07</x:v>
      </x:c>
      <x:c r="C79" s="7" t="str">
        <x:v>intake</x:v>
      </x:c>
      <x:c r="D79" s="7" t="str">
        <x:v>입력 확정</x:v>
      </x:c>
      <x:c r="E79" s="7" t="str">
        <x:v>via</x:v>
      </x:c>
      <x:c r="F79" s="14" t="n">
        <x:v>0</x:v>
      </x:c>
      <x:c r="G79" s="14" t="n">
        <x:v>0.3</x:v>
      </x:c>
      <x:c r="H79" s="14" t="n">
        <x:v>0.3</x:v>
      </x:c>
      <x:c r="I79" s="14" t="n">
        <x:v>0</x:v>
      </x:c>
      <x:c r="J79" s="7" t="str">
        <x:v>input_end</x:v>
      </x:c>
      <x:c r="K79" s="7" t="str">
        <x:v>none</x:v>
      </x:c>
      <x:c r="L79" s="14" t="n">
        <x:f>IF(G79&lt;=I79,0,MAX(0,L78)+IF(E79="via",MAX(0,G79-MAX(F79,I79)),0))</x:f>
        <x:v>0.3</x:v>
      </x:c>
    </x:row>
    <x:row r="80" ht="42" customHeight="1">
      <x:c r="A80" s="12" t="str">
        <x:v>BASE</x:v>
      </x:c>
      <x:c r="B80" s="12" t="str">
        <x:v>U07</x:v>
      </x:c>
      <x:c r="C80" s="12" t="str">
        <x:v>read</x:v>
      </x:c>
      <x:c r="D80" s="12" t="str">
        <x:v>공통 허용 원본 조회</x:v>
      </x:c>
      <x:c r="E80" s="12" t="str">
        <x:v>via</x:v>
      </x:c>
      <x:c r="F80" s="13" t="n">
        <x:v>0.3</x:v>
      </x:c>
      <x:c r="G80" s="13" t="n">
        <x:v>0.38</x:v>
      </x:c>
      <x:c r="H80" s="13" t="n">
        <x:v>0.08</x:v>
      </x:c>
      <x:c r="I80" s="13" t="n">
        <x:v>0</x:v>
      </x:c>
      <x:c r="J80" s="12" t="str">
        <x:v>intake</x:v>
      </x:c>
      <x:c r="K80" s="12" t="str">
        <x:v>none</x:v>
      </x:c>
      <x:c r="L80" s="13" t="n">
        <x:f>IF(G80&lt;=I80,0,MAX(0,L79)+IF(E80="via",MAX(0,G80-MAX(F80,I80)),0))</x:f>
        <x:v>0.38</x:v>
      </x:c>
    </x:row>
    <x:row r="81" ht="42" customHeight="1">
      <x:c r="A81" s="7" t="str">
        <x:v>BASE</x:v>
      </x:c>
      <x:c r="B81" s="7" t="str">
        <x:v>U07</x:v>
      </x:c>
      <x:c r="C81" s="7" t="str">
        <x:v>meaning</x:v>
      </x:c>
      <x:c r="D81" s="7" t="str">
        <x:v>최초 요청 의미 채택 packet 생성</x:v>
      </x:c>
      <x:c r="E81" s="7" t="str">
        <x:v>via</x:v>
      </x:c>
      <x:c r="F81" s="14" t="n">
        <x:v>2.4</x:v>
      </x:c>
      <x:c r="G81" s="14" t="n">
        <x:v>3.5</x:v>
      </x:c>
      <x:c r="H81" s="14" t="n">
        <x:v>1.1</x:v>
      </x:c>
      <x:c r="I81" s="14" t="n">
        <x:v>0</x:v>
      </x:c>
      <x:c r="J81" s="7" t="str">
        <x:v>read, bg1</x:v>
      </x:c>
      <x:c r="K81" s="7" t="str">
        <x:v>semantic</x:v>
      </x:c>
      <x:c r="L81" s="14" t="n">
        <x:f>IF(G81&lt;=I81,0,MAX(0,L80,L76)+IF(E81="via",MAX(0,G81-MAX(F81,I81)),0))</x:f>
        <x:v>3.5</x:v>
      </x:c>
    </x:row>
    <x:row r="82" ht="42" customHeight="1">
      <x:c r="A82" s="12" t="str">
        <x:v>BASE</x:v>
      </x:c>
      <x:c r="B82" s="12" t="str">
        <x:v>U07</x:v>
      </x:c>
      <x:c r="C82" s="12" t="str">
        <x:v>adopt</x:v>
      </x:c>
      <x:c r="D82" s="12" t="str">
        <x:v>현재 revision과 권한 검사 및 채택</x:v>
      </x:c>
      <x:c r="E82" s="12" t="str">
        <x:v>via</x:v>
      </x:c>
      <x:c r="F82" s="13" t="n">
        <x:v>3.5</x:v>
      </x:c>
      <x:c r="G82" s="13" t="n">
        <x:v>3.53</x:v>
      </x:c>
      <x:c r="H82" s="13" t="n">
        <x:v>0.03</x:v>
      </x:c>
      <x:c r="I82" s="13" t="n">
        <x:v>0</x:v>
      </x:c>
      <x:c r="J82" s="12" t="str">
        <x:v>meaning</x:v>
      </x:c>
      <x:c r="K82" s="12" t="str">
        <x:v>none</x:v>
      </x:c>
      <x:c r="L82" s="13" t="n">
        <x:f>IF(G82&lt;=I82,0,MAX(0,L81)+IF(E82="via",MAX(0,G82-MAX(F82,I82)),0))</x:f>
        <x:v>3.53</x:v>
      </x:c>
    </x:row>
    <x:row r="83" ht="42" customHeight="1">
      <x:c r="A83" s="7" t="str">
        <x:v>BASE</x:v>
      </x:c>
      <x:c r="B83" s="7" t="str">
        <x:v>U07</x:v>
      </x:c>
      <x:c r="C83" s="7" t="str">
        <x:v>first_display</x:v>
      </x:c>
      <x:c r="D83" s="7" t="str">
        <x:v>첫 구체적 채택 내용 화면 표시</x:v>
      </x:c>
      <x:c r="E83" s="7" t="str">
        <x:v>via</x:v>
      </x:c>
      <x:c r="F83" s="14" t="n">
        <x:v>3.53</x:v>
      </x:c>
      <x:c r="G83" s="14" t="n">
        <x:v>3.57</x:v>
      </x:c>
      <x:c r="H83" s="14" t="n">
        <x:v>0.04</x:v>
      </x:c>
      <x:c r="I83" s="14" t="n">
        <x:v>0</x:v>
      </x:c>
      <x:c r="J83" s="7" t="str">
        <x:v>adopt</x:v>
      </x:c>
      <x:c r="K83" s="7" t="str">
        <x:v>none</x:v>
      </x:c>
      <x:c r="L83" s="14" t="n">
        <x:f>IF(G83&lt;=I83,0,MAX(0,L82)+IF(E83="via",MAX(0,G83-MAX(F83,I83)),0))</x:f>
        <x:v>3.57</x:v>
      </x:c>
    </x:row>
    <x:row r="84" ht="42" customHeight="1">
      <x:c r="A84" s="12" t="str">
        <x:v>BASE</x:v>
      </x:c>
      <x:c r="B84" s="12" t="str">
        <x:v>U07</x:v>
      </x:c>
      <x:c r="C84" s="12" t="str">
        <x:v>long_work</x:v>
      </x:c>
      <x:c r="D84" s="12" t="str">
        <x:v>요청의 남은 VIA 판단</x:v>
      </x:c>
      <x:c r="E84" s="12" t="str">
        <x:v>via</x:v>
      </x:c>
      <x:c r="F84" s="13" t="n">
        <x:v>3.53</x:v>
      </x:c>
      <x:c r="G84" s="13" t="n">
        <x:v>5.13</x:v>
      </x:c>
      <x:c r="H84" s="13" t="n">
        <x:v>1.6</x:v>
      </x:c>
      <x:c r="I84" s="13" t="n">
        <x:v>0</x:v>
      </x:c>
      <x:c r="J84" s="12" t="str">
        <x:v>adopt</x:v>
      </x:c>
      <x:c r="K84" s="12" t="str">
        <x:v>semantic</x:v>
      </x:c>
      <x:c r="L84" s="13" t="n">
        <x:f>IF(G84&lt;=I84,0,MAX(0,L82)+IF(E84="via",MAX(0,G84-MAX(F84,I84)),0))</x:f>
        <x:v>5.13</x:v>
      </x:c>
    </x:row>
    <x:row r="85" ht="42" customHeight="1">
      <x:c r="A85" s="7" t="str">
        <x:v>BASE</x:v>
      </x:c>
      <x:c r="B85" s="7" t="str">
        <x:v>U07</x:v>
      </x:c>
      <x:c r="C85" s="7" t="str">
        <x:v>result_display</x:v>
      </x:c>
      <x:c r="D85" s="7" t="str">
        <x:v>최종 설명 상세 표시</x:v>
      </x:c>
      <x:c r="E85" s="7" t="str">
        <x:v>via</x:v>
      </x:c>
      <x:c r="F85" s="14" t="n">
        <x:v>5.13</x:v>
      </x:c>
      <x:c r="G85" s="14" t="n">
        <x:v>5.17</x:v>
      </x:c>
      <x:c r="H85" s="14" t="n">
        <x:v>0.04</x:v>
      </x:c>
      <x:c r="I85" s="14" t="n">
        <x:v>0</x:v>
      </x:c>
      <x:c r="J85" s="7" t="str">
        <x:v>long_work</x:v>
      </x:c>
      <x:c r="K85" s="7" t="str">
        <x:v>none</x:v>
      </x:c>
      <x:c r="L85" s="14" t="n">
        <x:f>IF(G85&lt;=I85,0,MAX(0,L84)+IF(E85="via",MAX(0,G85-MAX(F85,I85)),0))</x:f>
        <x:v>5.17</x:v>
      </x:c>
    </x:row>
    <x:row r="86" ht="42" customHeight="1">
      <x:c r="A86" s="12" t="str">
        <x:v>BASE</x:v>
      </x:c>
      <x:c r="B86" s="12" t="str">
        <x:v>U07</x:v>
      </x:c>
      <x:c r="C86" s="12" t="str">
        <x:v>response_audio</x:v>
      </x:c>
      <x:c r="D86" s="12" t="str">
        <x:v>선택한 응답 음성 생성</x:v>
      </x:c>
      <x:c r="E86" s="12" t="str">
        <x:v>via</x:v>
      </x:c>
      <x:c r="F86" s="13" t="n">
        <x:v>5.13</x:v>
      </x:c>
      <x:c r="G86" s="13" t="n">
        <x:v>7.018</x:v>
      </x:c>
      <x:c r="H86" s="13" t="n">
        <x:v>1.888</x:v>
      </x:c>
      <x:c r="I86" s="13" t="n">
        <x:v>0</x:v>
      </x:c>
      <x:c r="J86" s="12" t="str">
        <x:v>long_work</x:v>
      </x:c>
      <x:c r="K86" s="12" t="str">
        <x:v>speech</x:v>
      </x:c>
      <x:c r="L86" s="13" t="n">
        <x:f>IF(G86&lt;=I86,0,MAX(0,L84)+IF(E86="via",MAX(0,G86-MAX(F86,I86)),0))</x:f>
        <x:v>7.018</x:v>
      </x:c>
    </x:row>
    <x:row r="87" ht="42" customHeight="1">
      <x:c r="A87" s="7" t="str">
        <x:v>BASE</x:v>
      </x:c>
      <x:c r="B87" s="7" t="str">
        <x:v>U07</x:v>
      </x:c>
      <x:c r="C87" s="7" t="str">
        <x:v>intent_audio</x:v>
      </x:c>
      <x:c r="D87" s="7" t="str">
        <x:v>채택한 구체적 수행 의도의 짧은 음성</x:v>
      </x:c>
      <x:c r="E87" s="7" t="str">
        <x:v>via</x:v>
      </x:c>
      <x:c r="F87" s="14" t="n">
        <x:v>3.53</x:v>
      </x:c>
      <x:c r="G87" s="14" t="n">
        <x:v>4.664</x:v>
      </x:c>
      <x:c r="H87" s="14" t="n">
        <x:v>1.134</x:v>
      </x:c>
      <x:c r="I87" s="14" t="n">
        <x:v>0</x:v>
      </x:c>
      <x:c r="J87" s="7" t="str">
        <x:v>adopt</x:v>
      </x:c>
      <x:c r="K87" s="7" t="str">
        <x:v>speech</x:v>
      </x:c>
      <x:c r="L87" s="14" t="n">
        <x:f>IF(G87&lt;=I87,0,MAX(0,L82)+IF(E87="via",MAX(0,G87-MAX(F87,I87)),0))</x:f>
        <x:v>4.664</x:v>
      </x:c>
    </x:row>
    <x:row r="88" ht="42" customHeight="1">
      <x:c r="A88" s="12" t="str">
        <x:v>BASE</x:v>
      </x:c>
      <x:c r="B88" s="12" t="str">
        <x:v>U07</x:v>
      </x:c>
      <x:c r="C88" s="12" t="str">
        <x:v>first_chunk</x:v>
      </x:c>
      <x:c r="D88" s="12" t="str">
        <x:v>같은 생성 job의 유효 첫 chunk 관측</x:v>
      </x:c>
      <x:c r="E88" s="12" t="str">
        <x:v>via</x:v>
      </x:c>
      <x:c r="F88" s="13" t="n">
        <x:v>3.53</x:v>
      </x:c>
      <x:c r="G88" s="13" t="n">
        <x:v>3.964</x:v>
      </x:c>
      <x:c r="H88" s="13" t="n">
        <x:v>0.434</x:v>
      </x:c>
      <x:c r="I88" s="13" t="n">
        <x:v>0</x:v>
      </x:c>
      <x:c r="J88" s="12" t="str">
        <x:v>adopt</x:v>
      </x:c>
      <x:c r="K88" s="12" t="str">
        <x:v>none</x:v>
      </x:c>
      <x:c r="L88" s="13" t="n">
        <x:f>IF(G88&lt;=I88,0,MAX(0,L82)+IF(E88="via",MAX(0,G88-MAX(F88,I88)),0))</x:f>
        <x:v>3.964</x:v>
      </x:c>
    </x:row>
    <x:row r="89" ht="42" customHeight="1">
      <x:c r="A89" s="7" t="str">
        <x:v>BASE</x:v>
      </x:c>
      <x:c r="B89" s="7" t="str">
        <x:v>U07</x:v>
      </x:c>
      <x:c r="C89" s="7" t="str">
        <x:v>first_audio_output</x:v>
      </x:c>
      <x:c r="D89" s="7" t="str">
        <x:v>공통 장치의 첫 음성 출력</x:v>
      </x:c>
      <x:c r="E89" s="7" t="str">
        <x:v>via</x:v>
      </x:c>
      <x:c r="F89" s="14" t="n">
        <x:v>3.964</x:v>
      </x:c>
      <x:c r="G89" s="14" t="n">
        <x:v>4.004</x:v>
      </x:c>
      <x:c r="H89" s="14" t="n">
        <x:v>0.04</x:v>
      </x:c>
      <x:c r="I89" s="14" t="n">
        <x:v>0</x:v>
      </x:c>
      <x:c r="J89" s="7" t="str">
        <x:v>adopt, first_chunk</x:v>
      </x:c>
      <x:c r="K89" s="7" t="str">
        <x:v>none</x:v>
      </x:c>
      <x:c r="L89" s="14" t="n">
        <x:f>IF(G89&lt;=I89,0,MAX(0,L82,L88)+IF(E89="via",MAX(0,G89-MAX(F89,I89)),0))</x:f>
        <x:v>4.004</x:v>
      </x:c>
    </x:row>
    <x:row r="90" ht="42" customHeight="1">
      <x:c r="A90" s="12" t="str">
        <x:v>BASE</x:v>
      </x:c>
      <x:c r="B90" s="12" t="str">
        <x:v>U07</x:v>
      </x:c>
      <x:c r="C90" s="12" t="str">
        <x:v>next_speech_selection</x:v>
      </x:c>
      <x:c r="D90" s="12" t="str">
        <x:v>현재 발화 재생 후 다음 응답 선택</x:v>
      </x:c>
      <x:c r="E90" s="12" t="str">
        <x:v>external</x:v>
      </x:c>
      <x:c r="F90" s="13" t="n">
        <x:v>4.004</x:v>
      </x:c>
      <x:c r="G90" s="13" t="n">
        <x:v>7.004</x:v>
      </x:c>
      <x:c r="H90" s="13" t="n">
        <x:v>3</x:v>
      </x:c>
      <x:c r="I90" s="13" t="n">
        <x:v>0</x:v>
      </x:c>
      <x:c r="J90" s="12" t="str">
        <x:v>first_audio_output</x:v>
      </x:c>
      <x:c r="K90" s="12" t="str">
        <x:v>none</x:v>
      </x:c>
      <x:c r="L90" s="13" t="n">
        <x:f>IF(G90&lt;=I90,0,MAX(0,L89)+IF(E90="via",MAX(0,G90-MAX(F90,I90)),0))</x:f>
        <x:v>4.004</x:v>
      </x:c>
    </x:row>
    <x:row r="91" ht="42" customHeight="1">
      <x:c r="A91" s="7" t="str">
        <x:v>BASE</x:v>
      </x:c>
      <x:c r="B91" s="7" t="str">
        <x:v>U07</x:v>
      </x:c>
      <x:c r="C91" s="7" t="str">
        <x:v>terminal</x:v>
      </x:c>
      <x:c r="D91" s="7" t="str">
        <x:v>공통 목표 최종 상태와 전체 음성 준비</x:v>
      </x:c>
      <x:c r="E91" s="7" t="str">
        <x:v>via</x:v>
      </x:c>
      <x:c r="F91" s="14" t="n">
        <x:v>7.018</x:v>
      </x:c>
      <x:c r="G91" s="14" t="n">
        <x:v>7.018</x:v>
      </x:c>
      <x:c r="H91" s="14" t="n">
        <x:v>0</x:v>
      </x:c>
      <x:c r="I91" s="14" t="n">
        <x:v>0</x:v>
      </x:c>
      <x:c r="J91" s="7" t="str">
        <x:v>result_display, response_audio, intent_audio, first_audio_output</x:v>
      </x:c>
      <x:c r="K91" s="7" t="str">
        <x:v>none</x:v>
      </x:c>
      <x:c r="L91" s="14" t="n">
        <x:f>IF(G91&lt;=I91,0,MAX(0,L85,L86,L87,L89)+IF(E91="via",MAX(0,G91-MAX(F91,I91)),0))</x:f>
        <x:v>7.018</x:v>
      </x:c>
    </x:row>
    <x:row r="92" ht="42" customHeight="1">
      <x:c r="A92" s="12" t="str">
        <x:v>BASE</x:v>
      </x:c>
      <x:c r="B92" s="12" t="str">
        <x:v>U08</x:v>
      </x:c>
      <x:c r="C92" s="12" t="str">
        <x:v>bg1</x:v>
      </x:c>
      <x:c r="D92" s="12" t="str">
        <x:v>진행 중인 현재 대화의 의미 step</x:v>
      </x:c>
      <x:c r="E92" s="12" t="str">
        <x:v>via</x:v>
      </x:c>
      <x:c r="F92" s="13" t="n">
        <x:v>-1</x:v>
      </x:c>
      <x:c r="G92" s="13" t="n">
        <x:v>2.4</x:v>
      </x:c>
      <x:c r="H92" s="13" t="n">
        <x:v>3.4</x:v>
      </x:c>
      <x:c r="I92" s="13" t="n">
        <x:v>-6</x:v>
      </x:c>
      <x:c r="J92" s="12" t="str">
        <x:v>original_work</x:v>
      </x:c>
      <x:c r="K92" s="12" t="str">
        <x:v>semantic</x:v>
      </x:c>
      <x:c r="L92" s="13" t="n">
        <x:f>IF(G92&lt;=I92,0,MAX(0,L93)+IF(E92="via",MAX(0,G92-MAX(F92,I92)),0))</x:f>
        <x:v>5.4</x:v>
      </x:c>
    </x:row>
    <x:row r="93" ht="42" customHeight="1">
      <x:c r="A93" s="7" t="str">
        <x:v>BASE</x:v>
      </x:c>
      <x:c r="B93" s="7" t="str">
        <x:v>U08</x:v>
      </x:c>
      <x:c r="C93" s="7" t="str">
        <x:v>original_work</x:v>
      </x:c>
      <x:c r="D93" s="7" t="str">
        <x:v>원래 목표의 최초 VIA 처리</x:v>
      </x:c>
      <x:c r="E93" s="7" t="str">
        <x:v>via</x:v>
      </x:c>
      <x:c r="F93" s="14" t="n">
        <x:v>-6</x:v>
      </x:c>
      <x:c r="G93" s="14" t="n">
        <x:v>-4</x:v>
      </x:c>
      <x:c r="H93" s="14" t="n">
        <x:v>2</x:v>
      </x:c>
      <x:c r="I93" s="14" t="n">
        <x:v>-6</x:v>
      </x:c>
      <x:c r="J93" s="7" t="str"/>
      <x:c r="K93" s="7" t="str">
        <x:v>none</x:v>
      </x:c>
      <x:c r="L93" s="14" t="n">
        <x:f>IF(G93&lt;=I93,0,MAX(0)+IF(E93="via",MAX(0,G93-MAX(F93,I93)),0))</x:f>
        <x:v>2</x:v>
      </x:c>
    </x:row>
    <x:row r="94" ht="42" customHeight="1">
      <x:c r="A94" s="12" t="str">
        <x:v>BASE</x:v>
      </x:c>
      <x:c r="B94" s="12" t="str">
        <x:v>U08</x:v>
      </x:c>
      <x:c r="C94" s="12" t="str">
        <x:v>input_end</x:v>
      </x:c>
      <x:c r="D94" s="12" t="str">
        <x:v>사용자 입력 종료</x:v>
      </x:c>
      <x:c r="E94" s="12" t="str">
        <x:v>external</x:v>
      </x:c>
      <x:c r="F94" s="13" t="n">
        <x:v>0</x:v>
      </x:c>
      <x:c r="G94" s="13" t="n">
        <x:v>0</x:v>
      </x:c>
      <x:c r="H94" s="13" t="n">
        <x:v>0</x:v>
      </x:c>
      <x:c r="I94" s="13" t="n">
        <x:v>-6</x:v>
      </x:c>
      <x:c r="J94" s="12" t="str">
        <x:v>original_work</x:v>
      </x:c>
      <x:c r="K94" s="12" t="str">
        <x:v>none</x:v>
      </x:c>
      <x:c r="L94" s="13" t="n">
        <x:f>IF(G94&lt;=I94,0,MAX(0,L93)+IF(E94="via",MAX(0,G94-MAX(F94,I94)),0))</x:f>
        <x:v>2</x:v>
      </x:c>
    </x:row>
    <x:row r="95" ht="42" customHeight="1">
      <x:c r="A95" s="7" t="str">
        <x:v>BASE</x:v>
      </x:c>
      <x:c r="B95" s="7" t="str">
        <x:v>U08</x:v>
      </x:c>
      <x:c r="C95" s="7" t="str">
        <x:v>intake</x:v>
      </x:c>
      <x:c r="D95" s="7" t="str">
        <x:v>입력 확정</x:v>
      </x:c>
      <x:c r="E95" s="7" t="str">
        <x:v>via</x:v>
      </x:c>
      <x:c r="F95" s="14" t="n">
        <x:v>0</x:v>
      </x:c>
      <x:c r="G95" s="14" t="n">
        <x:v>0.06</x:v>
      </x:c>
      <x:c r="H95" s="14" t="n">
        <x:v>0.06</x:v>
      </x:c>
      <x:c r="I95" s="14" t="n">
        <x:v>-6</x:v>
      </x:c>
      <x:c r="J95" s="7" t="str">
        <x:v>input_end</x:v>
      </x:c>
      <x:c r="K95" s="7" t="str">
        <x:v>none</x:v>
      </x:c>
      <x:c r="L95" s="14" t="n">
        <x:f>IF(G95&lt;=I95,0,MAX(0,L94)+IF(E95="via",MAX(0,G95-MAX(F95,I95)),0))</x:f>
        <x:v>2.06</x:v>
      </x:c>
    </x:row>
    <x:row r="96" ht="42" customHeight="1">
      <x:c r="A96" s="12" t="str">
        <x:v>BASE</x:v>
      </x:c>
      <x:c r="B96" s="12" t="str">
        <x:v>U08</x:v>
      </x:c>
      <x:c r="C96" s="12" t="str">
        <x:v>read</x:v>
      </x:c>
      <x:c r="D96" s="12" t="str">
        <x:v>공통 허용 원본 조회</x:v>
      </x:c>
      <x:c r="E96" s="12" t="str">
        <x:v>via</x:v>
      </x:c>
      <x:c r="F96" s="13" t="n">
        <x:v>0.06</x:v>
      </x:c>
      <x:c r="G96" s="13" t="n">
        <x:v>0.14</x:v>
      </x:c>
      <x:c r="H96" s="13" t="n">
        <x:v>0.08</x:v>
      </x:c>
      <x:c r="I96" s="13" t="n">
        <x:v>-6</x:v>
      </x:c>
      <x:c r="J96" s="12" t="str">
        <x:v>intake</x:v>
      </x:c>
      <x:c r="K96" s="12" t="str">
        <x:v>none</x:v>
      </x:c>
      <x:c r="L96" s="13" t="n">
        <x:f>IF(G96&lt;=I96,0,MAX(0,L95)+IF(E96="via",MAX(0,G96-MAX(F96,I96)),0))</x:f>
        <x:v>2.14</x:v>
      </x:c>
    </x:row>
    <x:row r="97" ht="42" customHeight="1">
      <x:c r="A97" s="7" t="str">
        <x:v>BASE</x:v>
      </x:c>
      <x:c r="B97" s="7" t="str">
        <x:v>U08</x:v>
      </x:c>
      <x:c r="C97" s="7" t="str">
        <x:v>meaning</x:v>
      </x:c>
      <x:c r="D97" s="7" t="str">
        <x:v>최초 요청 의미 채택 packet 생성</x:v>
      </x:c>
      <x:c r="E97" s="7" t="str">
        <x:v>via</x:v>
      </x:c>
      <x:c r="F97" s="14" t="n">
        <x:v>2.4</x:v>
      </x:c>
      <x:c r="G97" s="14" t="n">
        <x:v>3.5</x:v>
      </x:c>
      <x:c r="H97" s="14" t="n">
        <x:v>1.1</x:v>
      </x:c>
      <x:c r="I97" s="14" t="n">
        <x:v>-6</x:v>
      </x:c>
      <x:c r="J97" s="7" t="str">
        <x:v>read, bg1</x:v>
      </x:c>
      <x:c r="K97" s="7" t="str">
        <x:v>semantic</x:v>
      </x:c>
      <x:c r="L97" s="14" t="n">
        <x:f>IF(G97&lt;=I97,0,MAX(0,L96,L92)+IF(E97="via",MAX(0,G97-MAX(F97,I97)),0))</x:f>
        <x:v>6.5</x:v>
      </x:c>
    </x:row>
    <x:row r="98" ht="42" customHeight="1">
      <x:c r="A98" s="12" t="str">
        <x:v>BASE</x:v>
      </x:c>
      <x:c r="B98" s="12" t="str">
        <x:v>U08</x:v>
      </x:c>
      <x:c r="C98" s="12" t="str">
        <x:v>adopt</x:v>
      </x:c>
      <x:c r="D98" s="12" t="str">
        <x:v>현재 revision과 권한 검사 및 채택</x:v>
      </x:c>
      <x:c r="E98" s="12" t="str">
        <x:v>via</x:v>
      </x:c>
      <x:c r="F98" s="13" t="n">
        <x:v>3.5</x:v>
      </x:c>
      <x:c r="G98" s="13" t="n">
        <x:v>3.53</x:v>
      </x:c>
      <x:c r="H98" s="13" t="n">
        <x:v>0.03</x:v>
      </x:c>
      <x:c r="I98" s="13" t="n">
        <x:v>-6</x:v>
      </x:c>
      <x:c r="J98" s="12" t="str">
        <x:v>meaning</x:v>
      </x:c>
      <x:c r="K98" s="12" t="str">
        <x:v>none</x:v>
      </x:c>
      <x:c r="L98" s="13" t="n">
        <x:f>IF(G98&lt;=I98,0,MAX(0,L97)+IF(E98="via",MAX(0,G98-MAX(F98,I98)),0))</x:f>
        <x:v>6.529999999999999</x:v>
      </x:c>
    </x:row>
    <x:row r="99" ht="42" customHeight="1">
      <x:c r="A99" s="7" t="str">
        <x:v>BASE</x:v>
      </x:c>
      <x:c r="B99" s="7" t="str">
        <x:v>U08</x:v>
      </x:c>
      <x:c r="C99" s="7" t="str">
        <x:v>first_display</x:v>
      </x:c>
      <x:c r="D99" s="7" t="str">
        <x:v>첫 구체적 채택 내용 화면 표시</x:v>
      </x:c>
      <x:c r="E99" s="7" t="str">
        <x:v>via</x:v>
      </x:c>
      <x:c r="F99" s="14" t="n">
        <x:v>3.53</x:v>
      </x:c>
      <x:c r="G99" s="14" t="n">
        <x:v>3.57</x:v>
      </x:c>
      <x:c r="H99" s="14" t="n">
        <x:v>0.04</x:v>
      </x:c>
      <x:c r="I99" s="14" t="n">
        <x:v>-6</x:v>
      </x:c>
      <x:c r="J99" s="7" t="str">
        <x:v>adopt</x:v>
      </x:c>
      <x:c r="K99" s="7" t="str">
        <x:v>none</x:v>
      </x:c>
      <x:c r="L99" s="14" t="n">
        <x:f>IF(G99&lt;=I99,0,MAX(0,L98)+IF(E99="via",MAX(0,G99-MAX(F99,I99)),0))</x:f>
        <x:v>6.569999999999999</x:v>
      </x:c>
    </x:row>
    <x:row r="100" ht="42" customHeight="1">
      <x:c r="A100" s="12" t="str">
        <x:v>BASE</x:v>
      </x:c>
      <x:c r="B100" s="12" t="str">
        <x:v>U08</x:v>
      </x:c>
      <x:c r="C100" s="12" t="str">
        <x:v>long_work</x:v>
      </x:c>
      <x:c r="D100" s="12" t="str">
        <x:v>요청의 남은 VIA 판단</x:v>
      </x:c>
      <x:c r="E100" s="12" t="str">
        <x:v>via</x:v>
      </x:c>
      <x:c r="F100" s="13" t="n">
        <x:v>3.53</x:v>
      </x:c>
      <x:c r="G100" s="13" t="n">
        <x:v>5.13</x:v>
      </x:c>
      <x:c r="H100" s="13" t="n">
        <x:v>1.6</x:v>
      </x:c>
      <x:c r="I100" s="13" t="n">
        <x:v>-6</x:v>
      </x:c>
      <x:c r="J100" s="12" t="str">
        <x:v>adopt</x:v>
      </x:c>
      <x:c r="K100" s="12" t="str">
        <x:v>semantic</x:v>
      </x:c>
      <x:c r="L100" s="13" t="n">
        <x:f>IF(G100&lt;=I100,0,MAX(0,L98)+IF(E100="via",MAX(0,G100-MAX(F100,I100)),0))</x:f>
        <x:v>8.129999999999999</x:v>
      </x:c>
    </x:row>
    <x:row r="101" ht="42" customHeight="1">
      <x:c r="A101" s="7" t="str">
        <x:v>BASE</x:v>
      </x:c>
      <x:c r="B101" s="7" t="str">
        <x:v>U08</x:v>
      </x:c>
      <x:c r="C101" s="7" t="str">
        <x:v>result_display</x:v>
      </x:c>
      <x:c r="D101" s="7" t="str">
        <x:v>최종 설명 상세 표시</x:v>
      </x:c>
      <x:c r="E101" s="7" t="str">
        <x:v>via</x:v>
      </x:c>
      <x:c r="F101" s="14" t="n">
        <x:v>5.13</x:v>
      </x:c>
      <x:c r="G101" s="14" t="n">
        <x:v>5.17</x:v>
      </x:c>
      <x:c r="H101" s="14" t="n">
        <x:v>0.04</x:v>
      </x:c>
      <x:c r="I101" s="14" t="n">
        <x:v>-6</x:v>
      </x:c>
      <x:c r="J101" s="7" t="str">
        <x:v>long_work</x:v>
      </x:c>
      <x:c r="K101" s="7" t="str">
        <x:v>none</x:v>
      </x:c>
      <x:c r="L101" s="14" t="n">
        <x:f>IF(G101&lt;=I101,0,MAX(0,L100)+IF(E101="via",MAX(0,G101-MAX(F101,I101)),0))</x:f>
        <x:v>8.169999999999998</x:v>
      </x:c>
    </x:row>
    <x:row r="102" ht="42" customHeight="1">
      <x:c r="A102" s="12" t="str">
        <x:v>BASE</x:v>
      </x:c>
      <x:c r="B102" s="12" t="str">
        <x:v>U08</x:v>
      </x:c>
      <x:c r="C102" s="12" t="str">
        <x:v>response_audio</x:v>
      </x:c>
      <x:c r="D102" s="12" t="str">
        <x:v>선택한 응답 음성 생성</x:v>
      </x:c>
      <x:c r="E102" s="12" t="str">
        <x:v>via</x:v>
      </x:c>
      <x:c r="F102" s="13" t="n">
        <x:v>5.13</x:v>
      </x:c>
      <x:c r="G102" s="13" t="n">
        <x:v>7.018</x:v>
      </x:c>
      <x:c r="H102" s="13" t="n">
        <x:v>1.888</x:v>
      </x:c>
      <x:c r="I102" s="13" t="n">
        <x:v>-6</x:v>
      </x:c>
      <x:c r="J102" s="12" t="str">
        <x:v>long_work</x:v>
      </x:c>
      <x:c r="K102" s="12" t="str">
        <x:v>speech</x:v>
      </x:c>
      <x:c r="L102" s="13" t="n">
        <x:f>IF(G102&lt;=I102,0,MAX(0,L100)+IF(E102="via",MAX(0,G102-MAX(F102,I102)),0))</x:f>
        <x:v>10.017999999999999</x:v>
      </x:c>
    </x:row>
    <x:row r="103" ht="42" customHeight="1">
      <x:c r="A103" s="7" t="str">
        <x:v>BASE</x:v>
      </x:c>
      <x:c r="B103" s="7" t="str">
        <x:v>U08</x:v>
      </x:c>
      <x:c r="C103" s="7" t="str">
        <x:v>intent_audio</x:v>
      </x:c>
      <x:c r="D103" s="7" t="str">
        <x:v>채택한 구체적 수행 의도의 짧은 음성</x:v>
      </x:c>
      <x:c r="E103" s="7" t="str">
        <x:v>via</x:v>
      </x:c>
      <x:c r="F103" s="14" t="n">
        <x:v>3.53</x:v>
      </x:c>
      <x:c r="G103" s="14" t="n">
        <x:v>4.664</x:v>
      </x:c>
      <x:c r="H103" s="14" t="n">
        <x:v>1.134</x:v>
      </x:c>
      <x:c r="I103" s="14" t="n">
        <x:v>-6</x:v>
      </x:c>
      <x:c r="J103" s="7" t="str">
        <x:v>adopt</x:v>
      </x:c>
      <x:c r="K103" s="7" t="str">
        <x:v>speech</x:v>
      </x:c>
      <x:c r="L103" s="14" t="n">
        <x:f>IF(G103&lt;=I103,0,MAX(0,L98)+IF(E103="via",MAX(0,G103-MAX(F103,I103)),0))</x:f>
        <x:v>7.664</x:v>
      </x:c>
    </x:row>
    <x:row r="104" ht="42" customHeight="1">
      <x:c r="A104" s="12" t="str">
        <x:v>BASE</x:v>
      </x:c>
      <x:c r="B104" s="12" t="str">
        <x:v>U08</x:v>
      </x:c>
      <x:c r="C104" s="12" t="str">
        <x:v>first_chunk</x:v>
      </x:c>
      <x:c r="D104" s="12" t="str">
        <x:v>같은 생성 job의 유효 첫 chunk 관측</x:v>
      </x:c>
      <x:c r="E104" s="12" t="str">
        <x:v>via</x:v>
      </x:c>
      <x:c r="F104" s="13" t="n">
        <x:v>3.53</x:v>
      </x:c>
      <x:c r="G104" s="13" t="n">
        <x:v>3.964</x:v>
      </x:c>
      <x:c r="H104" s="13" t="n">
        <x:v>0.434</x:v>
      </x:c>
      <x:c r="I104" s="13" t="n">
        <x:v>-6</x:v>
      </x:c>
      <x:c r="J104" s="12" t="str">
        <x:v>adopt</x:v>
      </x:c>
      <x:c r="K104" s="12" t="str">
        <x:v>none</x:v>
      </x:c>
      <x:c r="L104" s="13" t="n">
        <x:f>IF(G104&lt;=I104,0,MAX(0,L98)+IF(E104="via",MAX(0,G104-MAX(F104,I104)),0))</x:f>
        <x:v>6.9639999999999995</x:v>
      </x:c>
    </x:row>
    <x:row r="105" ht="42" customHeight="1">
      <x:c r="A105" s="7" t="str">
        <x:v>BASE</x:v>
      </x:c>
      <x:c r="B105" s="7" t="str">
        <x:v>U08</x:v>
      </x:c>
      <x:c r="C105" s="7" t="str">
        <x:v>first_audio_output</x:v>
      </x:c>
      <x:c r="D105" s="7" t="str">
        <x:v>공통 장치의 첫 음성 출력</x:v>
      </x:c>
      <x:c r="E105" s="7" t="str">
        <x:v>via</x:v>
      </x:c>
      <x:c r="F105" s="14" t="n">
        <x:v>3.964</x:v>
      </x:c>
      <x:c r="G105" s="14" t="n">
        <x:v>4.004</x:v>
      </x:c>
      <x:c r="H105" s="14" t="n">
        <x:v>0.04</x:v>
      </x:c>
      <x:c r="I105" s="14" t="n">
        <x:v>-6</x:v>
      </x:c>
      <x:c r="J105" s="7" t="str">
        <x:v>adopt, first_chunk</x:v>
      </x:c>
      <x:c r="K105" s="7" t="str">
        <x:v>none</x:v>
      </x:c>
      <x:c r="L105" s="14" t="n">
        <x:f>IF(G105&lt;=I105,0,MAX(0,L98,L104)+IF(E105="via",MAX(0,G105-MAX(F105,I105)),0))</x:f>
        <x:v>7.004</x:v>
      </x:c>
    </x:row>
    <x:row r="106" ht="42" customHeight="1">
      <x:c r="A106" s="12" t="str">
        <x:v>BASE</x:v>
      </x:c>
      <x:c r="B106" s="12" t="str">
        <x:v>U08</x:v>
      </x:c>
      <x:c r="C106" s="12" t="str">
        <x:v>next_speech_selection</x:v>
      </x:c>
      <x:c r="D106" s="12" t="str">
        <x:v>현재 발화 재생 후 다음 응답 선택</x:v>
      </x:c>
      <x:c r="E106" s="12" t="str">
        <x:v>external</x:v>
      </x:c>
      <x:c r="F106" s="13" t="n">
        <x:v>4.004</x:v>
      </x:c>
      <x:c r="G106" s="13" t="n">
        <x:v>7.004</x:v>
      </x:c>
      <x:c r="H106" s="13" t="n">
        <x:v>3</x:v>
      </x:c>
      <x:c r="I106" s="13" t="n">
        <x:v>-6</x:v>
      </x:c>
      <x:c r="J106" s="12" t="str">
        <x:v>first_audio_output</x:v>
      </x:c>
      <x:c r="K106" s="12" t="str">
        <x:v>none</x:v>
      </x:c>
      <x:c r="L106" s="13" t="n">
        <x:f>IF(G106&lt;=I106,0,MAX(0,L105)+IF(E106="via",MAX(0,G106-MAX(F106,I106)),0))</x:f>
        <x:v>7.004</x:v>
      </x:c>
    </x:row>
    <x:row r="107" ht="42" customHeight="1">
      <x:c r="A107" s="7" t="str">
        <x:v>BASE</x:v>
      </x:c>
      <x:c r="B107" s="7" t="str">
        <x:v>U08</x:v>
      </x:c>
      <x:c r="C107" s="7" t="str">
        <x:v>terminal</x:v>
      </x:c>
      <x:c r="D107" s="7" t="str">
        <x:v>공통 목표 최종 상태와 전체 음성 준비</x:v>
      </x:c>
      <x:c r="E107" s="7" t="str">
        <x:v>via</x:v>
      </x:c>
      <x:c r="F107" s="14" t="n">
        <x:v>7.018</x:v>
      </x:c>
      <x:c r="G107" s="14" t="n">
        <x:v>7.018</x:v>
      </x:c>
      <x:c r="H107" s="14" t="n">
        <x:v>0</x:v>
      </x:c>
      <x:c r="I107" s="14" t="n">
        <x:v>-6</x:v>
      </x:c>
      <x:c r="J107" s="7" t="str">
        <x:v>result_display, response_audio, intent_audio, first_audio_output</x:v>
      </x:c>
      <x:c r="K107" s="7" t="str">
        <x:v>none</x:v>
      </x:c>
      <x:c r="L107" s="14" t="n">
        <x:f>IF(G107&lt;=I107,0,MAX(0,L101,L102,L103,L105)+IF(E107="via",MAX(0,G107-MAX(F107,I107)),0))</x:f>
        <x:v>10.017999999999999</x:v>
      </x:c>
    </x:row>
    <x:row r="108" ht="42" customHeight="1">
      <x:c r="A108" s="12" t="str">
        <x:v>BASE</x:v>
      </x:c>
      <x:c r="B108" s="12" t="str">
        <x:v>U09</x:v>
      </x:c>
      <x:c r="C108" s="12" t="str">
        <x:v>input_end</x:v>
      </x:c>
      <x:c r="D108" s="12" t="str">
        <x:v>사용자 입력 종료</x:v>
      </x:c>
      <x:c r="E108" s="12" t="str">
        <x:v>external</x:v>
      </x:c>
      <x:c r="F108" s="13" t="n">
        <x:v>0</x:v>
      </x:c>
      <x:c r="G108" s="13" t="n">
        <x:v>0</x:v>
      </x:c>
      <x:c r="H108" s="13" t="n">
        <x:v>0</x:v>
      </x:c>
      <x:c r="I108" s="13" t="n">
        <x:v>0</x:v>
      </x:c>
      <x:c r="J108" s="12" t="str"/>
      <x:c r="K108" s="12" t="str">
        <x:v>none</x:v>
      </x:c>
      <x:c r="L108" s="13" t="n">
        <x:f>IF(G108&lt;=I108,0,MAX(0)+IF(E108="via",MAX(0,G108-MAX(F108,I108)),0))</x:f>
        <x:v>0</x:v>
      </x:c>
    </x:row>
    <x:row r="109" ht="42" customHeight="1">
      <x:c r="A109" s="7" t="str">
        <x:v>BASE</x:v>
      </x:c>
      <x:c r="B109" s="7" t="str">
        <x:v>U09</x:v>
      </x:c>
      <x:c r="C109" s="7" t="str">
        <x:v>intake</x:v>
      </x:c>
      <x:c r="D109" s="7" t="str">
        <x:v>입력 확정</x:v>
      </x:c>
      <x:c r="E109" s="7" t="str">
        <x:v>via</x:v>
      </x:c>
      <x:c r="F109" s="14" t="n">
        <x:v>0</x:v>
      </x:c>
      <x:c r="G109" s="14" t="n">
        <x:v>0.3</x:v>
      </x:c>
      <x:c r="H109" s="14" t="n">
        <x:v>0.3</x:v>
      </x:c>
      <x:c r="I109" s="14" t="n">
        <x:v>0</x:v>
      </x:c>
      <x:c r="J109" s="7" t="str">
        <x:v>input_end</x:v>
      </x:c>
      <x:c r="K109" s="7" t="str">
        <x:v>none</x:v>
      </x:c>
      <x:c r="L109" s="14" t="n">
        <x:f>IF(G109&lt;=I109,0,MAX(0,L108)+IF(E109="via",MAX(0,G109-MAX(F109,I109)),0))</x:f>
        <x:v>0.3</x:v>
      </x:c>
    </x:row>
    <x:row r="110" ht="42" customHeight="1">
      <x:c r="A110" s="12" t="str">
        <x:v>BASE</x:v>
      </x:c>
      <x:c r="B110" s="12" t="str">
        <x:v>U09</x:v>
      </x:c>
      <x:c r="C110" s="12" t="str">
        <x:v>read</x:v>
      </x:c>
      <x:c r="D110" s="12" t="str">
        <x:v>공통 허용 원본 조회</x:v>
      </x:c>
      <x:c r="E110" s="12" t="str">
        <x:v>via</x:v>
      </x:c>
      <x:c r="F110" s="13" t="n">
        <x:v>0.3</x:v>
      </x:c>
      <x:c r="G110" s="13" t="n">
        <x:v>0.38</x:v>
      </x:c>
      <x:c r="H110" s="13" t="n">
        <x:v>0.08</x:v>
      </x:c>
      <x:c r="I110" s="13" t="n">
        <x:v>0</x:v>
      </x:c>
      <x:c r="J110" s="12" t="str">
        <x:v>intake</x:v>
      </x:c>
      <x:c r="K110" s="12" t="str">
        <x:v>none</x:v>
      </x:c>
      <x:c r="L110" s="13" t="n">
        <x:f>IF(G110&lt;=I110,0,MAX(0,L109)+IF(E110="via",MAX(0,G110-MAX(F110,I110)),0))</x:f>
        <x:v>0.38</x:v>
      </x:c>
    </x:row>
    <x:row r="111" ht="42" customHeight="1">
      <x:c r="A111" s="7" t="str">
        <x:v>BASE</x:v>
      </x:c>
      <x:c r="B111" s="7" t="str">
        <x:v>U09</x:v>
      </x:c>
      <x:c r="C111" s="7" t="str">
        <x:v>native_selection</x:v>
      </x:c>
      <x:c r="D111" s="7" t="str">
        <x:v>Native 선택 사실 조회</x:v>
      </x:c>
      <x:c r="E111" s="7" t="str">
        <x:v>via</x:v>
      </x:c>
      <x:c r="F111" s="14" t="n">
        <x:v>0.38</x:v>
      </x:c>
      <x:c r="G111" s="14" t="n">
        <x:v>0.46</x:v>
      </x:c>
      <x:c r="H111" s="14" t="n">
        <x:v>0.08</x:v>
      </x:c>
      <x:c r="I111" s="14" t="n">
        <x:v>0</x:v>
      </x:c>
      <x:c r="J111" s="7" t="str">
        <x:v>read</x:v>
      </x:c>
      <x:c r="K111" s="7" t="str">
        <x:v>none</x:v>
      </x:c>
      <x:c r="L111" s="14" t="n">
        <x:f>IF(G111&lt;=I111,0,MAX(0,L110)+IF(E111="via",MAX(0,G111-MAX(F111,I111)),0))</x:f>
        <x:v>0.46</x:v>
      </x:c>
    </x:row>
    <x:row r="112" ht="42" customHeight="1">
      <x:c r="A112" s="12" t="str">
        <x:v>BASE</x:v>
      </x:c>
      <x:c r="B112" s="12" t="str">
        <x:v>U09</x:v>
      </x:c>
      <x:c r="C112" s="12" t="str">
        <x:v>meaning</x:v>
      </x:c>
      <x:c r="D112" s="12" t="str">
        <x:v>최초 요청 의미 채택 packet 생성</x:v>
      </x:c>
      <x:c r="E112" s="12" t="str">
        <x:v>via</x:v>
      </x:c>
      <x:c r="F112" s="13" t="n">
        <x:v>0.46</x:v>
      </x:c>
      <x:c r="G112" s="13" t="n">
        <x:v>1.56</x:v>
      </x:c>
      <x:c r="H112" s="13" t="n">
        <x:v>1.1</x:v>
      </x:c>
      <x:c r="I112" s="13" t="n">
        <x:v>0</x:v>
      </x:c>
      <x:c r="J112" s="12" t="str">
        <x:v>native_selection</x:v>
      </x:c>
      <x:c r="K112" s="12" t="str">
        <x:v>semantic</x:v>
      </x:c>
      <x:c r="L112" s="13" t="n">
        <x:f>IF(G112&lt;=I112,0,MAX(0,L111)+IF(E112="via",MAX(0,G112-MAX(F112,I112)),0))</x:f>
        <x:v>1.56</x:v>
      </x:c>
    </x:row>
    <x:row r="113" ht="42" customHeight="1">
      <x:c r="A113" s="7" t="str">
        <x:v>BASE</x:v>
      </x:c>
      <x:c r="B113" s="7" t="str">
        <x:v>U09</x:v>
      </x:c>
      <x:c r="C113" s="7" t="str">
        <x:v>adopt</x:v>
      </x:c>
      <x:c r="D113" s="7" t="str">
        <x:v>현재 revision과 권한 검사 및 채택</x:v>
      </x:c>
      <x:c r="E113" s="7" t="str">
        <x:v>via</x:v>
      </x:c>
      <x:c r="F113" s="14" t="n">
        <x:v>1.56</x:v>
      </x:c>
      <x:c r="G113" s="14" t="n">
        <x:v>1.59</x:v>
      </x:c>
      <x:c r="H113" s="14" t="n">
        <x:v>0.03</x:v>
      </x:c>
      <x:c r="I113" s="14" t="n">
        <x:v>0</x:v>
      </x:c>
      <x:c r="J113" s="7" t="str">
        <x:v>meaning</x:v>
      </x:c>
      <x:c r="K113" s="7" t="str">
        <x:v>none</x:v>
      </x:c>
      <x:c r="L113" s="14" t="n">
        <x:f>IF(G113&lt;=I113,0,MAX(0,L112)+IF(E113="via",MAX(0,G113-MAX(F113,I113)),0))</x:f>
        <x:v>1.59</x:v>
      </x:c>
    </x:row>
    <x:row r="114" ht="42" customHeight="1">
      <x:c r="A114" s="12" t="str">
        <x:v>BASE</x:v>
      </x:c>
      <x:c r="B114" s="12" t="str">
        <x:v>U09</x:v>
      </x:c>
      <x:c r="C114" s="12" t="str">
        <x:v>first_display</x:v>
      </x:c>
      <x:c r="D114" s="12" t="str">
        <x:v>첫 구체적 채택 내용 화면 표시</x:v>
      </x:c>
      <x:c r="E114" s="12" t="str">
        <x:v>via</x:v>
      </x:c>
      <x:c r="F114" s="13" t="n">
        <x:v>1.59</x:v>
      </x:c>
      <x:c r="G114" s="13" t="n">
        <x:v>1.6300000000000001</x:v>
      </x:c>
      <x:c r="H114" s="13" t="n">
        <x:v>0.04</x:v>
      </x:c>
      <x:c r="I114" s="13" t="n">
        <x:v>0</x:v>
      </x:c>
      <x:c r="J114" s="12" t="str">
        <x:v>adopt</x:v>
      </x:c>
      <x:c r="K114" s="12" t="str">
        <x:v>none</x:v>
      </x:c>
      <x:c r="L114" s="13" t="n">
        <x:f>IF(G114&lt;=I114,0,MAX(0,L113)+IF(E114="via",MAX(0,G114-MAX(F114,I114)),0))</x:f>
        <x:v>1.6300000000000001</x:v>
      </x:c>
    </x:row>
    <x:row r="115" ht="42" customHeight="1">
      <x:c r="A115" s="7" t="str">
        <x:v>BASE</x:v>
      </x:c>
      <x:c r="B115" s="7" t="str">
        <x:v>U09</x:v>
      </x:c>
      <x:c r="C115" s="7" t="str">
        <x:v>agent_ingress</x:v>
      </x:c>
      <x:c r="D115" s="7" t="str">
        <x:v>Agent 요청 전송</x:v>
      </x:c>
      <x:c r="E115" s="7" t="str">
        <x:v>via</x:v>
      </x:c>
      <x:c r="F115" s="14" t="n">
        <x:v>1.59</x:v>
      </x:c>
      <x:c r="G115" s="14" t="n">
        <x:v>1.6300000000000001</x:v>
      </x:c>
      <x:c r="H115" s="14" t="n">
        <x:v>0.04</x:v>
      </x:c>
      <x:c r="I115" s="14" t="n">
        <x:v>0</x:v>
      </x:c>
      <x:c r="J115" s="7" t="str">
        <x:v>adopt</x:v>
      </x:c>
      <x:c r="K115" s="7" t="str">
        <x:v>none</x:v>
      </x:c>
      <x:c r="L115" s="14" t="n">
        <x:f>IF(G115&lt;=I115,0,MAX(0,L113)+IF(E115="via",MAX(0,G115-MAX(F115,I115)),0))</x:f>
        <x:v>1.6300000000000001</x:v>
      </x:c>
    </x:row>
    <x:row r="116" ht="42" customHeight="1">
      <x:c r="A116" s="12" t="str">
        <x:v>BASE</x:v>
      </x:c>
      <x:c r="B116" s="12" t="str">
        <x:v>U09</x:v>
      </x:c>
      <x:c r="C116" s="12" t="str">
        <x:v>agent_result</x:v>
      </x:c>
      <x:c r="D116" s="12" t="str">
        <x:v>외부 Agent 업무</x:v>
      </x:c>
      <x:c r="E116" s="12" t="str">
        <x:v>external</x:v>
      </x:c>
      <x:c r="F116" s="13" t="n">
        <x:v>1.6300000000000001</x:v>
      </x:c>
      <x:c r="G116" s="13" t="n">
        <x:v>9.63</x:v>
      </x:c>
      <x:c r="H116" s="13" t="n">
        <x:v>8</x:v>
      </x:c>
      <x:c r="I116" s="13" t="n">
        <x:v>0</x:v>
      </x:c>
      <x:c r="J116" s="12" t="str">
        <x:v>agent_ingress</x:v>
      </x:c>
      <x:c r="K116" s="12" t="str">
        <x:v>none</x:v>
      </x:c>
      <x:c r="L116" s="13" t="n">
        <x:f>IF(G116&lt;=I116,0,MAX(0,L115)+IF(E116="via",MAX(0,G116-MAX(F116,I116)),0))</x:f>
        <x:v>1.6300000000000001</x:v>
      </x:c>
    </x:row>
    <x:row r="117" ht="42" customHeight="1">
      <x:c r="A117" s="7" t="str">
        <x:v>BASE</x:v>
      </x:c>
      <x:c r="B117" s="7" t="str">
        <x:v>U09</x:v>
      </x:c>
      <x:c r="C117" s="7" t="str">
        <x:v>result_display</x:v>
      </x:c>
      <x:c r="D117" s="7" t="str">
        <x:v>최종 결과 상세 표시</x:v>
      </x:c>
      <x:c r="E117" s="7" t="str">
        <x:v>via</x:v>
      </x:c>
      <x:c r="F117" s="14" t="n">
        <x:v>9.63</x:v>
      </x:c>
      <x:c r="G117" s="14" t="n">
        <x:v>9.67</x:v>
      </x:c>
      <x:c r="H117" s="14" t="n">
        <x:v>0.04</x:v>
      </x:c>
      <x:c r="I117" s="14" t="n">
        <x:v>0</x:v>
      </x:c>
      <x:c r="J117" s="7" t="str">
        <x:v>agent_result</x:v>
      </x:c>
      <x:c r="K117" s="7" t="str">
        <x:v>none</x:v>
      </x:c>
      <x:c r="L117" s="14" t="n">
        <x:f>IF(G117&lt;=I117,0,MAX(0,L116)+IF(E117="via",MAX(0,G117-MAX(F117,I117)),0))</x:f>
        <x:v>1.6699999999999993</x:v>
      </x:c>
    </x:row>
    <x:row r="118" ht="42" customHeight="1">
      <x:c r="A118" s="12" t="str">
        <x:v>BASE</x:v>
      </x:c>
      <x:c r="B118" s="12" t="str">
        <x:v>U09</x:v>
      </x:c>
      <x:c r="C118" s="12" t="str">
        <x:v>response_audio</x:v>
      </x:c>
      <x:c r="D118" s="12" t="str">
        <x:v>선택한 응답 음성 생성</x:v>
      </x:c>
      <x:c r="E118" s="12" t="str">
        <x:v>via</x:v>
      </x:c>
      <x:c r="F118" s="13" t="n">
        <x:v>9.63</x:v>
      </x:c>
      <x:c r="G118" s="13" t="n">
        <x:v>11.518</x:v>
      </x:c>
      <x:c r="H118" s="13" t="n">
        <x:v>1.888</x:v>
      </x:c>
      <x:c r="I118" s="13" t="n">
        <x:v>0</x:v>
      </x:c>
      <x:c r="J118" s="12" t="str">
        <x:v>agent_result</x:v>
      </x:c>
      <x:c r="K118" s="12" t="str">
        <x:v>speech</x:v>
      </x:c>
      <x:c r="L118" s="13" t="n">
        <x:f>IF(G118&lt;=I118,0,MAX(0,L116)+IF(E118="via",MAX(0,G118-MAX(F118,I118)),0))</x:f>
        <x:v>3.518</x:v>
      </x:c>
    </x:row>
    <x:row r="119" ht="42" customHeight="1">
      <x:c r="A119" s="7" t="str">
        <x:v>BASE</x:v>
      </x:c>
      <x:c r="B119" s="7" t="str">
        <x:v>U09</x:v>
      </x:c>
      <x:c r="C119" s="7" t="str">
        <x:v>intent_audio</x:v>
      </x:c>
      <x:c r="D119" s="7" t="str">
        <x:v>채택한 구체적 수행 의도의 짧은 음성</x:v>
      </x:c>
      <x:c r="E119" s="7" t="str">
        <x:v>via</x:v>
      </x:c>
      <x:c r="F119" s="14" t="n">
        <x:v>1.59</x:v>
      </x:c>
      <x:c r="G119" s="14" t="n">
        <x:v>2.724</x:v>
      </x:c>
      <x:c r="H119" s="14" t="n">
        <x:v>1.134</x:v>
      </x:c>
      <x:c r="I119" s="14" t="n">
        <x:v>0</x:v>
      </x:c>
      <x:c r="J119" s="7" t="str">
        <x:v>adopt</x:v>
      </x:c>
      <x:c r="K119" s="7" t="str">
        <x:v>speech</x:v>
      </x:c>
      <x:c r="L119" s="14" t="n">
        <x:f>IF(G119&lt;=I119,0,MAX(0,L113)+IF(E119="via",MAX(0,G119-MAX(F119,I119)),0))</x:f>
        <x:v>2.724</x:v>
      </x:c>
    </x:row>
    <x:row r="120" ht="42" customHeight="1">
      <x:c r="A120" s="12" t="str">
        <x:v>BASE</x:v>
      </x:c>
      <x:c r="B120" s="12" t="str">
        <x:v>U09</x:v>
      </x:c>
      <x:c r="C120" s="12" t="str">
        <x:v>first_chunk</x:v>
      </x:c>
      <x:c r="D120" s="12" t="str">
        <x:v>같은 생성 job의 유효 첫 chunk 관측</x:v>
      </x:c>
      <x:c r="E120" s="12" t="str">
        <x:v>via</x:v>
      </x:c>
      <x:c r="F120" s="13" t="n">
        <x:v>1.59</x:v>
      </x:c>
      <x:c r="G120" s="13" t="n">
        <x:v>2.024</x:v>
      </x:c>
      <x:c r="H120" s="13" t="n">
        <x:v>0.434</x:v>
      </x:c>
      <x:c r="I120" s="13" t="n">
        <x:v>0</x:v>
      </x:c>
      <x:c r="J120" s="12" t="str">
        <x:v>adopt</x:v>
      </x:c>
      <x:c r="K120" s="12" t="str">
        <x:v>none</x:v>
      </x:c>
      <x:c r="L120" s="13" t="n">
        <x:f>IF(G120&lt;=I120,0,MAX(0,L113)+IF(E120="via",MAX(0,G120-MAX(F120,I120)),0))</x:f>
        <x:v>2.024</x:v>
      </x:c>
    </x:row>
    <x:row r="121" ht="42" customHeight="1">
      <x:c r="A121" s="7" t="str">
        <x:v>BASE</x:v>
      </x:c>
      <x:c r="B121" s="7" t="str">
        <x:v>U09</x:v>
      </x:c>
      <x:c r="C121" s="7" t="str">
        <x:v>first_audio_output</x:v>
      </x:c>
      <x:c r="D121" s="7" t="str">
        <x:v>공통 장치의 첫 음성 출력</x:v>
      </x:c>
      <x:c r="E121" s="7" t="str">
        <x:v>via</x:v>
      </x:c>
      <x:c r="F121" s="14" t="n">
        <x:v>2.024</x:v>
      </x:c>
      <x:c r="G121" s="14" t="n">
        <x:v>2.064</x:v>
      </x:c>
      <x:c r="H121" s="14" t="n">
        <x:v>0.04</x:v>
      </x:c>
      <x:c r="I121" s="14" t="n">
        <x:v>0</x:v>
      </x:c>
      <x:c r="J121" s="7" t="str">
        <x:v>adopt, first_chunk</x:v>
      </x:c>
      <x:c r="K121" s="7" t="str">
        <x:v>none</x:v>
      </x:c>
      <x:c r="L121" s="14" t="n">
        <x:f>IF(G121&lt;=I121,0,MAX(0,L113,L120)+IF(E121="via",MAX(0,G121-MAX(F121,I121)),0))</x:f>
        <x:v>2.064</x:v>
      </x:c>
    </x:row>
    <x:row r="122" ht="42" customHeight="1">
      <x:c r="A122" s="12" t="str">
        <x:v>BASE</x:v>
      </x:c>
      <x:c r="B122" s="12" t="str">
        <x:v>U09</x:v>
      </x:c>
      <x:c r="C122" s="12" t="str">
        <x:v>next_speech_selection</x:v>
      </x:c>
      <x:c r="D122" s="12" t="str">
        <x:v>현재 발화 재생 후 다음 응답 선택</x:v>
      </x:c>
      <x:c r="E122" s="12" t="str">
        <x:v>external</x:v>
      </x:c>
      <x:c r="F122" s="13" t="n">
        <x:v>2.064</x:v>
      </x:c>
      <x:c r="G122" s="13" t="n">
        <x:v>5.064</x:v>
      </x:c>
      <x:c r="H122" s="13" t="n">
        <x:v>3</x:v>
      </x:c>
      <x:c r="I122" s="13" t="n">
        <x:v>0</x:v>
      </x:c>
      <x:c r="J122" s="12" t="str">
        <x:v>first_audio_output</x:v>
      </x:c>
      <x:c r="K122" s="12" t="str">
        <x:v>none</x:v>
      </x:c>
      <x:c r="L122" s="13" t="n">
        <x:f>IF(G122&lt;=I122,0,MAX(0,L121)+IF(E122="via",MAX(0,G122-MAX(F122,I122)),0))</x:f>
        <x:v>2.064</x:v>
      </x:c>
    </x:row>
    <x:row r="123" ht="42" customHeight="1">
      <x:c r="A123" s="7" t="str">
        <x:v>BASE</x:v>
      </x:c>
      <x:c r="B123" s="7" t="str">
        <x:v>U09</x:v>
      </x:c>
      <x:c r="C123" s="7" t="str">
        <x:v>terminal</x:v>
      </x:c>
      <x:c r="D123" s="7" t="str">
        <x:v>공통 목표 최종 상태와 전체 음성 준비</x:v>
      </x:c>
      <x:c r="E123" s="7" t="str">
        <x:v>via</x:v>
      </x:c>
      <x:c r="F123" s="14" t="n">
        <x:v>11.518</x:v>
      </x:c>
      <x:c r="G123" s="14" t="n">
        <x:v>11.518</x:v>
      </x:c>
      <x:c r="H123" s="14" t="n">
        <x:v>0</x:v>
      </x:c>
      <x:c r="I123" s="14" t="n">
        <x:v>0</x:v>
      </x:c>
      <x:c r="J123" s="7" t="str">
        <x:v>result_display, response_audio, intent_audio, first_audio_output</x:v>
      </x:c>
      <x:c r="K123" s="7" t="str">
        <x:v>none</x:v>
      </x:c>
      <x:c r="L123" s="14" t="n">
        <x:f>IF(G123&lt;=I123,0,MAX(0,L117,L118,L119,L121)+IF(E123="via",MAX(0,G123-MAX(F123,I123)),0))</x:f>
        <x:v>3.518</x:v>
      </x:c>
    </x:row>
    <x:row r="124" ht="42" customHeight="1">
      <x:c r="A124" s="12" t="str">
        <x:v>BASE</x:v>
      </x:c>
      <x:c r="B124" s="12" t="str">
        <x:v>U10</x:v>
      </x:c>
      <x:c r="C124" s="12" t="str">
        <x:v>input_end</x:v>
      </x:c>
      <x:c r="D124" s="12" t="str">
        <x:v>사용자 입력 종료</x:v>
      </x:c>
      <x:c r="E124" s="12" t="str">
        <x:v>external</x:v>
      </x:c>
      <x:c r="F124" s="13" t="n">
        <x:v>0</x:v>
      </x:c>
      <x:c r="G124" s="13" t="n">
        <x:v>0</x:v>
      </x:c>
      <x:c r="H124" s="13" t="n">
        <x:v>0</x:v>
      </x:c>
      <x:c r="I124" s="13" t="n">
        <x:v>0</x:v>
      </x:c>
      <x:c r="J124" s="12" t="str"/>
      <x:c r="K124" s="12" t="str">
        <x:v>none</x:v>
      </x:c>
      <x:c r="L124" s="13" t="n">
        <x:f>IF(G124&lt;=I124,0,MAX(0)+IF(E124="via",MAX(0,G124-MAX(F124,I124)),0))</x:f>
        <x:v>0</x:v>
      </x:c>
    </x:row>
    <x:row r="125" ht="42" customHeight="1">
      <x:c r="A125" s="7" t="str">
        <x:v>BASE</x:v>
      </x:c>
      <x:c r="B125" s="7" t="str">
        <x:v>U10</x:v>
      </x:c>
      <x:c r="C125" s="7" t="str">
        <x:v>intake</x:v>
      </x:c>
      <x:c r="D125" s="7" t="str">
        <x:v>입력 확정</x:v>
      </x:c>
      <x:c r="E125" s="7" t="str">
        <x:v>via</x:v>
      </x:c>
      <x:c r="F125" s="14" t="n">
        <x:v>0</x:v>
      </x:c>
      <x:c r="G125" s="14" t="n">
        <x:v>0.3</x:v>
      </x:c>
      <x:c r="H125" s="14" t="n">
        <x:v>0.3</x:v>
      </x:c>
      <x:c r="I125" s="14" t="n">
        <x:v>0</x:v>
      </x:c>
      <x:c r="J125" s="7" t="str">
        <x:v>input_end</x:v>
      </x:c>
      <x:c r="K125" s="7" t="str">
        <x:v>none</x:v>
      </x:c>
      <x:c r="L125" s="14" t="n">
        <x:f>IF(G125&lt;=I125,0,MAX(0,L124)+IF(E125="via",MAX(0,G125-MAX(F125,I125)),0))</x:f>
        <x:v>0.3</x:v>
      </x:c>
    </x:row>
    <x:row r="126" ht="42" customHeight="1">
      <x:c r="A126" s="12" t="str">
        <x:v>BASE</x:v>
      </x:c>
      <x:c r="B126" s="12" t="str">
        <x:v>U10</x:v>
      </x:c>
      <x:c r="C126" s="12" t="str">
        <x:v>read</x:v>
      </x:c>
      <x:c r="D126" s="12" t="str">
        <x:v>공통 허용 원본 조회</x:v>
      </x:c>
      <x:c r="E126" s="12" t="str">
        <x:v>via</x:v>
      </x:c>
      <x:c r="F126" s="13" t="n">
        <x:v>0.3</x:v>
      </x:c>
      <x:c r="G126" s="13" t="n">
        <x:v>0.38</x:v>
      </x:c>
      <x:c r="H126" s="13" t="n">
        <x:v>0.08</x:v>
      </x:c>
      <x:c r="I126" s="13" t="n">
        <x:v>0</x:v>
      </x:c>
      <x:c r="J126" s="12" t="str">
        <x:v>intake</x:v>
      </x:c>
      <x:c r="K126" s="12" t="str">
        <x:v>none</x:v>
      </x:c>
      <x:c r="L126" s="13" t="n">
        <x:f>IF(G126&lt;=I126,0,MAX(0,L125)+IF(E126="via",MAX(0,G126-MAX(F126,I126)),0))</x:f>
        <x:v>0.38</x:v>
      </x:c>
    </x:row>
    <x:row r="127" ht="42" customHeight="1">
      <x:c r="A127" s="7" t="str">
        <x:v>BASE</x:v>
      </x:c>
      <x:c r="B127" s="7" t="str">
        <x:v>U10</x:v>
      </x:c>
      <x:c r="C127" s="7" t="str">
        <x:v>meaning</x:v>
      </x:c>
      <x:c r="D127" s="7" t="str">
        <x:v>최초 요청 의미 채택 packet 생성</x:v>
      </x:c>
      <x:c r="E127" s="7" t="str">
        <x:v>via</x:v>
      </x:c>
      <x:c r="F127" s="14" t="n">
        <x:v>0.38</x:v>
      </x:c>
      <x:c r="G127" s="14" t="n">
        <x:v>1.7800000000000002</x:v>
      </x:c>
      <x:c r="H127" s="14" t="n">
        <x:v>1.4000000000000001</x:v>
      </x:c>
      <x:c r="I127" s="14" t="n">
        <x:v>0</x:v>
      </x:c>
      <x:c r="J127" s="7" t="str">
        <x:v>read</x:v>
      </x:c>
      <x:c r="K127" s="7" t="str">
        <x:v>semantic</x:v>
      </x:c>
      <x:c r="L127" s="14" t="n">
        <x:f>IF(G127&lt;=I127,0,MAX(0,L126)+IF(E127="via",MAX(0,G127-MAX(F127,I127)),0))</x:f>
        <x:v>1.7800000000000002</x:v>
      </x:c>
    </x:row>
    <x:row r="128" ht="42" customHeight="1">
      <x:c r="A128" s="12" t="str">
        <x:v>BASE</x:v>
      </x:c>
      <x:c r="B128" s="12" t="str">
        <x:v>U10</x:v>
      </x:c>
      <x:c r="C128" s="12" t="str">
        <x:v>adopt</x:v>
      </x:c>
      <x:c r="D128" s="12" t="str">
        <x:v>현재 revision과 권한 검사 및 채택</x:v>
      </x:c>
      <x:c r="E128" s="12" t="str">
        <x:v>via</x:v>
      </x:c>
      <x:c r="F128" s="13" t="n">
        <x:v>1.7800000000000002</x:v>
      </x:c>
      <x:c r="G128" s="13" t="n">
        <x:v>1.8100000000000003</x:v>
      </x:c>
      <x:c r="H128" s="13" t="n">
        <x:v>0.03</x:v>
      </x:c>
      <x:c r="I128" s="13" t="n">
        <x:v>0</x:v>
      </x:c>
      <x:c r="J128" s="12" t="str">
        <x:v>meaning</x:v>
      </x:c>
      <x:c r="K128" s="12" t="str">
        <x:v>none</x:v>
      </x:c>
      <x:c r="L128" s="13" t="n">
        <x:f>IF(G128&lt;=I128,0,MAX(0,L127)+IF(E128="via",MAX(0,G128-MAX(F128,I128)),0))</x:f>
        <x:v>1.8100000000000003</x:v>
      </x:c>
    </x:row>
    <x:row r="129" ht="42" customHeight="1">
      <x:c r="A129" s="7" t="str">
        <x:v>BASE</x:v>
      </x:c>
      <x:c r="B129" s="7" t="str">
        <x:v>U10</x:v>
      </x:c>
      <x:c r="C129" s="7" t="str">
        <x:v>first_display</x:v>
      </x:c>
      <x:c r="D129" s="7" t="str">
        <x:v>첫 구체적 채택 내용 화면 표시</x:v>
      </x:c>
      <x:c r="E129" s="7" t="str">
        <x:v>via</x:v>
      </x:c>
      <x:c r="F129" s="14" t="n">
        <x:v>1.8100000000000003</x:v>
      </x:c>
      <x:c r="G129" s="14" t="n">
        <x:v>1.8500000000000003</x:v>
      </x:c>
      <x:c r="H129" s="14" t="n">
        <x:v>0.04</x:v>
      </x:c>
      <x:c r="I129" s="14" t="n">
        <x:v>0</x:v>
      </x:c>
      <x:c r="J129" s="7" t="str">
        <x:v>adopt</x:v>
      </x:c>
      <x:c r="K129" s="7" t="str">
        <x:v>none</x:v>
      </x:c>
      <x:c r="L129" s="14" t="n">
        <x:f>IF(G129&lt;=I129,0,MAX(0,L128)+IF(E129="via",MAX(0,G129-MAX(F129,I129)),0))</x:f>
        <x:v>1.8500000000000003</x:v>
      </x:c>
    </x:row>
    <x:row r="130" ht="42" customHeight="1">
      <x:c r="A130" s="12" t="str">
        <x:v>BASE</x:v>
      </x:c>
      <x:c r="B130" s="12" t="str">
        <x:v>U10</x:v>
      </x:c>
      <x:c r="C130" s="12" t="str">
        <x:v>agent_ingress</x:v>
      </x:c>
      <x:c r="D130" s="12" t="str">
        <x:v>Agent 요청 전송</x:v>
      </x:c>
      <x:c r="E130" s="12" t="str">
        <x:v>via</x:v>
      </x:c>
      <x:c r="F130" s="13" t="n">
        <x:v>1.8100000000000003</x:v>
      </x:c>
      <x:c r="G130" s="13" t="n">
        <x:v>1.8500000000000003</x:v>
      </x:c>
      <x:c r="H130" s="13" t="n">
        <x:v>0.04</x:v>
      </x:c>
      <x:c r="I130" s="13" t="n">
        <x:v>0</x:v>
      </x:c>
      <x:c r="J130" s="12" t="str">
        <x:v>adopt</x:v>
      </x:c>
      <x:c r="K130" s="12" t="str">
        <x:v>none</x:v>
      </x:c>
      <x:c r="L130" s="13" t="n">
        <x:f>IF(G130&lt;=I130,0,MAX(0,L128)+IF(E130="via",MAX(0,G130-MAX(F130,I130)),0))</x:f>
        <x:v>1.8500000000000003</x:v>
      </x:c>
    </x:row>
    <x:row r="131" ht="42" customHeight="1">
      <x:c r="A131" s="7" t="str">
        <x:v>BASE</x:v>
      </x:c>
      <x:c r="B131" s="7" t="str">
        <x:v>U10</x:v>
      </x:c>
      <x:c r="C131" s="7" t="str">
        <x:v>agent_result</x:v>
      </x:c>
      <x:c r="D131" s="7" t="str">
        <x:v>외부 Agent 업무</x:v>
      </x:c>
      <x:c r="E131" s="7" t="str">
        <x:v>external</x:v>
      </x:c>
      <x:c r="F131" s="14" t="n">
        <x:v>1.8500000000000003</x:v>
      </x:c>
      <x:c r="G131" s="14" t="n">
        <x:v>9.85</x:v>
      </x:c>
      <x:c r="H131" s="14" t="n">
        <x:v>8</x:v>
      </x:c>
      <x:c r="I131" s="14" t="n">
        <x:v>0</x:v>
      </x:c>
      <x:c r="J131" s="7" t="str">
        <x:v>agent_ingress</x:v>
      </x:c>
      <x:c r="K131" s="7" t="str">
        <x:v>none</x:v>
      </x:c>
      <x:c r="L131" s="14" t="n">
        <x:f>IF(G131&lt;=I131,0,MAX(0,L130)+IF(E131="via",MAX(0,G131-MAX(F131,I131)),0))</x:f>
        <x:v>1.8500000000000003</x:v>
      </x:c>
    </x:row>
    <x:row r="132" ht="42" customHeight="1">
      <x:c r="A132" s="12" t="str">
        <x:v>BASE</x:v>
      </x:c>
      <x:c r="B132" s="12" t="str">
        <x:v>U10</x:v>
      </x:c>
      <x:c r="C132" s="12" t="str">
        <x:v>result_display</x:v>
      </x:c>
      <x:c r="D132" s="12" t="str">
        <x:v>최종 결과 상세 표시</x:v>
      </x:c>
      <x:c r="E132" s="12" t="str">
        <x:v>via</x:v>
      </x:c>
      <x:c r="F132" s="13" t="n">
        <x:v>9.85</x:v>
      </x:c>
      <x:c r="G132" s="13" t="n">
        <x:v>9.889999999999999</x:v>
      </x:c>
      <x:c r="H132" s="13" t="n">
        <x:v>0.04</x:v>
      </x:c>
      <x:c r="I132" s="13" t="n">
        <x:v>0</x:v>
      </x:c>
      <x:c r="J132" s="12" t="str">
        <x:v>agent_result</x:v>
      </x:c>
      <x:c r="K132" s="12" t="str">
        <x:v>none</x:v>
      </x:c>
      <x:c r="L132" s="13" t="n">
        <x:f>IF(G132&lt;=I132,0,MAX(0,L131)+IF(E132="via",MAX(0,G132-MAX(F132,I132)),0))</x:f>
        <x:v>1.8899999999999995</x:v>
      </x:c>
    </x:row>
    <x:row r="133" ht="42" customHeight="1">
      <x:c r="A133" s="7" t="str">
        <x:v>BASE</x:v>
      </x:c>
      <x:c r="B133" s="7" t="str">
        <x:v>U10</x:v>
      </x:c>
      <x:c r="C133" s="7" t="str">
        <x:v>response_audio</x:v>
      </x:c>
      <x:c r="D133" s="7" t="str">
        <x:v>선택한 응답 음성 생성</x:v>
      </x:c>
      <x:c r="E133" s="7" t="str">
        <x:v>via</x:v>
      </x:c>
      <x:c r="F133" s="14" t="n">
        <x:v>9.85</x:v>
      </x:c>
      <x:c r="G133" s="14" t="n">
        <x:v>11.738</x:v>
      </x:c>
      <x:c r="H133" s="14" t="n">
        <x:v>1.888</x:v>
      </x:c>
      <x:c r="I133" s="14" t="n">
        <x:v>0</x:v>
      </x:c>
      <x:c r="J133" s="7" t="str">
        <x:v>agent_result</x:v>
      </x:c>
      <x:c r="K133" s="7" t="str">
        <x:v>speech</x:v>
      </x:c>
      <x:c r="L133" s="14" t="n">
        <x:f>IF(G133&lt;=I133,0,MAX(0,L131)+IF(E133="via",MAX(0,G133-MAX(F133,I133)),0))</x:f>
        <x:v>3.7380000000000004</x:v>
      </x:c>
    </x:row>
    <x:row r="134" ht="42" customHeight="1">
      <x:c r="A134" s="12" t="str">
        <x:v>BASE</x:v>
      </x:c>
      <x:c r="B134" s="12" t="str">
        <x:v>U10</x:v>
      </x:c>
      <x:c r="C134" s="12" t="str">
        <x:v>intent_audio</x:v>
      </x:c>
      <x:c r="D134" s="12" t="str">
        <x:v>채택한 구체적 수행 의도의 짧은 음성</x:v>
      </x:c>
      <x:c r="E134" s="12" t="str">
        <x:v>via</x:v>
      </x:c>
      <x:c r="F134" s="13" t="n">
        <x:v>1.8100000000000003</x:v>
      </x:c>
      <x:c r="G134" s="13" t="n">
        <x:v>2.944</x:v>
      </x:c>
      <x:c r="H134" s="13" t="n">
        <x:v>1.134</x:v>
      </x:c>
      <x:c r="I134" s="13" t="n">
        <x:v>0</x:v>
      </x:c>
      <x:c r="J134" s="12" t="str">
        <x:v>adopt</x:v>
      </x:c>
      <x:c r="K134" s="12" t="str">
        <x:v>speech</x:v>
      </x:c>
      <x:c r="L134" s="13" t="n">
        <x:f>IF(G134&lt;=I134,0,MAX(0,L128)+IF(E134="via",MAX(0,G134-MAX(F134,I134)),0))</x:f>
        <x:v>2.944</x:v>
      </x:c>
    </x:row>
    <x:row r="135" ht="42" customHeight="1">
      <x:c r="A135" s="7" t="str">
        <x:v>BASE</x:v>
      </x:c>
      <x:c r="B135" s="7" t="str">
        <x:v>U10</x:v>
      </x:c>
      <x:c r="C135" s="7" t="str">
        <x:v>first_chunk</x:v>
      </x:c>
      <x:c r="D135" s="7" t="str">
        <x:v>같은 생성 job의 유효 첫 chunk 관측</x:v>
      </x:c>
      <x:c r="E135" s="7" t="str">
        <x:v>via</x:v>
      </x:c>
      <x:c r="F135" s="14" t="n">
        <x:v>1.8100000000000003</x:v>
      </x:c>
      <x:c r="G135" s="14" t="n">
        <x:v>2.244</x:v>
      </x:c>
      <x:c r="H135" s="14" t="n">
        <x:v>0.434</x:v>
      </x:c>
      <x:c r="I135" s="14" t="n">
        <x:v>0</x:v>
      </x:c>
      <x:c r="J135" s="7" t="str">
        <x:v>adopt</x:v>
      </x:c>
      <x:c r="K135" s="7" t="str">
        <x:v>none</x:v>
      </x:c>
      <x:c r="L135" s="14" t="n">
        <x:f>IF(G135&lt;=I135,0,MAX(0,L128)+IF(E135="via",MAX(0,G135-MAX(F135,I135)),0))</x:f>
        <x:v>2.244</x:v>
      </x:c>
    </x:row>
    <x:row r="136" ht="42" customHeight="1">
      <x:c r="A136" s="12" t="str">
        <x:v>BASE</x:v>
      </x:c>
      <x:c r="B136" s="12" t="str">
        <x:v>U10</x:v>
      </x:c>
      <x:c r="C136" s="12" t="str">
        <x:v>first_audio_output</x:v>
      </x:c>
      <x:c r="D136" s="12" t="str">
        <x:v>공통 장치의 첫 음성 출력</x:v>
      </x:c>
      <x:c r="E136" s="12" t="str">
        <x:v>via</x:v>
      </x:c>
      <x:c r="F136" s="13" t="n">
        <x:v>2.244</x:v>
      </x:c>
      <x:c r="G136" s="13" t="n">
        <x:v>2.2840000000000003</x:v>
      </x:c>
      <x:c r="H136" s="13" t="n">
        <x:v>0.04</x:v>
      </x:c>
      <x:c r="I136" s="13" t="n">
        <x:v>0</x:v>
      </x:c>
      <x:c r="J136" s="12" t="str">
        <x:v>adopt, first_chunk</x:v>
      </x:c>
      <x:c r="K136" s="12" t="str">
        <x:v>none</x:v>
      </x:c>
      <x:c r="L136" s="13" t="n">
        <x:f>IF(G136&lt;=I136,0,MAX(0,L128,L135)+IF(E136="via",MAX(0,G136-MAX(F136,I136)),0))</x:f>
        <x:v>2.2840000000000003</x:v>
      </x:c>
    </x:row>
    <x:row r="137" ht="42" customHeight="1">
      <x:c r="A137" s="7" t="str">
        <x:v>BASE</x:v>
      </x:c>
      <x:c r="B137" s="7" t="str">
        <x:v>U10</x:v>
      </x:c>
      <x:c r="C137" s="7" t="str">
        <x:v>next_speech_selection</x:v>
      </x:c>
      <x:c r="D137" s="7" t="str">
        <x:v>현재 발화 재생 후 다음 응답 선택</x:v>
      </x:c>
      <x:c r="E137" s="7" t="str">
        <x:v>external</x:v>
      </x:c>
      <x:c r="F137" s="14" t="n">
        <x:v>2.2840000000000003</x:v>
      </x:c>
      <x:c r="G137" s="14" t="n">
        <x:v>5.284000000000001</x:v>
      </x:c>
      <x:c r="H137" s="14" t="n">
        <x:v>3</x:v>
      </x:c>
      <x:c r="I137" s="14" t="n">
        <x:v>0</x:v>
      </x:c>
      <x:c r="J137" s="7" t="str">
        <x:v>first_audio_output</x:v>
      </x:c>
      <x:c r="K137" s="7" t="str">
        <x:v>none</x:v>
      </x:c>
      <x:c r="L137" s="14" t="n">
        <x:f>IF(G137&lt;=I137,0,MAX(0,L136)+IF(E137="via",MAX(0,G137-MAX(F137,I137)),0))</x:f>
        <x:v>2.2840000000000003</x:v>
      </x:c>
    </x:row>
    <x:row r="138" ht="42" customHeight="1">
      <x:c r="A138" s="12" t="str">
        <x:v>BASE</x:v>
      </x:c>
      <x:c r="B138" s="12" t="str">
        <x:v>U10</x:v>
      </x:c>
      <x:c r="C138" s="12" t="str">
        <x:v>terminal</x:v>
      </x:c>
      <x:c r="D138" s="12" t="str">
        <x:v>공통 목표 최종 상태와 전체 음성 준비</x:v>
      </x:c>
      <x:c r="E138" s="12" t="str">
        <x:v>via</x:v>
      </x:c>
      <x:c r="F138" s="13" t="n">
        <x:v>11.738</x:v>
      </x:c>
      <x:c r="G138" s="13" t="n">
        <x:v>11.738</x:v>
      </x:c>
      <x:c r="H138" s="13" t="n">
        <x:v>0</x:v>
      </x:c>
      <x:c r="I138" s="13" t="n">
        <x:v>0</x:v>
      </x:c>
      <x:c r="J138" s="12" t="str">
        <x:v>result_display, response_audio, intent_audio, first_audio_output</x:v>
      </x:c>
      <x:c r="K138" s="12" t="str">
        <x:v>none</x:v>
      </x:c>
      <x:c r="L138" s="13" t="n">
        <x:f>IF(G138&lt;=I138,0,MAX(0,L132,L133,L134,L136)+IF(E138="via",MAX(0,G138-MAX(F138,I138)),0))</x:f>
        <x:v>3.7380000000000004</x:v>
      </x:c>
    </x:row>
    <x:row r="139" ht="42" customHeight="1">
      <x:c r="A139" s="7" t="str">
        <x:v>BASE</x:v>
      </x:c>
      <x:c r="B139" s="7" t="str">
        <x:v>U11</x:v>
      </x:c>
      <x:c r="C139" s="7" t="str">
        <x:v>input_end</x:v>
      </x:c>
      <x:c r="D139" s="7" t="str">
        <x:v>사용자 입력 종료</x:v>
      </x:c>
      <x:c r="E139" s="7" t="str">
        <x:v>external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7" t="str"/>
      <x:c r="K139" s="7" t="str">
        <x:v>none</x:v>
      </x:c>
      <x:c r="L139" s="14" t="n">
        <x:f>IF(G139&lt;=I139,0,MAX(0)+IF(E139="via",MAX(0,G139-MAX(F139,I139)),0))</x:f>
        <x:v>0</x:v>
      </x:c>
    </x:row>
    <x:row r="140" ht="42" customHeight="1">
      <x:c r="A140" s="12" t="str">
        <x:v>BASE</x:v>
      </x:c>
      <x:c r="B140" s="12" t="str">
        <x:v>U11</x:v>
      </x:c>
      <x:c r="C140" s="12" t="str">
        <x:v>intake</x:v>
      </x:c>
      <x:c r="D140" s="12" t="str">
        <x:v>입력 확정</x:v>
      </x:c>
      <x:c r="E140" s="12" t="str">
        <x:v>via</x:v>
      </x:c>
      <x:c r="F140" s="13" t="n">
        <x:v>0</x:v>
      </x:c>
      <x:c r="G140" s="13" t="n">
        <x:v>0.3</x:v>
      </x:c>
      <x:c r="H140" s="13" t="n">
        <x:v>0.3</x:v>
      </x:c>
      <x:c r="I140" s="13" t="n">
        <x:v>0</x:v>
      </x:c>
      <x:c r="J140" s="12" t="str">
        <x:v>input_end</x:v>
      </x:c>
      <x:c r="K140" s="12" t="str">
        <x:v>none</x:v>
      </x:c>
      <x:c r="L140" s="13" t="n">
        <x:f>IF(G140&lt;=I140,0,MAX(0,L139)+IF(E140="via",MAX(0,G140-MAX(F140,I140)),0))</x:f>
        <x:v>0.3</x:v>
      </x:c>
    </x:row>
    <x:row r="141" ht="42" customHeight="1">
      <x:c r="A141" s="7" t="str">
        <x:v>BASE</x:v>
      </x:c>
      <x:c r="B141" s="7" t="str">
        <x:v>U11</x:v>
      </x:c>
      <x:c r="C141" s="7" t="str">
        <x:v>read</x:v>
      </x:c>
      <x:c r="D141" s="7" t="str">
        <x:v>공통 허용 원본 조회</x:v>
      </x:c>
      <x:c r="E141" s="7" t="str">
        <x:v>via</x:v>
      </x:c>
      <x:c r="F141" s="14" t="n">
        <x:v>0.3</x:v>
      </x:c>
      <x:c r="G141" s="14" t="n">
        <x:v>0.38</x:v>
      </x:c>
      <x:c r="H141" s="14" t="n">
        <x:v>0.08</x:v>
      </x:c>
      <x:c r="I141" s="14" t="n">
        <x:v>0</x:v>
      </x:c>
      <x:c r="J141" s="7" t="str">
        <x:v>intake</x:v>
      </x:c>
      <x:c r="K141" s="7" t="str">
        <x:v>none</x:v>
      </x:c>
      <x:c r="L141" s="14" t="n">
        <x:f>IF(G141&lt;=I141,0,MAX(0,L140)+IF(E141="via",MAX(0,G141-MAX(F141,I141)),0))</x:f>
        <x:v>0.38</x:v>
      </x:c>
    </x:row>
    <x:row r="142" ht="42" customHeight="1">
      <x:c r="A142" s="12" t="str">
        <x:v>BASE</x:v>
      </x:c>
      <x:c r="B142" s="12" t="str">
        <x:v>U11</x:v>
      </x:c>
      <x:c r="C142" s="12" t="str">
        <x:v>meaning</x:v>
      </x:c>
      <x:c r="D142" s="12" t="str">
        <x:v>최초 요청 의미 채택 packet 생성</x:v>
      </x:c>
      <x:c r="E142" s="12" t="str">
        <x:v>via</x:v>
      </x:c>
      <x:c r="F142" s="13" t="n">
        <x:v>0.38</x:v>
      </x:c>
      <x:c r="G142" s="13" t="n">
        <x:v>2.08</x:v>
      </x:c>
      <x:c r="H142" s="13" t="n">
        <x:v>1.7</x:v>
      </x:c>
      <x:c r="I142" s="13" t="n">
        <x:v>0</x:v>
      </x:c>
      <x:c r="J142" s="12" t="str">
        <x:v>read</x:v>
      </x:c>
      <x:c r="K142" s="12" t="str">
        <x:v>semantic</x:v>
      </x:c>
      <x:c r="L142" s="13" t="n">
        <x:f>IF(G142&lt;=I142,0,MAX(0,L141)+IF(E142="via",MAX(0,G142-MAX(F142,I142)),0))</x:f>
        <x:v>2.08</x:v>
      </x:c>
    </x:row>
    <x:row r="143" ht="42" customHeight="1">
      <x:c r="A143" s="7" t="str">
        <x:v>BASE</x:v>
      </x:c>
      <x:c r="B143" s="7" t="str">
        <x:v>U11</x:v>
      </x:c>
      <x:c r="C143" s="7" t="str">
        <x:v>adopt</x:v>
      </x:c>
      <x:c r="D143" s="7" t="str">
        <x:v>현재 revision과 권한 검사 및 채택</x:v>
      </x:c>
      <x:c r="E143" s="7" t="str">
        <x:v>via</x:v>
      </x:c>
      <x:c r="F143" s="14" t="n">
        <x:v>2.08</x:v>
      </x:c>
      <x:c r="G143" s="14" t="n">
        <x:v>2.11</x:v>
      </x:c>
      <x:c r="H143" s="14" t="n">
        <x:v>0.03</x:v>
      </x:c>
      <x:c r="I143" s="14" t="n">
        <x:v>0</x:v>
      </x:c>
      <x:c r="J143" s="7" t="str">
        <x:v>meaning</x:v>
      </x:c>
      <x:c r="K143" s="7" t="str">
        <x:v>none</x:v>
      </x:c>
      <x:c r="L143" s="14" t="n">
        <x:f>IF(G143&lt;=I143,0,MAX(0,L142)+IF(E143="via",MAX(0,G143-MAX(F143,I143)),0))</x:f>
        <x:v>2.11</x:v>
      </x:c>
    </x:row>
    <x:row r="144" ht="42" customHeight="1">
      <x:c r="A144" s="12" t="str">
        <x:v>BASE</x:v>
      </x:c>
      <x:c r="B144" s="12" t="str">
        <x:v>U11</x:v>
      </x:c>
      <x:c r="C144" s="12" t="str">
        <x:v>first_display</x:v>
      </x:c>
      <x:c r="D144" s="12" t="str">
        <x:v>첫 구체적 채택 내용 화면 표시</x:v>
      </x:c>
      <x:c r="E144" s="12" t="str">
        <x:v>via</x:v>
      </x:c>
      <x:c r="F144" s="13" t="n">
        <x:v>2.11</x:v>
      </x:c>
      <x:c r="G144" s="13" t="n">
        <x:v>2.15</x:v>
      </x:c>
      <x:c r="H144" s="13" t="n">
        <x:v>0.04</x:v>
      </x:c>
      <x:c r="I144" s="13" t="n">
        <x:v>0</x:v>
      </x:c>
      <x:c r="J144" s="12" t="str">
        <x:v>adopt</x:v>
      </x:c>
      <x:c r="K144" s="12" t="str">
        <x:v>none</x:v>
      </x:c>
      <x:c r="L144" s="13" t="n">
        <x:f>IF(G144&lt;=I144,0,MAX(0,L143)+IF(E144="via",MAX(0,G144-MAX(F144,I144)),0))</x:f>
        <x:v>2.15</x:v>
      </x:c>
    </x:row>
    <x:row r="145" ht="42" customHeight="1">
      <x:c r="A145" s="7" t="str">
        <x:v>BASE</x:v>
      </x:c>
      <x:c r="B145" s="7" t="str">
        <x:v>U11</x:v>
      </x:c>
      <x:c r="C145" s="7" t="str">
        <x:v>agent_ingress</x:v>
      </x:c>
      <x:c r="D145" s="7" t="str">
        <x:v>Agent 요청 전송</x:v>
      </x:c>
      <x:c r="E145" s="7" t="str">
        <x:v>via</x:v>
      </x:c>
      <x:c r="F145" s="14" t="n">
        <x:v>2.11</x:v>
      </x:c>
      <x:c r="G145" s="14" t="n">
        <x:v>2.15</x:v>
      </x:c>
      <x:c r="H145" s="14" t="n">
        <x:v>0.04</x:v>
      </x:c>
      <x:c r="I145" s="14" t="n">
        <x:v>0</x:v>
      </x:c>
      <x:c r="J145" s="7" t="str">
        <x:v>adopt</x:v>
      </x:c>
      <x:c r="K145" s="7" t="str">
        <x:v>none</x:v>
      </x:c>
      <x:c r="L145" s="14" t="n">
        <x:f>IF(G145&lt;=I145,0,MAX(0,L143)+IF(E145="via",MAX(0,G145-MAX(F145,I145)),0))</x:f>
        <x:v>2.15</x:v>
      </x:c>
    </x:row>
    <x:row r="146" ht="42" customHeight="1">
      <x:c r="A146" s="12" t="str">
        <x:v>BASE</x:v>
      </x:c>
      <x:c r="B146" s="12" t="str">
        <x:v>U11</x:v>
      </x:c>
      <x:c r="C146" s="12" t="str">
        <x:v>agent_result</x:v>
      </x:c>
      <x:c r="D146" s="12" t="str">
        <x:v>외부 Agent 업무</x:v>
      </x:c>
      <x:c r="E146" s="12" t="str">
        <x:v>external</x:v>
      </x:c>
      <x:c r="F146" s="13" t="n">
        <x:v>2.15</x:v>
      </x:c>
      <x:c r="G146" s="13" t="n">
        <x:v>10.15</x:v>
      </x:c>
      <x:c r="H146" s="13" t="n">
        <x:v>8</x:v>
      </x:c>
      <x:c r="I146" s="13" t="n">
        <x:v>0</x:v>
      </x:c>
      <x:c r="J146" s="12" t="str">
        <x:v>agent_ingress</x:v>
      </x:c>
      <x:c r="K146" s="12" t="str">
        <x:v>none</x:v>
      </x:c>
      <x:c r="L146" s="13" t="n">
        <x:f>IF(G146&lt;=I146,0,MAX(0,L145)+IF(E146="via",MAX(0,G146-MAX(F146,I146)),0))</x:f>
        <x:v>2.15</x:v>
      </x:c>
    </x:row>
    <x:row r="147" ht="42" customHeight="1">
      <x:c r="A147" s="7" t="str">
        <x:v>BASE</x:v>
      </x:c>
      <x:c r="B147" s="7" t="str">
        <x:v>U11</x:v>
      </x:c>
      <x:c r="C147" s="7" t="str">
        <x:v>result_display</x:v>
      </x:c>
      <x:c r="D147" s="7" t="str">
        <x:v>최종 결과 상세 표시</x:v>
      </x:c>
      <x:c r="E147" s="7" t="str">
        <x:v>via</x:v>
      </x:c>
      <x:c r="F147" s="14" t="n">
        <x:v>10.15</x:v>
      </x:c>
      <x:c r="G147" s="14" t="n">
        <x:v>10.19</x:v>
      </x:c>
      <x:c r="H147" s="14" t="n">
        <x:v>0.04</x:v>
      </x:c>
      <x:c r="I147" s="14" t="n">
        <x:v>0</x:v>
      </x:c>
      <x:c r="J147" s="7" t="str">
        <x:v>agent_result</x:v>
      </x:c>
      <x:c r="K147" s="7" t="str">
        <x:v>none</x:v>
      </x:c>
      <x:c r="L147" s="14" t="n">
        <x:f>IF(G147&lt;=I147,0,MAX(0,L146)+IF(E147="via",MAX(0,G147-MAX(F147,I147)),0))</x:f>
        <x:v>2.189999999999999</x:v>
      </x:c>
    </x:row>
    <x:row r="148" ht="42" customHeight="1">
      <x:c r="A148" s="12" t="str">
        <x:v>BASE</x:v>
      </x:c>
      <x:c r="B148" s="12" t="str">
        <x:v>U11</x:v>
      </x:c>
      <x:c r="C148" s="12" t="str">
        <x:v>response_audio</x:v>
      </x:c>
      <x:c r="D148" s="12" t="str">
        <x:v>선택한 응답 음성 생성</x:v>
      </x:c>
      <x:c r="E148" s="12" t="str">
        <x:v>via</x:v>
      </x:c>
      <x:c r="F148" s="13" t="n">
        <x:v>10.15</x:v>
      </x:c>
      <x:c r="G148" s="13" t="n">
        <x:v>12.038</x:v>
      </x:c>
      <x:c r="H148" s="13" t="n">
        <x:v>1.888</x:v>
      </x:c>
      <x:c r="I148" s="13" t="n">
        <x:v>0</x:v>
      </x:c>
      <x:c r="J148" s="12" t="str">
        <x:v>agent_result</x:v>
      </x:c>
      <x:c r="K148" s="12" t="str">
        <x:v>speech</x:v>
      </x:c>
      <x:c r="L148" s="13" t="n">
        <x:f>IF(G148&lt;=I148,0,MAX(0,L146)+IF(E148="via",MAX(0,G148-MAX(F148,I148)),0))</x:f>
        <x:v>4.038</x:v>
      </x:c>
    </x:row>
    <x:row r="149" ht="42" customHeight="1">
      <x:c r="A149" s="7" t="str">
        <x:v>BASE</x:v>
      </x:c>
      <x:c r="B149" s="7" t="str">
        <x:v>U11</x:v>
      </x:c>
      <x:c r="C149" s="7" t="str">
        <x:v>intent_audio</x:v>
      </x:c>
      <x:c r="D149" s="7" t="str">
        <x:v>채택한 구체적 수행 의도의 짧은 음성</x:v>
      </x:c>
      <x:c r="E149" s="7" t="str">
        <x:v>via</x:v>
      </x:c>
      <x:c r="F149" s="14" t="n">
        <x:v>2.11</x:v>
      </x:c>
      <x:c r="G149" s="14" t="n">
        <x:v>3.2439999999999998</x:v>
      </x:c>
      <x:c r="H149" s="14" t="n">
        <x:v>1.134</x:v>
      </x:c>
      <x:c r="I149" s="14" t="n">
        <x:v>0</x:v>
      </x:c>
      <x:c r="J149" s="7" t="str">
        <x:v>adopt</x:v>
      </x:c>
      <x:c r="K149" s="7" t="str">
        <x:v>speech</x:v>
      </x:c>
      <x:c r="L149" s="14" t="n">
        <x:f>IF(G149&lt;=I149,0,MAX(0,L143)+IF(E149="via",MAX(0,G149-MAX(F149,I149)),0))</x:f>
        <x:v>3.2439999999999998</x:v>
      </x:c>
    </x:row>
    <x:row r="150" ht="42" customHeight="1">
      <x:c r="A150" s="12" t="str">
        <x:v>BASE</x:v>
      </x:c>
      <x:c r="B150" s="12" t="str">
        <x:v>U11</x:v>
      </x:c>
      <x:c r="C150" s="12" t="str">
        <x:v>first_chunk</x:v>
      </x:c>
      <x:c r="D150" s="12" t="str">
        <x:v>같은 생성 job의 유효 첫 chunk 관측</x:v>
      </x:c>
      <x:c r="E150" s="12" t="str">
        <x:v>via</x:v>
      </x:c>
      <x:c r="F150" s="13" t="n">
        <x:v>2.11</x:v>
      </x:c>
      <x:c r="G150" s="13" t="n">
        <x:v>2.544</x:v>
      </x:c>
      <x:c r="H150" s="13" t="n">
        <x:v>0.434</x:v>
      </x:c>
      <x:c r="I150" s="13" t="n">
        <x:v>0</x:v>
      </x:c>
      <x:c r="J150" s="12" t="str">
        <x:v>adopt</x:v>
      </x:c>
      <x:c r="K150" s="12" t="str">
        <x:v>none</x:v>
      </x:c>
      <x:c r="L150" s="13" t="n">
        <x:f>IF(G150&lt;=I150,0,MAX(0,L143)+IF(E150="via",MAX(0,G150-MAX(F150,I150)),0))</x:f>
        <x:v>2.544</x:v>
      </x:c>
    </x:row>
    <x:row r="151" ht="42" customHeight="1">
      <x:c r="A151" s="7" t="str">
        <x:v>BASE</x:v>
      </x:c>
      <x:c r="B151" s="7" t="str">
        <x:v>U11</x:v>
      </x:c>
      <x:c r="C151" s="7" t="str">
        <x:v>first_audio_output</x:v>
      </x:c>
      <x:c r="D151" s="7" t="str">
        <x:v>공통 장치의 첫 음성 출력</x:v>
      </x:c>
      <x:c r="E151" s="7" t="str">
        <x:v>via</x:v>
      </x:c>
      <x:c r="F151" s="14" t="n">
        <x:v>2.544</x:v>
      </x:c>
      <x:c r="G151" s="14" t="n">
        <x:v>2.584</x:v>
      </x:c>
      <x:c r="H151" s="14" t="n">
        <x:v>0.04</x:v>
      </x:c>
      <x:c r="I151" s="14" t="n">
        <x:v>0</x:v>
      </x:c>
      <x:c r="J151" s="7" t="str">
        <x:v>adopt, first_chunk</x:v>
      </x:c>
      <x:c r="K151" s="7" t="str">
        <x:v>none</x:v>
      </x:c>
      <x:c r="L151" s="14" t="n">
        <x:f>IF(G151&lt;=I151,0,MAX(0,L143,L150)+IF(E151="via",MAX(0,G151-MAX(F151,I151)),0))</x:f>
        <x:v>2.584</x:v>
      </x:c>
    </x:row>
    <x:row r="152" ht="42" customHeight="1">
      <x:c r="A152" s="12" t="str">
        <x:v>BASE</x:v>
      </x:c>
      <x:c r="B152" s="12" t="str">
        <x:v>U11</x:v>
      </x:c>
      <x:c r="C152" s="12" t="str">
        <x:v>next_speech_selection</x:v>
      </x:c>
      <x:c r="D152" s="12" t="str">
        <x:v>현재 발화 재생 후 다음 응답 선택</x:v>
      </x:c>
      <x:c r="E152" s="12" t="str">
        <x:v>external</x:v>
      </x:c>
      <x:c r="F152" s="13" t="n">
        <x:v>2.584</x:v>
      </x:c>
      <x:c r="G152" s="13" t="n">
        <x:v>5.584</x:v>
      </x:c>
      <x:c r="H152" s="13" t="n">
        <x:v>3</x:v>
      </x:c>
      <x:c r="I152" s="13" t="n">
        <x:v>0</x:v>
      </x:c>
      <x:c r="J152" s="12" t="str">
        <x:v>first_audio_output</x:v>
      </x:c>
      <x:c r="K152" s="12" t="str">
        <x:v>none</x:v>
      </x:c>
      <x:c r="L152" s="13" t="n">
        <x:f>IF(G152&lt;=I152,0,MAX(0,L151)+IF(E152="via",MAX(0,G152-MAX(F152,I152)),0))</x:f>
        <x:v>2.584</x:v>
      </x:c>
    </x:row>
    <x:row r="153" ht="42" customHeight="1">
      <x:c r="A153" s="7" t="str">
        <x:v>BASE</x:v>
      </x:c>
      <x:c r="B153" s="7" t="str">
        <x:v>U11</x:v>
      </x:c>
      <x:c r="C153" s="7" t="str">
        <x:v>terminal</x:v>
      </x:c>
      <x:c r="D153" s="7" t="str">
        <x:v>공통 목표 최종 상태와 전체 음성 준비</x:v>
      </x:c>
      <x:c r="E153" s="7" t="str">
        <x:v>via</x:v>
      </x:c>
      <x:c r="F153" s="14" t="n">
        <x:v>12.038</x:v>
      </x:c>
      <x:c r="G153" s="14" t="n">
        <x:v>12.038</x:v>
      </x:c>
      <x:c r="H153" s="14" t="n">
        <x:v>0</x:v>
      </x:c>
      <x:c r="I153" s="14" t="n">
        <x:v>0</x:v>
      </x:c>
      <x:c r="J153" s="7" t="str">
        <x:v>result_display, response_audio, intent_audio, first_audio_output</x:v>
      </x:c>
      <x:c r="K153" s="7" t="str">
        <x:v>none</x:v>
      </x:c>
      <x:c r="L153" s="14" t="n">
        <x:f>IF(G153&lt;=I153,0,MAX(0,L147,L148,L149,L151)+IF(E153="via",MAX(0,G153-MAX(F153,I153)),0))</x:f>
        <x:v>4.038</x:v>
      </x:c>
    </x:row>
    <x:row r="154" ht="42" customHeight="1">
      <x:c r="A154" s="12" t="str">
        <x:v>BASE</x:v>
      </x:c>
      <x:c r="B154" s="12" t="str">
        <x:v>U12</x:v>
      </x:c>
      <x:c r="C154" s="12" t="str">
        <x:v>input_end</x:v>
      </x:c>
      <x:c r="D154" s="12" t="str">
        <x:v>사용자 입력 종료</x:v>
      </x:c>
      <x:c r="E154" s="12" t="str">
        <x:v>external</x:v>
      </x:c>
      <x:c r="F154" s="13" t="n">
        <x:v>0</x:v>
      </x:c>
      <x:c r="G154" s="13" t="n">
        <x:v>0</x:v>
      </x:c>
      <x:c r="H154" s="13" t="n">
        <x:v>0</x:v>
      </x:c>
      <x:c r="I154" s="13" t="n">
        <x:v>0</x:v>
      </x:c>
      <x:c r="J154" s="12" t="str"/>
      <x:c r="K154" s="12" t="str">
        <x:v>none</x:v>
      </x:c>
      <x:c r="L154" s="13" t="n">
        <x:f>IF(G154&lt;=I154,0,MAX(0)+IF(E154="via",MAX(0,G154-MAX(F154,I154)),0))</x:f>
        <x:v>0</x:v>
      </x:c>
    </x:row>
    <x:row r="155" ht="42" customHeight="1">
      <x:c r="A155" s="7" t="str">
        <x:v>BASE</x:v>
      </x:c>
      <x:c r="B155" s="7" t="str">
        <x:v>U12</x:v>
      </x:c>
      <x:c r="C155" s="7" t="str">
        <x:v>intake</x:v>
      </x:c>
      <x:c r="D155" s="7" t="str">
        <x:v>입력 확정</x:v>
      </x:c>
      <x:c r="E155" s="7" t="str">
        <x:v>via</x:v>
      </x:c>
      <x:c r="F155" s="14" t="n">
        <x:v>0</x:v>
      </x:c>
      <x:c r="G155" s="14" t="n">
        <x:v>0.3</x:v>
      </x:c>
      <x:c r="H155" s="14" t="n">
        <x:v>0.3</x:v>
      </x:c>
      <x:c r="I155" s="14" t="n">
        <x:v>0</x:v>
      </x:c>
      <x:c r="J155" s="7" t="str">
        <x:v>input_end</x:v>
      </x:c>
      <x:c r="K155" s="7" t="str">
        <x:v>none</x:v>
      </x:c>
      <x:c r="L155" s="14" t="n">
        <x:f>IF(G155&lt;=I155,0,MAX(0,L154)+IF(E155="via",MAX(0,G155-MAX(F155,I155)),0))</x:f>
        <x:v>0.3</x:v>
      </x:c>
    </x:row>
    <x:row r="156" ht="42" customHeight="1">
      <x:c r="A156" s="12" t="str">
        <x:v>BASE</x:v>
      </x:c>
      <x:c r="B156" s="12" t="str">
        <x:v>U12</x:v>
      </x:c>
      <x:c r="C156" s="12" t="str">
        <x:v>read</x:v>
      </x:c>
      <x:c r="D156" s="12" t="str">
        <x:v>공통 허용 원본 조회</x:v>
      </x:c>
      <x:c r="E156" s="12" t="str">
        <x:v>via</x:v>
      </x:c>
      <x:c r="F156" s="13" t="n">
        <x:v>0.3</x:v>
      </x:c>
      <x:c r="G156" s="13" t="n">
        <x:v>0.38</x:v>
      </x:c>
      <x:c r="H156" s="13" t="n">
        <x:v>0.08</x:v>
      </x:c>
      <x:c r="I156" s="13" t="n">
        <x:v>0</x:v>
      </x:c>
      <x:c r="J156" s="12" t="str">
        <x:v>intake</x:v>
      </x:c>
      <x:c r="K156" s="12" t="str">
        <x:v>none</x:v>
      </x:c>
      <x:c r="L156" s="13" t="n">
        <x:f>IF(G156&lt;=I156,0,MAX(0,L155)+IF(E156="via",MAX(0,G156-MAX(F156,I156)),0))</x:f>
        <x:v>0.38</x:v>
      </x:c>
    </x:row>
    <x:row r="157" ht="42" customHeight="1">
      <x:c r="A157" s="7" t="str">
        <x:v>BASE</x:v>
      </x:c>
      <x:c r="B157" s="7" t="str">
        <x:v>U12</x:v>
      </x:c>
      <x:c r="C157" s="7" t="str">
        <x:v>pre_raw</x:v>
      </x:c>
      <x:c r="D157" s="7" t="str">
        <x:v>선행 원본 화면 해석</x:v>
      </x:c>
      <x:c r="E157" s="7" t="str">
        <x:v>via</x:v>
      </x:c>
      <x:c r="F157" s="14" t="n">
        <x:v>-12</x:v>
      </x:c>
      <x:c r="G157" s="14" t="n">
        <x:v>-10.6</x:v>
      </x:c>
      <x:c r="H157" s="14" t="n">
        <x:v>1.4000000000000001</x:v>
      </x:c>
      <x:c r="I157" s="14" t="n">
        <x:v>0</x:v>
      </x:c>
      <x:c r="J157" s="7" t="str"/>
      <x:c r="K157" s="7" t="str">
        <x:v>semantic</x:v>
      </x:c>
      <x:c r="L157" s="14" t="n">
        <x:f>IF(G157&lt;=I157,0,MAX(0)+IF(E157="via",MAX(0,G157-MAX(F157,I157)),0))</x:f>
        <x:v>0</x:v>
      </x:c>
    </x:row>
    <x:row r="158" ht="42" customHeight="1">
      <x:c r="A158" s="12" t="str">
        <x:v>BASE</x:v>
      </x:c>
      <x:c r="B158" s="12" t="str">
        <x:v>U12</x:v>
      </x:c>
      <x:c r="C158" s="12" t="str">
        <x:v>reuse_screen</x:v>
      </x:c>
      <x:c r="D158" s="12" t="str">
        <x:v>이미 확정한 화면 대상 재사용</x:v>
      </x:c>
      <x:c r="E158" s="12" t="str">
        <x:v>via</x:v>
      </x:c>
      <x:c r="F158" s="13" t="n">
        <x:v>0.38</x:v>
      </x:c>
      <x:c r="G158" s="13" t="n">
        <x:v>0.46</x:v>
      </x:c>
      <x:c r="H158" s="13" t="n">
        <x:v>0.08</x:v>
      </x:c>
      <x:c r="I158" s="13" t="n">
        <x:v>0</x:v>
      </x:c>
      <x:c r="J158" s="12" t="str">
        <x:v>read, pre_raw</x:v>
      </x:c>
      <x:c r="K158" s="12" t="str">
        <x:v>none</x:v>
      </x:c>
      <x:c r="L158" s="13" t="n">
        <x:f>IF(G158&lt;=I158,0,MAX(0,L156,L157)+IF(E158="via",MAX(0,G158-MAX(F158,I158)),0))</x:f>
        <x:v>0.46</x:v>
      </x:c>
    </x:row>
    <x:row r="159" ht="42" customHeight="1">
      <x:c r="A159" s="7" t="str">
        <x:v>BASE</x:v>
      </x:c>
      <x:c r="B159" s="7" t="str">
        <x:v>U12</x:v>
      </x:c>
      <x:c r="C159" s="7" t="str">
        <x:v>meaning</x:v>
      </x:c>
      <x:c r="D159" s="7" t="str">
        <x:v>최초 요청 의미 채택 packet 생성</x:v>
      </x:c>
      <x:c r="E159" s="7" t="str">
        <x:v>via</x:v>
      </x:c>
      <x:c r="F159" s="14" t="n">
        <x:v>0.46</x:v>
      </x:c>
      <x:c r="G159" s="14" t="n">
        <x:v>1.56</x:v>
      </x:c>
      <x:c r="H159" s="14" t="n">
        <x:v>1.1</x:v>
      </x:c>
      <x:c r="I159" s="14" t="n">
        <x:v>0</x:v>
      </x:c>
      <x:c r="J159" s="7" t="str">
        <x:v>reuse_screen</x:v>
      </x:c>
      <x:c r="K159" s="7" t="str">
        <x:v>semantic</x:v>
      </x:c>
      <x:c r="L159" s="14" t="n">
        <x:f>IF(G159&lt;=I159,0,MAX(0,L158)+IF(E159="via",MAX(0,G159-MAX(F159,I159)),0))</x:f>
        <x:v>1.56</x:v>
      </x:c>
    </x:row>
    <x:row r="160" ht="42" customHeight="1">
      <x:c r="A160" s="12" t="str">
        <x:v>BASE</x:v>
      </x:c>
      <x:c r="B160" s="12" t="str">
        <x:v>U12</x:v>
      </x:c>
      <x:c r="C160" s="12" t="str">
        <x:v>adopt</x:v>
      </x:c>
      <x:c r="D160" s="12" t="str">
        <x:v>현재 revision과 권한 검사 및 채택</x:v>
      </x:c>
      <x:c r="E160" s="12" t="str">
        <x:v>via</x:v>
      </x:c>
      <x:c r="F160" s="13" t="n">
        <x:v>1.56</x:v>
      </x:c>
      <x:c r="G160" s="13" t="n">
        <x:v>1.59</x:v>
      </x:c>
      <x:c r="H160" s="13" t="n">
        <x:v>0.03</x:v>
      </x:c>
      <x:c r="I160" s="13" t="n">
        <x:v>0</x:v>
      </x:c>
      <x:c r="J160" s="12" t="str">
        <x:v>meaning</x:v>
      </x:c>
      <x:c r="K160" s="12" t="str">
        <x:v>none</x:v>
      </x:c>
      <x:c r="L160" s="13" t="n">
        <x:f>IF(G160&lt;=I160,0,MAX(0,L159)+IF(E160="via",MAX(0,G160-MAX(F160,I160)),0))</x:f>
        <x:v>1.59</x:v>
      </x:c>
    </x:row>
    <x:row r="161" ht="42" customHeight="1">
      <x:c r="A161" s="7" t="str">
        <x:v>BASE</x:v>
      </x:c>
      <x:c r="B161" s="7" t="str">
        <x:v>U12</x:v>
      </x:c>
      <x:c r="C161" s="7" t="str">
        <x:v>first_display</x:v>
      </x:c>
      <x:c r="D161" s="7" t="str">
        <x:v>첫 구체적 채택 내용 화면 표시</x:v>
      </x:c>
      <x:c r="E161" s="7" t="str">
        <x:v>via</x:v>
      </x:c>
      <x:c r="F161" s="14" t="n">
        <x:v>1.59</x:v>
      </x:c>
      <x:c r="G161" s="14" t="n">
        <x:v>1.6300000000000001</x:v>
      </x:c>
      <x:c r="H161" s="14" t="n">
        <x:v>0.04</x:v>
      </x:c>
      <x:c r="I161" s="14" t="n">
        <x:v>0</x:v>
      </x:c>
      <x:c r="J161" s="7" t="str">
        <x:v>adopt</x:v>
      </x:c>
      <x:c r="K161" s="7" t="str">
        <x:v>none</x:v>
      </x:c>
      <x:c r="L161" s="14" t="n">
        <x:f>IF(G161&lt;=I161,0,MAX(0,L160)+IF(E161="via",MAX(0,G161-MAX(F161,I161)),0))</x:f>
        <x:v>1.6300000000000001</x:v>
      </x:c>
    </x:row>
    <x:row r="162" ht="42" customHeight="1">
      <x:c r="A162" s="12" t="str">
        <x:v>BASE</x:v>
      </x:c>
      <x:c r="B162" s="12" t="str">
        <x:v>U12</x:v>
      </x:c>
      <x:c r="C162" s="12" t="str">
        <x:v>agent_ingress</x:v>
      </x:c>
      <x:c r="D162" s="12" t="str">
        <x:v>Agent 요청 전송</x:v>
      </x:c>
      <x:c r="E162" s="12" t="str">
        <x:v>via</x:v>
      </x:c>
      <x:c r="F162" s="13" t="n">
        <x:v>1.59</x:v>
      </x:c>
      <x:c r="G162" s="13" t="n">
        <x:v>1.6300000000000001</x:v>
      </x:c>
      <x:c r="H162" s="13" t="n">
        <x:v>0.04</x:v>
      </x:c>
      <x:c r="I162" s="13" t="n">
        <x:v>0</x:v>
      </x:c>
      <x:c r="J162" s="12" t="str">
        <x:v>adopt</x:v>
      </x:c>
      <x:c r="K162" s="12" t="str">
        <x:v>none</x:v>
      </x:c>
      <x:c r="L162" s="13" t="n">
        <x:f>IF(G162&lt;=I162,0,MAX(0,L160)+IF(E162="via",MAX(0,G162-MAX(F162,I162)),0))</x:f>
        <x:v>1.6300000000000001</x:v>
      </x:c>
    </x:row>
    <x:row r="163" ht="42" customHeight="1">
      <x:c r="A163" s="7" t="str">
        <x:v>BASE</x:v>
      </x:c>
      <x:c r="B163" s="7" t="str">
        <x:v>U12</x:v>
      </x:c>
      <x:c r="C163" s="7" t="str">
        <x:v>agent_result</x:v>
      </x:c>
      <x:c r="D163" s="7" t="str">
        <x:v>외부 Agent 업무</x:v>
      </x:c>
      <x:c r="E163" s="7" t="str">
        <x:v>external</x:v>
      </x:c>
      <x:c r="F163" s="14" t="n">
        <x:v>1.6300000000000001</x:v>
      </x:c>
      <x:c r="G163" s="14" t="n">
        <x:v>9.63</x:v>
      </x:c>
      <x:c r="H163" s="14" t="n">
        <x:v>8</x:v>
      </x:c>
      <x:c r="I163" s="14" t="n">
        <x:v>0</x:v>
      </x:c>
      <x:c r="J163" s="7" t="str">
        <x:v>agent_ingress</x:v>
      </x:c>
      <x:c r="K163" s="7" t="str">
        <x:v>none</x:v>
      </x:c>
      <x:c r="L163" s="14" t="n">
        <x:f>IF(G163&lt;=I163,0,MAX(0,L162)+IF(E163="via",MAX(0,G163-MAX(F163,I163)),0))</x:f>
        <x:v>1.6300000000000001</x:v>
      </x:c>
    </x:row>
    <x:row r="164" ht="42" customHeight="1">
      <x:c r="A164" s="12" t="str">
        <x:v>BASE</x:v>
      </x:c>
      <x:c r="B164" s="12" t="str">
        <x:v>U12</x:v>
      </x:c>
      <x:c r="C164" s="12" t="str">
        <x:v>result_display</x:v>
      </x:c>
      <x:c r="D164" s="12" t="str">
        <x:v>최종 결과 상세 표시</x:v>
      </x:c>
      <x:c r="E164" s="12" t="str">
        <x:v>via</x:v>
      </x:c>
      <x:c r="F164" s="13" t="n">
        <x:v>9.63</x:v>
      </x:c>
      <x:c r="G164" s="13" t="n">
        <x:v>9.67</x:v>
      </x:c>
      <x:c r="H164" s="13" t="n">
        <x:v>0.04</x:v>
      </x:c>
      <x:c r="I164" s="13" t="n">
        <x:v>0</x:v>
      </x:c>
      <x:c r="J164" s="12" t="str">
        <x:v>agent_result</x:v>
      </x:c>
      <x:c r="K164" s="12" t="str">
        <x:v>none</x:v>
      </x:c>
      <x:c r="L164" s="13" t="n">
        <x:f>IF(G164&lt;=I164,0,MAX(0,L163)+IF(E164="via",MAX(0,G164-MAX(F164,I164)),0))</x:f>
        <x:v>1.6699999999999993</x:v>
      </x:c>
    </x:row>
    <x:row r="165" ht="42" customHeight="1">
      <x:c r="A165" s="7" t="str">
        <x:v>BASE</x:v>
      </x:c>
      <x:c r="B165" s="7" t="str">
        <x:v>U12</x:v>
      </x:c>
      <x:c r="C165" s="7" t="str">
        <x:v>response_audio</x:v>
      </x:c>
      <x:c r="D165" s="7" t="str">
        <x:v>선택한 응답 음성 생성</x:v>
      </x:c>
      <x:c r="E165" s="7" t="str">
        <x:v>via</x:v>
      </x:c>
      <x:c r="F165" s="14" t="n">
        <x:v>9.63</x:v>
      </x:c>
      <x:c r="G165" s="14" t="n">
        <x:v>11.518</x:v>
      </x:c>
      <x:c r="H165" s="14" t="n">
        <x:v>1.888</x:v>
      </x:c>
      <x:c r="I165" s="14" t="n">
        <x:v>0</x:v>
      </x:c>
      <x:c r="J165" s="7" t="str">
        <x:v>agent_result</x:v>
      </x:c>
      <x:c r="K165" s="7" t="str">
        <x:v>speech</x:v>
      </x:c>
      <x:c r="L165" s="14" t="n">
        <x:f>IF(G165&lt;=I165,0,MAX(0,L163)+IF(E165="via",MAX(0,G165-MAX(F165,I165)),0))</x:f>
        <x:v>3.518</x:v>
      </x:c>
    </x:row>
    <x:row r="166" ht="42" customHeight="1">
      <x:c r="A166" s="12" t="str">
        <x:v>BASE</x:v>
      </x:c>
      <x:c r="B166" s="12" t="str">
        <x:v>U12</x:v>
      </x:c>
      <x:c r="C166" s="12" t="str">
        <x:v>intent_audio</x:v>
      </x:c>
      <x:c r="D166" s="12" t="str">
        <x:v>채택한 구체적 수행 의도의 짧은 음성</x:v>
      </x:c>
      <x:c r="E166" s="12" t="str">
        <x:v>via</x:v>
      </x:c>
      <x:c r="F166" s="13" t="n">
        <x:v>1.59</x:v>
      </x:c>
      <x:c r="G166" s="13" t="n">
        <x:v>2.724</x:v>
      </x:c>
      <x:c r="H166" s="13" t="n">
        <x:v>1.134</x:v>
      </x:c>
      <x:c r="I166" s="13" t="n">
        <x:v>0</x:v>
      </x:c>
      <x:c r="J166" s="12" t="str">
        <x:v>adopt</x:v>
      </x:c>
      <x:c r="K166" s="12" t="str">
        <x:v>speech</x:v>
      </x:c>
      <x:c r="L166" s="13" t="n">
        <x:f>IF(G166&lt;=I166,0,MAX(0,L160)+IF(E166="via",MAX(0,G166-MAX(F166,I166)),0))</x:f>
        <x:v>2.724</x:v>
      </x:c>
    </x:row>
    <x:row r="167" ht="42" customHeight="1">
      <x:c r="A167" s="7" t="str">
        <x:v>BASE</x:v>
      </x:c>
      <x:c r="B167" s="7" t="str">
        <x:v>U12</x:v>
      </x:c>
      <x:c r="C167" s="7" t="str">
        <x:v>first_chunk</x:v>
      </x:c>
      <x:c r="D167" s="7" t="str">
        <x:v>같은 생성 job의 유효 첫 chunk 관측</x:v>
      </x:c>
      <x:c r="E167" s="7" t="str">
        <x:v>via</x:v>
      </x:c>
      <x:c r="F167" s="14" t="n">
        <x:v>1.59</x:v>
      </x:c>
      <x:c r="G167" s="14" t="n">
        <x:v>2.024</x:v>
      </x:c>
      <x:c r="H167" s="14" t="n">
        <x:v>0.434</x:v>
      </x:c>
      <x:c r="I167" s="14" t="n">
        <x:v>0</x:v>
      </x:c>
      <x:c r="J167" s="7" t="str">
        <x:v>adopt</x:v>
      </x:c>
      <x:c r="K167" s="7" t="str">
        <x:v>none</x:v>
      </x:c>
      <x:c r="L167" s="14" t="n">
        <x:f>IF(G167&lt;=I167,0,MAX(0,L160)+IF(E167="via",MAX(0,G167-MAX(F167,I167)),0))</x:f>
        <x:v>2.024</x:v>
      </x:c>
    </x:row>
    <x:row r="168" ht="42" customHeight="1">
      <x:c r="A168" s="12" t="str">
        <x:v>BASE</x:v>
      </x:c>
      <x:c r="B168" s="12" t="str">
        <x:v>U12</x:v>
      </x:c>
      <x:c r="C168" s="12" t="str">
        <x:v>first_audio_output</x:v>
      </x:c>
      <x:c r="D168" s="12" t="str">
        <x:v>공통 장치의 첫 음성 출력</x:v>
      </x:c>
      <x:c r="E168" s="12" t="str">
        <x:v>via</x:v>
      </x:c>
      <x:c r="F168" s="13" t="n">
        <x:v>2.024</x:v>
      </x:c>
      <x:c r="G168" s="13" t="n">
        <x:v>2.064</x:v>
      </x:c>
      <x:c r="H168" s="13" t="n">
        <x:v>0.04</x:v>
      </x:c>
      <x:c r="I168" s="13" t="n">
        <x:v>0</x:v>
      </x:c>
      <x:c r="J168" s="12" t="str">
        <x:v>adopt, first_chunk</x:v>
      </x:c>
      <x:c r="K168" s="12" t="str">
        <x:v>none</x:v>
      </x:c>
      <x:c r="L168" s="13" t="n">
        <x:f>IF(G168&lt;=I168,0,MAX(0,L160,L167)+IF(E168="via",MAX(0,G168-MAX(F168,I168)),0))</x:f>
        <x:v>2.064</x:v>
      </x:c>
    </x:row>
    <x:row r="169" ht="42" customHeight="1">
      <x:c r="A169" s="7" t="str">
        <x:v>BASE</x:v>
      </x:c>
      <x:c r="B169" s="7" t="str">
        <x:v>U12</x:v>
      </x:c>
      <x:c r="C169" s="7" t="str">
        <x:v>next_speech_selection</x:v>
      </x:c>
      <x:c r="D169" s="7" t="str">
        <x:v>현재 발화 재생 후 다음 응답 선택</x:v>
      </x:c>
      <x:c r="E169" s="7" t="str">
        <x:v>external</x:v>
      </x:c>
      <x:c r="F169" s="14" t="n">
        <x:v>2.064</x:v>
      </x:c>
      <x:c r="G169" s="14" t="n">
        <x:v>5.064</x:v>
      </x:c>
      <x:c r="H169" s="14" t="n">
        <x:v>3</x:v>
      </x:c>
      <x:c r="I169" s="14" t="n">
        <x:v>0</x:v>
      </x:c>
      <x:c r="J169" s="7" t="str">
        <x:v>first_audio_output</x:v>
      </x:c>
      <x:c r="K169" s="7" t="str">
        <x:v>none</x:v>
      </x:c>
      <x:c r="L169" s="14" t="n">
        <x:f>IF(G169&lt;=I169,0,MAX(0,L168)+IF(E169="via",MAX(0,G169-MAX(F169,I169)),0))</x:f>
        <x:v>2.064</x:v>
      </x:c>
    </x:row>
    <x:row r="170" ht="42" customHeight="1">
      <x:c r="A170" s="12" t="str">
        <x:v>BASE</x:v>
      </x:c>
      <x:c r="B170" s="12" t="str">
        <x:v>U12</x:v>
      </x:c>
      <x:c r="C170" s="12" t="str">
        <x:v>terminal</x:v>
      </x:c>
      <x:c r="D170" s="12" t="str">
        <x:v>공통 목표 최종 상태와 전체 음성 준비</x:v>
      </x:c>
      <x:c r="E170" s="12" t="str">
        <x:v>via</x:v>
      </x:c>
      <x:c r="F170" s="13" t="n">
        <x:v>11.518</x:v>
      </x:c>
      <x:c r="G170" s="13" t="n">
        <x:v>11.518</x:v>
      </x:c>
      <x:c r="H170" s="13" t="n">
        <x:v>0</x:v>
      </x:c>
      <x:c r="I170" s="13" t="n">
        <x:v>0</x:v>
      </x:c>
      <x:c r="J170" s="12" t="str">
        <x:v>result_display, response_audio, intent_audio, first_audio_output</x:v>
      </x:c>
      <x:c r="K170" s="12" t="str">
        <x:v>none</x:v>
      </x:c>
      <x:c r="L170" s="13" t="n">
        <x:f>IF(G170&lt;=I170,0,MAX(0,L164,L165,L166,L168)+IF(E170="via",MAX(0,G170-MAX(F170,I170)),0))</x:f>
        <x:v>3.518</x:v>
      </x:c>
    </x:row>
    <x:row r="171" ht="42" customHeight="1">
      <x:c r="A171" s="7" t="str">
        <x:v>BASE</x:v>
      </x:c>
      <x:c r="B171" s="7" t="str">
        <x:v>U13</x:v>
      </x:c>
      <x:c r="C171" s="7" t="str">
        <x:v>input_end</x:v>
      </x:c>
      <x:c r="D171" s="7" t="str">
        <x:v>사용자 입력 종료</x:v>
      </x:c>
      <x:c r="E171" s="7" t="str">
        <x:v>external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7" t="str"/>
      <x:c r="K171" s="7" t="str">
        <x:v>none</x:v>
      </x:c>
      <x:c r="L171" s="14" t="n">
        <x:f>IF(G171&lt;=I171,0,MAX(0)+IF(E171="via",MAX(0,G171-MAX(F171,I171)),0))</x:f>
        <x:v>0</x:v>
      </x:c>
    </x:row>
    <x:row r="172" ht="42" customHeight="1">
      <x:c r="A172" s="12" t="str">
        <x:v>BASE</x:v>
      </x:c>
      <x:c r="B172" s="12" t="str">
        <x:v>U13</x:v>
      </x:c>
      <x:c r="C172" s="12" t="str">
        <x:v>intake</x:v>
      </x:c>
      <x:c r="D172" s="12" t="str">
        <x:v>입력 확정</x:v>
      </x:c>
      <x:c r="E172" s="12" t="str">
        <x:v>via</x:v>
      </x:c>
      <x:c r="F172" s="13" t="n">
        <x:v>0</x:v>
      </x:c>
      <x:c r="G172" s="13" t="n">
        <x:v>0.06</x:v>
      </x:c>
      <x:c r="H172" s="13" t="n">
        <x:v>0.06</x:v>
      </x:c>
      <x:c r="I172" s="13" t="n">
        <x:v>0</x:v>
      </x:c>
      <x:c r="J172" s="12" t="str">
        <x:v>input_end</x:v>
      </x:c>
      <x:c r="K172" s="12" t="str">
        <x:v>none</x:v>
      </x:c>
      <x:c r="L172" s="13" t="n">
        <x:f>IF(G172&lt;=I172,0,MAX(0,L171)+IF(E172="via",MAX(0,G172-MAX(F172,I172)),0))</x:f>
        <x:v>0.06</x:v>
      </x:c>
    </x:row>
    <x:row r="173" ht="42" customHeight="1">
      <x:c r="A173" s="7" t="str">
        <x:v>BASE</x:v>
      </x:c>
      <x:c r="B173" s="7" t="str">
        <x:v>U13</x:v>
      </x:c>
      <x:c r="C173" s="7" t="str">
        <x:v>read</x:v>
      </x:c>
      <x:c r="D173" s="7" t="str">
        <x:v>공통 허용 원본 조회</x:v>
      </x:c>
      <x:c r="E173" s="7" t="str">
        <x:v>via</x:v>
      </x:c>
      <x:c r="F173" s="14" t="n">
        <x:v>0.06</x:v>
      </x:c>
      <x:c r="G173" s="14" t="n">
        <x:v>0.14</x:v>
      </x:c>
      <x:c r="H173" s="14" t="n">
        <x:v>0.08</x:v>
      </x:c>
      <x:c r="I173" s="14" t="n">
        <x:v>0</x:v>
      </x:c>
      <x:c r="J173" s="7" t="str">
        <x:v>intake</x:v>
      </x:c>
      <x:c r="K173" s="7" t="str">
        <x:v>none</x:v>
      </x:c>
      <x:c r="L173" s="14" t="n">
        <x:f>IF(G173&lt;=I173,0,MAX(0,L172)+IF(E173="via",MAX(0,G173-MAX(F173,I173)),0))</x:f>
        <x:v>0.14</x:v>
      </x:c>
    </x:row>
    <x:row r="174" ht="42" customHeight="1">
      <x:c r="A174" s="12" t="str">
        <x:v>BASE</x:v>
      </x:c>
      <x:c r="B174" s="12" t="str">
        <x:v>U13</x:v>
      </x:c>
      <x:c r="C174" s="12" t="str">
        <x:v>meaning</x:v>
      </x:c>
      <x:c r="D174" s="12" t="str">
        <x:v>최초 요청 의미 채택 packet 생성</x:v>
      </x:c>
      <x:c r="E174" s="12" t="str">
        <x:v>via</x:v>
      </x:c>
      <x:c r="F174" s="13" t="n">
        <x:v>0.14</x:v>
      </x:c>
      <x:c r="G174" s="13" t="n">
        <x:v>1.2400000000000002</x:v>
      </x:c>
      <x:c r="H174" s="13" t="n">
        <x:v>1.1</x:v>
      </x:c>
      <x:c r="I174" s="13" t="n">
        <x:v>0</x:v>
      </x:c>
      <x:c r="J174" s="12" t="str">
        <x:v>read</x:v>
      </x:c>
      <x:c r="K174" s="12" t="str">
        <x:v>semantic</x:v>
      </x:c>
      <x:c r="L174" s="13" t="n">
        <x:f>IF(G174&lt;=I174,0,MAX(0,L173)+IF(E174="via",MAX(0,G174-MAX(F174,I174)),0))</x:f>
        <x:v>1.2400000000000002</x:v>
      </x:c>
    </x:row>
    <x:row r="175" ht="42" customHeight="1">
      <x:c r="A175" s="7" t="str">
        <x:v>BASE</x:v>
      </x:c>
      <x:c r="B175" s="7" t="str">
        <x:v>U13</x:v>
      </x:c>
      <x:c r="C175" s="7" t="str">
        <x:v>adopt</x:v>
      </x:c>
      <x:c r="D175" s="7" t="str">
        <x:v>현재 revision과 권한 검사 및 채택</x:v>
      </x:c>
      <x:c r="E175" s="7" t="str">
        <x:v>via</x:v>
      </x:c>
      <x:c r="F175" s="14" t="n">
        <x:v>1.2400000000000002</x:v>
      </x:c>
      <x:c r="G175" s="14" t="n">
        <x:v>1.2700000000000002</x:v>
      </x:c>
      <x:c r="H175" s="14" t="n">
        <x:v>0.03</x:v>
      </x:c>
      <x:c r="I175" s="14" t="n">
        <x:v>0</x:v>
      </x:c>
      <x:c r="J175" s="7" t="str">
        <x:v>meaning</x:v>
      </x:c>
      <x:c r="K175" s="7" t="str">
        <x:v>none</x:v>
      </x:c>
      <x:c r="L175" s="14" t="n">
        <x:f>IF(G175&lt;=I175,0,MAX(0,L174)+IF(E175="via",MAX(0,G175-MAX(F175,I175)),0))</x:f>
        <x:v>1.2700000000000002</x:v>
      </x:c>
    </x:row>
    <x:row r="176" ht="42" customHeight="1">
      <x:c r="A176" s="12" t="str">
        <x:v>BASE</x:v>
      </x:c>
      <x:c r="B176" s="12" t="str">
        <x:v>U13</x:v>
      </x:c>
      <x:c r="C176" s="12" t="str">
        <x:v>first_display</x:v>
      </x:c>
      <x:c r="D176" s="12" t="str">
        <x:v>첫 구체적 채택 내용 화면 표시</x:v>
      </x:c>
      <x:c r="E176" s="12" t="str">
        <x:v>via</x:v>
      </x:c>
      <x:c r="F176" s="13" t="n">
        <x:v>1.2700000000000002</x:v>
      </x:c>
      <x:c r="G176" s="13" t="n">
        <x:v>1.3100000000000003</x:v>
      </x:c>
      <x:c r="H176" s="13" t="n">
        <x:v>0.04</x:v>
      </x:c>
      <x:c r="I176" s="13" t="n">
        <x:v>0</x:v>
      </x:c>
      <x:c r="J176" s="12" t="str">
        <x:v>adopt</x:v>
      </x:c>
      <x:c r="K176" s="12" t="str">
        <x:v>none</x:v>
      </x:c>
      <x:c r="L176" s="13" t="n">
        <x:f>IF(G176&lt;=I176,0,MAX(0,L175)+IF(E176="via",MAX(0,G176-MAX(F176,I176)),0))</x:f>
        <x:v>1.3100000000000003</x:v>
      </x:c>
    </x:row>
    <x:row r="177" ht="42" customHeight="1">
      <x:c r="A177" s="7" t="str">
        <x:v>BASE</x:v>
      </x:c>
      <x:c r="B177" s="7" t="str">
        <x:v>U13</x:v>
      </x:c>
      <x:c r="C177" s="7" t="str">
        <x:v>agent_ingress</x:v>
      </x:c>
      <x:c r="D177" s="7" t="str">
        <x:v>Agent 요청 전송</x:v>
      </x:c>
      <x:c r="E177" s="7" t="str">
        <x:v>via</x:v>
      </x:c>
      <x:c r="F177" s="14" t="n">
        <x:v>1.2700000000000002</x:v>
      </x:c>
      <x:c r="G177" s="14" t="n">
        <x:v>1.3100000000000003</x:v>
      </x:c>
      <x:c r="H177" s="14" t="n">
        <x:v>0.04</x:v>
      </x:c>
      <x:c r="I177" s="14" t="n">
        <x:v>0</x:v>
      </x:c>
      <x:c r="J177" s="7" t="str">
        <x:v>adopt</x:v>
      </x:c>
      <x:c r="K177" s="7" t="str">
        <x:v>none</x:v>
      </x:c>
      <x:c r="L177" s="14" t="n">
        <x:f>IF(G177&lt;=I177,0,MAX(0,L175)+IF(E177="via",MAX(0,G177-MAX(F177,I177)),0))</x:f>
        <x:v>1.3100000000000003</x:v>
      </x:c>
    </x:row>
    <x:row r="178" ht="42" customHeight="1">
      <x:c r="A178" s="12" t="str">
        <x:v>BASE</x:v>
      </x:c>
      <x:c r="B178" s="12" t="str">
        <x:v>U13</x:v>
      </x:c>
      <x:c r="C178" s="12" t="str">
        <x:v>agent_result</x:v>
      </x:c>
      <x:c r="D178" s="12" t="str">
        <x:v>외부 Agent 업무</x:v>
      </x:c>
      <x:c r="E178" s="12" t="str">
        <x:v>external</x:v>
      </x:c>
      <x:c r="F178" s="13" t="n">
        <x:v>1.3100000000000003</x:v>
      </x:c>
      <x:c r="G178" s="13" t="n">
        <x:v>9.31</x:v>
      </x:c>
      <x:c r="H178" s="13" t="n">
        <x:v>8</x:v>
      </x:c>
      <x:c r="I178" s="13" t="n">
        <x:v>0</x:v>
      </x:c>
      <x:c r="J178" s="12" t="str">
        <x:v>agent_ingress</x:v>
      </x:c>
      <x:c r="K178" s="12" t="str">
        <x:v>none</x:v>
      </x:c>
      <x:c r="L178" s="13" t="n">
        <x:f>IF(G178&lt;=I178,0,MAX(0,L177)+IF(E178="via",MAX(0,G178-MAX(F178,I178)),0))</x:f>
        <x:v>1.3100000000000003</x:v>
      </x:c>
    </x:row>
    <x:row r="179" ht="42" customHeight="1">
      <x:c r="A179" s="7" t="str">
        <x:v>BASE</x:v>
      </x:c>
      <x:c r="B179" s="7" t="str">
        <x:v>U13</x:v>
      </x:c>
      <x:c r="C179" s="7" t="str">
        <x:v>result_display</x:v>
      </x:c>
      <x:c r="D179" s="7" t="str">
        <x:v>최종 결과 상세 표시</x:v>
      </x:c>
      <x:c r="E179" s="7" t="str">
        <x:v>via</x:v>
      </x:c>
      <x:c r="F179" s="14" t="n">
        <x:v>9.31</x:v>
      </x:c>
      <x:c r="G179" s="14" t="n">
        <x:v>9.35</x:v>
      </x:c>
      <x:c r="H179" s="14" t="n">
        <x:v>0.04</x:v>
      </x:c>
      <x:c r="I179" s="14" t="n">
        <x:v>0</x:v>
      </x:c>
      <x:c r="J179" s="7" t="str">
        <x:v>agent_result</x:v>
      </x:c>
      <x:c r="K179" s="7" t="str">
        <x:v>none</x:v>
      </x:c>
      <x:c r="L179" s="14" t="n">
        <x:f>IF(G179&lt;=I179,0,MAX(0,L178)+IF(E179="via",MAX(0,G179-MAX(F179,I179)),0))</x:f>
        <x:v>1.3499999999999994</x:v>
      </x:c>
    </x:row>
    <x:row r="180" ht="42" customHeight="1">
      <x:c r="A180" s="12" t="str">
        <x:v>BASE</x:v>
      </x:c>
      <x:c r="B180" s="12" t="str">
        <x:v>U13</x:v>
      </x:c>
      <x:c r="C180" s="12" t="str">
        <x:v>response_audio</x:v>
      </x:c>
      <x:c r="D180" s="12" t="str">
        <x:v>선택한 응답 음성 생성</x:v>
      </x:c>
      <x:c r="E180" s="12" t="str">
        <x:v>via</x:v>
      </x:c>
      <x:c r="F180" s="13" t="n">
        <x:v>9.31</x:v>
      </x:c>
      <x:c r="G180" s="13" t="n">
        <x:v>11.198</x:v>
      </x:c>
      <x:c r="H180" s="13" t="n">
        <x:v>1.888</x:v>
      </x:c>
      <x:c r="I180" s="13" t="n">
        <x:v>0</x:v>
      </x:c>
      <x:c r="J180" s="12" t="str">
        <x:v>agent_result</x:v>
      </x:c>
      <x:c r="K180" s="12" t="str">
        <x:v>speech</x:v>
      </x:c>
      <x:c r="L180" s="13" t="n">
        <x:f>IF(G180&lt;=I180,0,MAX(0,L178)+IF(E180="via",MAX(0,G180-MAX(F180,I180)),0))</x:f>
        <x:v>3.1980000000000004</x:v>
      </x:c>
    </x:row>
    <x:row r="181" ht="42" customHeight="1">
      <x:c r="A181" s="7" t="str">
        <x:v>BASE</x:v>
      </x:c>
      <x:c r="B181" s="7" t="str">
        <x:v>U13</x:v>
      </x:c>
      <x:c r="C181" s="7" t="str">
        <x:v>intent_audio</x:v>
      </x:c>
      <x:c r="D181" s="7" t="str">
        <x:v>채택한 구체적 수행 의도의 짧은 음성</x:v>
      </x:c>
      <x:c r="E181" s="7" t="str">
        <x:v>via</x:v>
      </x:c>
      <x:c r="F181" s="14" t="n">
        <x:v>1.2700000000000002</x:v>
      </x:c>
      <x:c r="G181" s="14" t="n">
        <x:v>2.404</x:v>
      </x:c>
      <x:c r="H181" s="14" t="n">
        <x:v>1.134</x:v>
      </x:c>
      <x:c r="I181" s="14" t="n">
        <x:v>0</x:v>
      </x:c>
      <x:c r="J181" s="7" t="str">
        <x:v>adopt</x:v>
      </x:c>
      <x:c r="K181" s="7" t="str">
        <x:v>speech</x:v>
      </x:c>
      <x:c r="L181" s="14" t="n">
        <x:f>IF(G181&lt;=I181,0,MAX(0,L175)+IF(E181="via",MAX(0,G181-MAX(F181,I181)),0))</x:f>
        <x:v>2.404</x:v>
      </x:c>
    </x:row>
    <x:row r="182" ht="42" customHeight="1">
      <x:c r="A182" s="12" t="str">
        <x:v>BASE</x:v>
      </x:c>
      <x:c r="B182" s="12" t="str">
        <x:v>U13</x:v>
      </x:c>
      <x:c r="C182" s="12" t="str">
        <x:v>first_chunk</x:v>
      </x:c>
      <x:c r="D182" s="12" t="str">
        <x:v>같은 생성 job의 유효 첫 chunk 관측</x:v>
      </x:c>
      <x:c r="E182" s="12" t="str">
        <x:v>via</x:v>
      </x:c>
      <x:c r="F182" s="13" t="n">
        <x:v>1.2700000000000002</x:v>
      </x:c>
      <x:c r="G182" s="13" t="n">
        <x:v>1.7040000000000002</x:v>
      </x:c>
      <x:c r="H182" s="13" t="n">
        <x:v>0.434</x:v>
      </x:c>
      <x:c r="I182" s="13" t="n">
        <x:v>0</x:v>
      </x:c>
      <x:c r="J182" s="12" t="str">
        <x:v>adopt</x:v>
      </x:c>
      <x:c r="K182" s="12" t="str">
        <x:v>none</x:v>
      </x:c>
      <x:c r="L182" s="13" t="n">
        <x:f>IF(G182&lt;=I182,0,MAX(0,L175)+IF(E182="via",MAX(0,G182-MAX(F182,I182)),0))</x:f>
        <x:v>1.7040000000000002</x:v>
      </x:c>
    </x:row>
    <x:row r="183" ht="42" customHeight="1">
      <x:c r="A183" s="7" t="str">
        <x:v>BASE</x:v>
      </x:c>
      <x:c r="B183" s="7" t="str">
        <x:v>U13</x:v>
      </x:c>
      <x:c r="C183" s="7" t="str">
        <x:v>first_audio_output</x:v>
      </x:c>
      <x:c r="D183" s="7" t="str">
        <x:v>공통 장치의 첫 음성 출력</x:v>
      </x:c>
      <x:c r="E183" s="7" t="str">
        <x:v>via</x:v>
      </x:c>
      <x:c r="F183" s="14" t="n">
        <x:v>1.7040000000000002</x:v>
      </x:c>
      <x:c r="G183" s="14" t="n">
        <x:v>1.7440000000000002</x:v>
      </x:c>
      <x:c r="H183" s="14" t="n">
        <x:v>0.04</x:v>
      </x:c>
      <x:c r="I183" s="14" t="n">
        <x:v>0</x:v>
      </x:c>
      <x:c r="J183" s="7" t="str">
        <x:v>adopt, first_chunk</x:v>
      </x:c>
      <x:c r="K183" s="7" t="str">
        <x:v>none</x:v>
      </x:c>
      <x:c r="L183" s="14" t="n">
        <x:f>IF(G183&lt;=I183,0,MAX(0,L175,L182)+IF(E183="via",MAX(0,G183-MAX(F183,I183)),0))</x:f>
        <x:v>1.7440000000000002</x:v>
      </x:c>
    </x:row>
    <x:row r="184" ht="42" customHeight="1">
      <x:c r="A184" s="12" t="str">
        <x:v>BASE</x:v>
      </x:c>
      <x:c r="B184" s="12" t="str">
        <x:v>U13</x:v>
      </x:c>
      <x:c r="C184" s="12" t="str">
        <x:v>next_speech_selection</x:v>
      </x:c>
      <x:c r="D184" s="12" t="str">
        <x:v>현재 발화 재생 후 다음 응답 선택</x:v>
      </x:c>
      <x:c r="E184" s="12" t="str">
        <x:v>external</x:v>
      </x:c>
      <x:c r="F184" s="13" t="n">
        <x:v>1.7440000000000002</x:v>
      </x:c>
      <x:c r="G184" s="13" t="n">
        <x:v>4.744</x:v>
      </x:c>
      <x:c r="H184" s="13" t="n">
        <x:v>3</x:v>
      </x:c>
      <x:c r="I184" s="13" t="n">
        <x:v>0</x:v>
      </x:c>
      <x:c r="J184" s="12" t="str">
        <x:v>first_audio_output</x:v>
      </x:c>
      <x:c r="K184" s="12" t="str">
        <x:v>none</x:v>
      </x:c>
      <x:c r="L184" s="13" t="n">
        <x:f>IF(G184&lt;=I184,0,MAX(0,L183)+IF(E184="via",MAX(0,G184-MAX(F184,I184)),0))</x:f>
        <x:v>1.7440000000000002</x:v>
      </x:c>
    </x:row>
    <x:row r="185" ht="42" customHeight="1">
      <x:c r="A185" s="7" t="str">
        <x:v>BASE</x:v>
      </x:c>
      <x:c r="B185" s="7" t="str">
        <x:v>U13</x:v>
      </x:c>
      <x:c r="C185" s="7" t="str">
        <x:v>terminal</x:v>
      </x:c>
      <x:c r="D185" s="7" t="str">
        <x:v>공통 목표 최종 상태와 전체 음성 준비</x:v>
      </x:c>
      <x:c r="E185" s="7" t="str">
        <x:v>via</x:v>
      </x:c>
      <x:c r="F185" s="14" t="n">
        <x:v>11.198</x:v>
      </x:c>
      <x:c r="G185" s="14" t="n">
        <x:v>11.198</x:v>
      </x:c>
      <x:c r="H185" s="14" t="n">
        <x:v>0</x:v>
      </x:c>
      <x:c r="I185" s="14" t="n">
        <x:v>0</x:v>
      </x:c>
      <x:c r="J185" s="7" t="str">
        <x:v>result_display, response_audio, intent_audio, first_audio_output</x:v>
      </x:c>
      <x:c r="K185" s="7" t="str">
        <x:v>none</x:v>
      </x:c>
      <x:c r="L185" s="14" t="n">
        <x:f>IF(G185&lt;=I185,0,MAX(0,L179,L180,L181,L183)+IF(E185="via",MAX(0,G185-MAX(F185,I185)),0))</x:f>
        <x:v>3.1980000000000004</x:v>
      </x:c>
    </x:row>
    <x:row r="186" ht="42" customHeight="1">
      <x:c r="A186" s="12" t="str">
        <x:v>BASE</x:v>
      </x:c>
      <x:c r="B186" s="12" t="str">
        <x:v>U14</x:v>
      </x:c>
      <x:c r="C186" s="12" t="str">
        <x:v>input_end</x:v>
      </x:c>
      <x:c r="D186" s="12" t="str">
        <x:v>사용자 입력 종료</x:v>
      </x:c>
      <x:c r="E186" s="12" t="str">
        <x:v>external</x:v>
      </x:c>
      <x:c r="F186" s="13" t="n">
        <x:v>0</x:v>
      </x:c>
      <x:c r="G186" s="13" t="n">
        <x:v>0</x:v>
      </x:c>
      <x:c r="H186" s="13" t="n">
        <x:v>0</x:v>
      </x:c>
      <x:c r="I186" s="13" t="n">
        <x:v>0</x:v>
      </x:c>
      <x:c r="J186" s="12" t="str"/>
      <x:c r="K186" s="12" t="str">
        <x:v>none</x:v>
      </x:c>
      <x:c r="L186" s="13" t="n">
        <x:f>IF(G186&lt;=I186,0,MAX(0)+IF(E186="via",MAX(0,G186-MAX(F186,I186)),0))</x:f>
        <x:v>0</x:v>
      </x:c>
    </x:row>
    <x:row r="187" ht="42" customHeight="1">
      <x:c r="A187" s="7" t="str">
        <x:v>BASE</x:v>
      </x:c>
      <x:c r="B187" s="7" t="str">
        <x:v>U14</x:v>
      </x:c>
      <x:c r="C187" s="7" t="str">
        <x:v>intake</x:v>
      </x:c>
      <x:c r="D187" s="7" t="str">
        <x:v>입력 확정</x:v>
      </x:c>
      <x:c r="E187" s="7" t="str">
        <x:v>via</x:v>
      </x:c>
      <x:c r="F187" s="14" t="n">
        <x:v>0</x:v>
      </x:c>
      <x:c r="G187" s="14" t="n">
        <x:v>0.3</x:v>
      </x:c>
      <x:c r="H187" s="14" t="n">
        <x:v>0.3</x:v>
      </x:c>
      <x:c r="I187" s="14" t="n">
        <x:v>0</x:v>
      </x:c>
      <x:c r="J187" s="7" t="str">
        <x:v>input_end</x:v>
      </x:c>
      <x:c r="K187" s="7" t="str">
        <x:v>none</x:v>
      </x:c>
      <x:c r="L187" s="14" t="n">
        <x:f>IF(G187&lt;=I187,0,MAX(0,L186)+IF(E187="via",MAX(0,G187-MAX(F187,I187)),0))</x:f>
        <x:v>0.3</x:v>
      </x:c>
    </x:row>
    <x:row r="188" ht="42" customHeight="1">
      <x:c r="A188" s="12" t="str">
        <x:v>BASE</x:v>
      </x:c>
      <x:c r="B188" s="12" t="str">
        <x:v>U14</x:v>
      </x:c>
      <x:c r="C188" s="12" t="str">
        <x:v>read</x:v>
      </x:c>
      <x:c r="D188" s="12" t="str">
        <x:v>공통 허용 원본 조회</x:v>
      </x:c>
      <x:c r="E188" s="12" t="str">
        <x:v>via</x:v>
      </x:c>
      <x:c r="F188" s="13" t="n">
        <x:v>0.3</x:v>
      </x:c>
      <x:c r="G188" s="13" t="n">
        <x:v>0.38</x:v>
      </x:c>
      <x:c r="H188" s="13" t="n">
        <x:v>0.08</x:v>
      </x:c>
      <x:c r="I188" s="13" t="n">
        <x:v>0</x:v>
      </x:c>
      <x:c r="J188" s="12" t="str">
        <x:v>intake</x:v>
      </x:c>
      <x:c r="K188" s="12" t="str">
        <x:v>none</x:v>
      </x:c>
      <x:c r="L188" s="13" t="n">
        <x:f>IF(G188&lt;=I188,0,MAX(0,L187)+IF(E188="via",MAX(0,G188-MAX(F188,I188)),0))</x:f>
        <x:v>0.38</x:v>
      </x:c>
    </x:row>
    <x:row r="189" ht="42" customHeight="1">
      <x:c r="A189" s="7" t="str">
        <x:v>BASE</x:v>
      </x:c>
      <x:c r="B189" s="7" t="str">
        <x:v>U14</x:v>
      </x:c>
      <x:c r="C189" s="7" t="str">
        <x:v>meaning</x:v>
      </x:c>
      <x:c r="D189" s="7" t="str">
        <x:v>최초 요청 의미 채택 packet 생성</x:v>
      </x:c>
      <x:c r="E189" s="7" t="str">
        <x:v>via</x:v>
      </x:c>
      <x:c r="F189" s="14" t="n">
        <x:v>0.38</x:v>
      </x:c>
      <x:c r="G189" s="14" t="n">
        <x:v>1.88</x:v>
      </x:c>
      <x:c r="H189" s="14" t="n">
        <x:v>1.5</x:v>
      </x:c>
      <x:c r="I189" s="14" t="n">
        <x:v>0</x:v>
      </x:c>
      <x:c r="J189" s="7" t="str">
        <x:v>read</x:v>
      </x:c>
      <x:c r="K189" s="7" t="str">
        <x:v>semantic</x:v>
      </x:c>
      <x:c r="L189" s="14" t="n">
        <x:f>IF(G189&lt;=I189,0,MAX(0,L188)+IF(E189="via",MAX(0,G189-MAX(F189,I189)),0))</x:f>
        <x:v>1.88</x:v>
      </x:c>
    </x:row>
    <x:row r="190" ht="42" customHeight="1">
      <x:c r="A190" s="12" t="str">
        <x:v>BASE</x:v>
      </x:c>
      <x:c r="B190" s="12" t="str">
        <x:v>U14</x:v>
      </x:c>
      <x:c r="C190" s="12" t="str">
        <x:v>adopt</x:v>
      </x:c>
      <x:c r="D190" s="12" t="str">
        <x:v>현재 revision과 권한 검사 및 채택</x:v>
      </x:c>
      <x:c r="E190" s="12" t="str">
        <x:v>via</x:v>
      </x:c>
      <x:c r="F190" s="13" t="n">
        <x:v>1.88</x:v>
      </x:c>
      <x:c r="G190" s="13" t="n">
        <x:v>1.91</x:v>
      </x:c>
      <x:c r="H190" s="13" t="n">
        <x:v>0.03</x:v>
      </x:c>
      <x:c r="I190" s="13" t="n">
        <x:v>0</x:v>
      </x:c>
      <x:c r="J190" s="12" t="str">
        <x:v>meaning</x:v>
      </x:c>
      <x:c r="K190" s="12" t="str">
        <x:v>none</x:v>
      </x:c>
      <x:c r="L190" s="13" t="n">
        <x:f>IF(G190&lt;=I190,0,MAX(0,L189)+IF(E190="via",MAX(0,G190-MAX(F190,I190)),0))</x:f>
        <x:v>1.91</x:v>
      </x:c>
    </x:row>
    <x:row r="191" ht="42" customHeight="1">
      <x:c r="A191" s="7" t="str">
        <x:v>BASE</x:v>
      </x:c>
      <x:c r="B191" s="7" t="str">
        <x:v>U14</x:v>
      </x:c>
      <x:c r="C191" s="7" t="str">
        <x:v>first_display</x:v>
      </x:c>
      <x:c r="D191" s="7" t="str">
        <x:v>첫 구체적 채택 내용 화면 표시</x:v>
      </x:c>
      <x:c r="E191" s="7" t="str">
        <x:v>via</x:v>
      </x:c>
      <x:c r="F191" s="14" t="n">
        <x:v>1.91</x:v>
      </x:c>
      <x:c r="G191" s="14" t="n">
        <x:v>1.95</x:v>
      </x:c>
      <x:c r="H191" s="14" t="n">
        <x:v>0.04</x:v>
      </x:c>
      <x:c r="I191" s="14" t="n">
        <x:v>0</x:v>
      </x:c>
      <x:c r="J191" s="7" t="str">
        <x:v>adopt</x:v>
      </x:c>
      <x:c r="K191" s="7" t="str">
        <x:v>none</x:v>
      </x:c>
      <x:c r="L191" s="14" t="n">
        <x:f>IF(G191&lt;=I191,0,MAX(0,L190)+IF(E191="via",MAX(0,G191-MAX(F191,I191)),0))</x:f>
        <x:v>1.95</x:v>
      </x:c>
    </x:row>
    <x:row r="192" ht="42" customHeight="1">
      <x:c r="A192" s="12" t="str">
        <x:v>BASE</x:v>
      </x:c>
      <x:c r="B192" s="12" t="str">
        <x:v>U14</x:v>
      </x:c>
      <x:c r="C192" s="12" t="str">
        <x:v>agent_ingress</x:v>
      </x:c>
      <x:c r="D192" s="12" t="str">
        <x:v>Agent 요청 전송</x:v>
      </x:c>
      <x:c r="E192" s="12" t="str">
        <x:v>via</x:v>
      </x:c>
      <x:c r="F192" s="13" t="n">
        <x:v>1.91</x:v>
      </x:c>
      <x:c r="G192" s="13" t="n">
        <x:v>1.95</x:v>
      </x:c>
      <x:c r="H192" s="13" t="n">
        <x:v>0.04</x:v>
      </x:c>
      <x:c r="I192" s="13" t="n">
        <x:v>0</x:v>
      </x:c>
      <x:c r="J192" s="12" t="str">
        <x:v>adopt</x:v>
      </x:c>
      <x:c r="K192" s="12" t="str">
        <x:v>none</x:v>
      </x:c>
      <x:c r="L192" s="13" t="n">
        <x:f>IF(G192&lt;=I192,0,MAX(0,L190)+IF(E192="via",MAX(0,G192-MAX(F192,I192)),0))</x:f>
        <x:v>1.95</x:v>
      </x:c>
    </x:row>
    <x:row r="193" ht="42" customHeight="1">
      <x:c r="A193" s="7" t="str">
        <x:v>BASE</x:v>
      </x:c>
      <x:c r="B193" s="7" t="str">
        <x:v>U14</x:v>
      </x:c>
      <x:c r="C193" s="7" t="str">
        <x:v>agent_result</x:v>
      </x:c>
      <x:c r="D193" s="7" t="str">
        <x:v>외부 Agent 업무</x:v>
      </x:c>
      <x:c r="E193" s="7" t="str">
        <x:v>external</x:v>
      </x:c>
      <x:c r="F193" s="14" t="n">
        <x:v>1.95</x:v>
      </x:c>
      <x:c r="G193" s="14" t="n">
        <x:v>9.95</x:v>
      </x:c>
      <x:c r="H193" s="14" t="n">
        <x:v>8</x:v>
      </x:c>
      <x:c r="I193" s="14" t="n">
        <x:v>0</x:v>
      </x:c>
      <x:c r="J193" s="7" t="str">
        <x:v>agent_ingress</x:v>
      </x:c>
      <x:c r="K193" s="7" t="str">
        <x:v>none</x:v>
      </x:c>
      <x:c r="L193" s="14" t="n">
        <x:f>IF(G193&lt;=I193,0,MAX(0,L192)+IF(E193="via",MAX(0,G193-MAX(F193,I193)),0))</x:f>
        <x:v>1.95</x:v>
      </x:c>
    </x:row>
    <x:row r="194" ht="42" customHeight="1">
      <x:c r="A194" s="12" t="str">
        <x:v>BASE</x:v>
      </x:c>
      <x:c r="B194" s="12" t="str">
        <x:v>U14</x:v>
      </x:c>
      <x:c r="C194" s="12" t="str">
        <x:v>result_display</x:v>
      </x:c>
      <x:c r="D194" s="12" t="str">
        <x:v>최종 결과 상세 표시</x:v>
      </x:c>
      <x:c r="E194" s="12" t="str">
        <x:v>via</x:v>
      </x:c>
      <x:c r="F194" s="13" t="n">
        <x:v>9.95</x:v>
      </x:c>
      <x:c r="G194" s="13" t="n">
        <x:v>9.989999999999998</x:v>
      </x:c>
      <x:c r="H194" s="13" t="n">
        <x:v>0.04</x:v>
      </x:c>
      <x:c r="I194" s="13" t="n">
        <x:v>0</x:v>
      </x:c>
      <x:c r="J194" s="12" t="str">
        <x:v>agent_result</x:v>
      </x:c>
      <x:c r="K194" s="12" t="str">
        <x:v>none</x:v>
      </x:c>
      <x:c r="L194" s="13" t="n">
        <x:f>IF(G194&lt;=I194,0,MAX(0,L193)+IF(E194="via",MAX(0,G194-MAX(F194,I194)),0))</x:f>
        <x:v>1.989999999999999</x:v>
      </x:c>
    </x:row>
    <x:row r="195" ht="42" customHeight="1">
      <x:c r="A195" s="7" t="str">
        <x:v>BASE</x:v>
      </x:c>
      <x:c r="B195" s="7" t="str">
        <x:v>U14</x:v>
      </x:c>
      <x:c r="C195" s="7" t="str">
        <x:v>response_audio</x:v>
      </x:c>
      <x:c r="D195" s="7" t="str">
        <x:v>선택한 응답 음성 생성</x:v>
      </x:c>
      <x:c r="E195" s="7" t="str">
        <x:v>via</x:v>
      </x:c>
      <x:c r="F195" s="14" t="n">
        <x:v>9.95</x:v>
      </x:c>
      <x:c r="G195" s="14" t="n">
        <x:v>11.838</x:v>
      </x:c>
      <x:c r="H195" s="14" t="n">
        <x:v>1.888</x:v>
      </x:c>
      <x:c r="I195" s="14" t="n">
        <x:v>0</x:v>
      </x:c>
      <x:c r="J195" s="7" t="str">
        <x:v>agent_result</x:v>
      </x:c>
      <x:c r="K195" s="7" t="str">
        <x:v>speech</x:v>
      </x:c>
      <x:c r="L195" s="14" t="n">
        <x:f>IF(G195&lt;=I195,0,MAX(0,L193)+IF(E195="via",MAX(0,G195-MAX(F195,I195)),0))</x:f>
        <x:v>3.838</x:v>
      </x:c>
    </x:row>
    <x:row r="196" ht="42" customHeight="1">
      <x:c r="A196" s="12" t="str">
        <x:v>BASE</x:v>
      </x:c>
      <x:c r="B196" s="12" t="str">
        <x:v>U14</x:v>
      </x:c>
      <x:c r="C196" s="12" t="str">
        <x:v>intent_audio</x:v>
      </x:c>
      <x:c r="D196" s="12" t="str">
        <x:v>채택한 구체적 수행 의도의 짧은 음성</x:v>
      </x:c>
      <x:c r="E196" s="12" t="str">
        <x:v>via</x:v>
      </x:c>
      <x:c r="F196" s="13" t="n">
        <x:v>1.91</x:v>
      </x:c>
      <x:c r="G196" s="13" t="n">
        <x:v>3.0439999999999996</x:v>
      </x:c>
      <x:c r="H196" s="13" t="n">
        <x:v>1.134</x:v>
      </x:c>
      <x:c r="I196" s="13" t="n">
        <x:v>0</x:v>
      </x:c>
      <x:c r="J196" s="12" t="str">
        <x:v>adopt</x:v>
      </x:c>
      <x:c r="K196" s="12" t="str">
        <x:v>speech</x:v>
      </x:c>
      <x:c r="L196" s="13" t="n">
        <x:f>IF(G196&lt;=I196,0,MAX(0,L190)+IF(E196="via",MAX(0,G196-MAX(F196,I196)),0))</x:f>
        <x:v>3.0439999999999996</x:v>
      </x:c>
    </x:row>
    <x:row r="197" ht="42" customHeight="1">
      <x:c r="A197" s="7" t="str">
        <x:v>BASE</x:v>
      </x:c>
      <x:c r="B197" s="7" t="str">
        <x:v>U14</x:v>
      </x:c>
      <x:c r="C197" s="7" t="str">
        <x:v>first_chunk</x:v>
      </x:c>
      <x:c r="D197" s="7" t="str">
        <x:v>같은 생성 job의 유효 첫 chunk 관측</x:v>
      </x:c>
      <x:c r="E197" s="7" t="str">
        <x:v>via</x:v>
      </x:c>
      <x:c r="F197" s="14" t="n">
        <x:v>1.91</x:v>
      </x:c>
      <x:c r="G197" s="14" t="n">
        <x:v>2.344</x:v>
      </x:c>
      <x:c r="H197" s="14" t="n">
        <x:v>0.434</x:v>
      </x:c>
      <x:c r="I197" s="14" t="n">
        <x:v>0</x:v>
      </x:c>
      <x:c r="J197" s="7" t="str">
        <x:v>adopt</x:v>
      </x:c>
      <x:c r="K197" s="7" t="str">
        <x:v>none</x:v>
      </x:c>
      <x:c r="L197" s="14" t="n">
        <x:f>IF(G197&lt;=I197,0,MAX(0,L190)+IF(E197="via",MAX(0,G197-MAX(F197,I197)),0))</x:f>
        <x:v>2.344</x:v>
      </x:c>
    </x:row>
    <x:row r="198" ht="42" customHeight="1">
      <x:c r="A198" s="12" t="str">
        <x:v>BASE</x:v>
      </x:c>
      <x:c r="B198" s="12" t="str">
        <x:v>U14</x:v>
      </x:c>
      <x:c r="C198" s="12" t="str">
        <x:v>first_audio_output</x:v>
      </x:c>
      <x:c r="D198" s="12" t="str">
        <x:v>공통 장치의 첫 음성 출력</x:v>
      </x:c>
      <x:c r="E198" s="12" t="str">
        <x:v>via</x:v>
      </x:c>
      <x:c r="F198" s="13" t="n">
        <x:v>2.344</x:v>
      </x:c>
      <x:c r="G198" s="13" t="n">
        <x:v>2.384</x:v>
      </x:c>
      <x:c r="H198" s="13" t="n">
        <x:v>0.04</x:v>
      </x:c>
      <x:c r="I198" s="13" t="n">
        <x:v>0</x:v>
      </x:c>
      <x:c r="J198" s="12" t="str">
        <x:v>adopt, first_chunk</x:v>
      </x:c>
      <x:c r="K198" s="12" t="str">
        <x:v>none</x:v>
      </x:c>
      <x:c r="L198" s="13" t="n">
        <x:f>IF(G198&lt;=I198,0,MAX(0,L190,L197)+IF(E198="via",MAX(0,G198-MAX(F198,I198)),0))</x:f>
        <x:v>2.384</x:v>
      </x:c>
    </x:row>
    <x:row r="199" ht="42" customHeight="1">
      <x:c r="A199" s="7" t="str">
        <x:v>BASE</x:v>
      </x:c>
      <x:c r="B199" s="7" t="str">
        <x:v>U14</x:v>
      </x:c>
      <x:c r="C199" s="7" t="str">
        <x:v>next_speech_selection</x:v>
      </x:c>
      <x:c r="D199" s="7" t="str">
        <x:v>현재 발화 재생 후 다음 응답 선택</x:v>
      </x:c>
      <x:c r="E199" s="7" t="str">
        <x:v>external</x:v>
      </x:c>
      <x:c r="F199" s="14" t="n">
        <x:v>2.384</x:v>
      </x:c>
      <x:c r="G199" s="14" t="n">
        <x:v>5.384</x:v>
      </x:c>
      <x:c r="H199" s="14" t="n">
        <x:v>3</x:v>
      </x:c>
      <x:c r="I199" s="14" t="n">
        <x:v>0</x:v>
      </x:c>
      <x:c r="J199" s="7" t="str">
        <x:v>first_audio_output</x:v>
      </x:c>
      <x:c r="K199" s="7" t="str">
        <x:v>none</x:v>
      </x:c>
      <x:c r="L199" s="14" t="n">
        <x:f>IF(G199&lt;=I199,0,MAX(0,L198)+IF(E199="via",MAX(0,G199-MAX(F199,I199)),0))</x:f>
        <x:v>2.384</x:v>
      </x:c>
    </x:row>
    <x:row r="200" ht="42" customHeight="1">
      <x:c r="A200" s="12" t="str">
        <x:v>BASE</x:v>
      </x:c>
      <x:c r="B200" s="12" t="str">
        <x:v>U14</x:v>
      </x:c>
      <x:c r="C200" s="12" t="str">
        <x:v>terminal</x:v>
      </x:c>
      <x:c r="D200" s="12" t="str">
        <x:v>공통 목표 최종 상태와 전체 음성 준비</x:v>
      </x:c>
      <x:c r="E200" s="12" t="str">
        <x:v>via</x:v>
      </x:c>
      <x:c r="F200" s="13" t="n">
        <x:v>11.838</x:v>
      </x:c>
      <x:c r="G200" s="13" t="n">
        <x:v>11.838</x:v>
      </x:c>
      <x:c r="H200" s="13" t="n">
        <x:v>0</x:v>
      </x:c>
      <x:c r="I200" s="13" t="n">
        <x:v>0</x:v>
      </x:c>
      <x:c r="J200" s="12" t="str">
        <x:v>result_display, response_audio, intent_audio, first_audio_output</x:v>
      </x:c>
      <x:c r="K200" s="12" t="str">
        <x:v>none</x:v>
      </x:c>
      <x:c r="L200" s="13" t="n">
        <x:f>IF(G200&lt;=I200,0,MAX(0,L194,L195,L196,L198)+IF(E200="via",MAX(0,G200-MAX(F200,I200)),0))</x:f>
        <x:v>3.838</x:v>
      </x:c>
    </x:row>
    <x:row r="201" ht="42" customHeight="1">
      <x:c r="A201" s="7" t="str">
        <x:v>BASE</x:v>
      </x:c>
      <x:c r="B201" s="7" t="str">
        <x:v>U15</x:v>
      </x:c>
      <x:c r="C201" s="7" t="str">
        <x:v>input_end</x:v>
      </x:c>
      <x:c r="D201" s="7" t="str">
        <x:v>사용자 입력 종료</x:v>
      </x:c>
      <x:c r="E201" s="7" t="str">
        <x:v>external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7" t="str"/>
      <x:c r="K201" s="7" t="str">
        <x:v>none</x:v>
      </x:c>
      <x:c r="L201" s="14" t="n">
        <x:f>IF(G201&lt;=I201,0,MAX(0)+IF(E201="via",MAX(0,G201-MAX(F201,I201)),0))</x:f>
        <x:v>0</x:v>
      </x:c>
    </x:row>
    <x:row r="202" ht="42" customHeight="1">
      <x:c r="A202" s="12" t="str">
        <x:v>BASE</x:v>
      </x:c>
      <x:c r="B202" s="12" t="str">
        <x:v>U15</x:v>
      </x:c>
      <x:c r="C202" s="12" t="str">
        <x:v>intake</x:v>
      </x:c>
      <x:c r="D202" s="12" t="str">
        <x:v>입력 확정</x:v>
      </x:c>
      <x:c r="E202" s="12" t="str">
        <x:v>via</x:v>
      </x:c>
      <x:c r="F202" s="13" t="n">
        <x:v>0</x:v>
      </x:c>
      <x:c r="G202" s="13" t="n">
        <x:v>0.06</x:v>
      </x:c>
      <x:c r="H202" s="13" t="n">
        <x:v>0.06</x:v>
      </x:c>
      <x:c r="I202" s="13" t="n">
        <x:v>0</x:v>
      </x:c>
      <x:c r="J202" s="12" t="str">
        <x:v>input_end</x:v>
      </x:c>
      <x:c r="K202" s="12" t="str">
        <x:v>none</x:v>
      </x:c>
      <x:c r="L202" s="13" t="n">
        <x:f>IF(G202&lt;=I202,0,MAX(0,L201)+IF(E202="via",MAX(0,G202-MAX(F202,I202)),0))</x:f>
        <x:v>0.06</x:v>
      </x:c>
    </x:row>
    <x:row r="203" ht="42" customHeight="1">
      <x:c r="A203" s="7" t="str">
        <x:v>BASE</x:v>
      </x:c>
      <x:c r="B203" s="7" t="str">
        <x:v>U15</x:v>
      </x:c>
      <x:c r="C203" s="7" t="str">
        <x:v>read</x:v>
      </x:c>
      <x:c r="D203" s="7" t="str">
        <x:v>공통 허용 원본 조회</x:v>
      </x:c>
      <x:c r="E203" s="7" t="str">
        <x:v>via</x:v>
      </x:c>
      <x:c r="F203" s="14" t="n">
        <x:v>0.06</x:v>
      </x:c>
      <x:c r="G203" s="14" t="n">
        <x:v>0.14</x:v>
      </x:c>
      <x:c r="H203" s="14" t="n">
        <x:v>0.08</x:v>
      </x:c>
      <x:c r="I203" s="14" t="n">
        <x:v>0</x:v>
      </x:c>
      <x:c r="J203" s="7" t="str">
        <x:v>intake</x:v>
      </x:c>
      <x:c r="K203" s="7" t="str">
        <x:v>none</x:v>
      </x:c>
      <x:c r="L203" s="14" t="n">
        <x:f>IF(G203&lt;=I203,0,MAX(0,L202)+IF(E203="via",MAX(0,G203-MAX(F203,I203)),0))</x:f>
        <x:v>0.14</x:v>
      </x:c>
    </x:row>
    <x:row r="204" ht="42" customHeight="1">
      <x:c r="A204" s="12" t="str">
        <x:v>BASE</x:v>
      </x:c>
      <x:c r="B204" s="12" t="str">
        <x:v>U15</x:v>
      </x:c>
      <x:c r="C204" s="12" t="str">
        <x:v>meaning</x:v>
      </x:c>
      <x:c r="D204" s="12" t="str">
        <x:v>최초 요청 의미 채택 packet 생성</x:v>
      </x:c>
      <x:c r="E204" s="12" t="str">
        <x:v>via</x:v>
      </x:c>
      <x:c r="F204" s="13" t="n">
        <x:v>0.14</x:v>
      </x:c>
      <x:c r="G204" s="13" t="n">
        <x:v>1.2400000000000002</x:v>
      </x:c>
      <x:c r="H204" s="13" t="n">
        <x:v>1.1</x:v>
      </x:c>
      <x:c r="I204" s="13" t="n">
        <x:v>0</x:v>
      </x:c>
      <x:c r="J204" s="12" t="str">
        <x:v>read</x:v>
      </x:c>
      <x:c r="K204" s="12" t="str">
        <x:v>semantic</x:v>
      </x:c>
      <x:c r="L204" s="13" t="n">
        <x:f>IF(G204&lt;=I204,0,MAX(0,L203)+IF(E204="via",MAX(0,G204-MAX(F204,I204)),0))</x:f>
        <x:v>1.2400000000000002</x:v>
      </x:c>
    </x:row>
    <x:row r="205" ht="42" customHeight="1">
      <x:c r="A205" s="7" t="str">
        <x:v>BASE</x:v>
      </x:c>
      <x:c r="B205" s="7" t="str">
        <x:v>U15</x:v>
      </x:c>
      <x:c r="C205" s="7" t="str">
        <x:v>adopt</x:v>
      </x:c>
      <x:c r="D205" s="7" t="str">
        <x:v>현재 revision과 권한 검사 및 채택</x:v>
      </x:c>
      <x:c r="E205" s="7" t="str">
        <x:v>via</x:v>
      </x:c>
      <x:c r="F205" s="14" t="n">
        <x:v>1.2400000000000002</x:v>
      </x:c>
      <x:c r="G205" s="14" t="n">
        <x:v>1.2700000000000002</x:v>
      </x:c>
      <x:c r="H205" s="14" t="n">
        <x:v>0.03</x:v>
      </x:c>
      <x:c r="I205" s="14" t="n">
        <x:v>0</x:v>
      </x:c>
      <x:c r="J205" s="7" t="str">
        <x:v>meaning</x:v>
      </x:c>
      <x:c r="K205" s="7" t="str">
        <x:v>none</x:v>
      </x:c>
      <x:c r="L205" s="14" t="n">
        <x:f>IF(G205&lt;=I205,0,MAX(0,L204)+IF(E205="via",MAX(0,G205-MAX(F205,I205)),0))</x:f>
        <x:v>1.2700000000000002</x:v>
      </x:c>
    </x:row>
    <x:row r="206" ht="42" customHeight="1">
      <x:c r="A206" s="12" t="str">
        <x:v>BASE</x:v>
      </x:c>
      <x:c r="B206" s="12" t="str">
        <x:v>U15</x:v>
      </x:c>
      <x:c r="C206" s="12" t="str">
        <x:v>first_display</x:v>
      </x:c>
      <x:c r="D206" s="12" t="str">
        <x:v>첫 구체적 채택 내용 화면 표시</x:v>
      </x:c>
      <x:c r="E206" s="12" t="str">
        <x:v>via</x:v>
      </x:c>
      <x:c r="F206" s="13" t="n">
        <x:v>1.2700000000000002</x:v>
      </x:c>
      <x:c r="G206" s="13" t="n">
        <x:v>1.3100000000000003</x:v>
      </x:c>
      <x:c r="H206" s="13" t="n">
        <x:v>0.04</x:v>
      </x:c>
      <x:c r="I206" s="13" t="n">
        <x:v>0</x:v>
      </x:c>
      <x:c r="J206" s="12" t="str">
        <x:v>adopt</x:v>
      </x:c>
      <x:c r="K206" s="12" t="str">
        <x:v>none</x:v>
      </x:c>
      <x:c r="L206" s="13" t="n">
        <x:f>IF(G206&lt;=I206,0,MAX(0,L205)+IF(E206="via",MAX(0,G206-MAX(F206,I206)),0))</x:f>
        <x:v>1.3100000000000003</x:v>
      </x:c>
    </x:row>
    <x:row r="207" ht="42" customHeight="1">
      <x:c r="A207" s="7" t="str">
        <x:v>BASE</x:v>
      </x:c>
      <x:c r="B207" s="7" t="str">
        <x:v>U15</x:v>
      </x:c>
      <x:c r="C207" s="7" t="str">
        <x:v>agent_ingress</x:v>
      </x:c>
      <x:c r="D207" s="7" t="str">
        <x:v>Agent 요청 전송</x:v>
      </x:c>
      <x:c r="E207" s="7" t="str">
        <x:v>via</x:v>
      </x:c>
      <x:c r="F207" s="14" t="n">
        <x:v>1.2700000000000002</x:v>
      </x:c>
      <x:c r="G207" s="14" t="n">
        <x:v>1.3100000000000003</x:v>
      </x:c>
      <x:c r="H207" s="14" t="n">
        <x:v>0.04</x:v>
      </x:c>
      <x:c r="I207" s="14" t="n">
        <x:v>0</x:v>
      </x:c>
      <x:c r="J207" s="7" t="str">
        <x:v>adopt</x:v>
      </x:c>
      <x:c r="K207" s="7" t="str">
        <x:v>none</x:v>
      </x:c>
      <x:c r="L207" s="14" t="n">
        <x:f>IF(G207&lt;=I207,0,MAX(0,L205)+IF(E207="via",MAX(0,G207-MAX(F207,I207)),0))</x:f>
        <x:v>1.3100000000000003</x:v>
      </x:c>
    </x:row>
    <x:row r="208" ht="42" customHeight="1">
      <x:c r="A208" s="12" t="str">
        <x:v>BASE</x:v>
      </x:c>
      <x:c r="B208" s="12" t="str">
        <x:v>U15</x:v>
      </x:c>
      <x:c r="C208" s="12" t="str">
        <x:v>agent_result</x:v>
      </x:c>
      <x:c r="D208" s="12" t="str">
        <x:v>외부 Agent 업무</x:v>
      </x:c>
      <x:c r="E208" s="12" t="str">
        <x:v>external</x:v>
      </x:c>
      <x:c r="F208" s="13" t="n">
        <x:v>1.3100000000000003</x:v>
      </x:c>
      <x:c r="G208" s="13" t="n">
        <x:v>9.31</x:v>
      </x:c>
      <x:c r="H208" s="13" t="n">
        <x:v>8</x:v>
      </x:c>
      <x:c r="I208" s="13" t="n">
        <x:v>0</x:v>
      </x:c>
      <x:c r="J208" s="12" t="str">
        <x:v>agent_ingress</x:v>
      </x:c>
      <x:c r="K208" s="12" t="str">
        <x:v>none</x:v>
      </x:c>
      <x:c r="L208" s="13" t="n">
        <x:f>IF(G208&lt;=I208,0,MAX(0,L207)+IF(E208="via",MAX(0,G208-MAX(F208,I208)),0))</x:f>
        <x:v>1.3100000000000003</x:v>
      </x:c>
    </x:row>
    <x:row r="209" ht="42" customHeight="1">
      <x:c r="A209" s="7" t="str">
        <x:v>BASE</x:v>
      </x:c>
      <x:c r="B209" s="7" t="str">
        <x:v>U15</x:v>
      </x:c>
      <x:c r="C209" s="7" t="str">
        <x:v>result_display</x:v>
      </x:c>
      <x:c r="D209" s="7" t="str">
        <x:v>최종 결과 상세 표시</x:v>
      </x:c>
      <x:c r="E209" s="7" t="str">
        <x:v>via</x:v>
      </x:c>
      <x:c r="F209" s="14" t="n">
        <x:v>9.31</x:v>
      </x:c>
      <x:c r="G209" s="14" t="n">
        <x:v>9.35</x:v>
      </x:c>
      <x:c r="H209" s="14" t="n">
        <x:v>0.04</x:v>
      </x:c>
      <x:c r="I209" s="14" t="n">
        <x:v>0</x:v>
      </x:c>
      <x:c r="J209" s="7" t="str">
        <x:v>agent_result</x:v>
      </x:c>
      <x:c r="K209" s="7" t="str">
        <x:v>none</x:v>
      </x:c>
      <x:c r="L209" s="14" t="n">
        <x:f>IF(G209&lt;=I209,0,MAX(0,L208)+IF(E209="via",MAX(0,G209-MAX(F209,I209)),0))</x:f>
        <x:v>1.3499999999999994</x:v>
      </x:c>
    </x:row>
    <x:row r="210" ht="42" customHeight="1">
      <x:c r="A210" s="12" t="str">
        <x:v>BASE</x:v>
      </x:c>
      <x:c r="B210" s="12" t="str">
        <x:v>U15</x:v>
      </x:c>
      <x:c r="C210" s="12" t="str">
        <x:v>response_audio</x:v>
      </x:c>
      <x:c r="D210" s="12" t="str">
        <x:v>선택한 응답 음성 생성</x:v>
      </x:c>
      <x:c r="E210" s="12" t="str">
        <x:v>via</x:v>
      </x:c>
      <x:c r="F210" s="13" t="n">
        <x:v>9.31</x:v>
      </x:c>
      <x:c r="G210" s="13" t="n">
        <x:v>11.198</x:v>
      </x:c>
      <x:c r="H210" s="13" t="n">
        <x:v>1.888</x:v>
      </x:c>
      <x:c r="I210" s="13" t="n">
        <x:v>0</x:v>
      </x:c>
      <x:c r="J210" s="12" t="str">
        <x:v>agent_result</x:v>
      </x:c>
      <x:c r="K210" s="12" t="str">
        <x:v>speech</x:v>
      </x:c>
      <x:c r="L210" s="13" t="n">
        <x:f>IF(G210&lt;=I210,0,MAX(0,L208)+IF(E210="via",MAX(0,G210-MAX(F210,I210)),0))</x:f>
        <x:v>3.1980000000000004</x:v>
      </x:c>
    </x:row>
    <x:row r="211" ht="42" customHeight="1">
      <x:c r="A211" s="7" t="str">
        <x:v>BASE</x:v>
      </x:c>
      <x:c r="B211" s="7" t="str">
        <x:v>U15</x:v>
      </x:c>
      <x:c r="C211" s="7" t="str">
        <x:v>intent_audio</x:v>
      </x:c>
      <x:c r="D211" s="7" t="str">
        <x:v>채택한 구체적 수행 의도의 짧은 음성</x:v>
      </x:c>
      <x:c r="E211" s="7" t="str">
        <x:v>via</x:v>
      </x:c>
      <x:c r="F211" s="14" t="n">
        <x:v>1.2700000000000002</x:v>
      </x:c>
      <x:c r="G211" s="14" t="n">
        <x:v>2.404</x:v>
      </x:c>
      <x:c r="H211" s="14" t="n">
        <x:v>1.134</x:v>
      </x:c>
      <x:c r="I211" s="14" t="n">
        <x:v>0</x:v>
      </x:c>
      <x:c r="J211" s="7" t="str">
        <x:v>adopt</x:v>
      </x:c>
      <x:c r="K211" s="7" t="str">
        <x:v>speech</x:v>
      </x:c>
      <x:c r="L211" s="14" t="n">
        <x:f>IF(G211&lt;=I211,0,MAX(0,L205)+IF(E211="via",MAX(0,G211-MAX(F211,I211)),0))</x:f>
        <x:v>2.404</x:v>
      </x:c>
    </x:row>
    <x:row r="212" ht="42" customHeight="1">
      <x:c r="A212" s="12" t="str">
        <x:v>BASE</x:v>
      </x:c>
      <x:c r="B212" s="12" t="str">
        <x:v>U15</x:v>
      </x:c>
      <x:c r="C212" s="12" t="str">
        <x:v>first_chunk</x:v>
      </x:c>
      <x:c r="D212" s="12" t="str">
        <x:v>같은 생성 job의 유효 첫 chunk 관측</x:v>
      </x:c>
      <x:c r="E212" s="12" t="str">
        <x:v>via</x:v>
      </x:c>
      <x:c r="F212" s="13" t="n">
        <x:v>1.2700000000000002</x:v>
      </x:c>
      <x:c r="G212" s="13" t="n">
        <x:v>1.7040000000000002</x:v>
      </x:c>
      <x:c r="H212" s="13" t="n">
        <x:v>0.434</x:v>
      </x:c>
      <x:c r="I212" s="13" t="n">
        <x:v>0</x:v>
      </x:c>
      <x:c r="J212" s="12" t="str">
        <x:v>adopt</x:v>
      </x:c>
      <x:c r="K212" s="12" t="str">
        <x:v>none</x:v>
      </x:c>
      <x:c r="L212" s="13" t="n">
        <x:f>IF(G212&lt;=I212,0,MAX(0,L205)+IF(E212="via",MAX(0,G212-MAX(F212,I212)),0))</x:f>
        <x:v>1.7040000000000002</x:v>
      </x:c>
    </x:row>
    <x:row r="213" ht="42" customHeight="1">
      <x:c r="A213" s="7" t="str">
        <x:v>BASE</x:v>
      </x:c>
      <x:c r="B213" s="7" t="str">
        <x:v>U15</x:v>
      </x:c>
      <x:c r="C213" s="7" t="str">
        <x:v>first_audio_output</x:v>
      </x:c>
      <x:c r="D213" s="7" t="str">
        <x:v>공통 장치의 첫 음성 출력</x:v>
      </x:c>
      <x:c r="E213" s="7" t="str">
        <x:v>via</x:v>
      </x:c>
      <x:c r="F213" s="14" t="n">
        <x:v>1.7040000000000002</x:v>
      </x:c>
      <x:c r="G213" s="14" t="n">
        <x:v>1.7440000000000002</x:v>
      </x:c>
      <x:c r="H213" s="14" t="n">
        <x:v>0.04</x:v>
      </x:c>
      <x:c r="I213" s="14" t="n">
        <x:v>0</x:v>
      </x:c>
      <x:c r="J213" s="7" t="str">
        <x:v>adopt, first_chunk</x:v>
      </x:c>
      <x:c r="K213" s="7" t="str">
        <x:v>none</x:v>
      </x:c>
      <x:c r="L213" s="14" t="n">
        <x:f>IF(G213&lt;=I213,0,MAX(0,L205,L212)+IF(E213="via",MAX(0,G213-MAX(F213,I213)),0))</x:f>
        <x:v>1.7440000000000002</x:v>
      </x:c>
    </x:row>
    <x:row r="214" ht="42" customHeight="1">
      <x:c r="A214" s="12" t="str">
        <x:v>BASE</x:v>
      </x:c>
      <x:c r="B214" s="12" t="str">
        <x:v>U15</x:v>
      </x:c>
      <x:c r="C214" s="12" t="str">
        <x:v>next_speech_selection</x:v>
      </x:c>
      <x:c r="D214" s="12" t="str">
        <x:v>현재 발화 재생 후 다음 응답 선택</x:v>
      </x:c>
      <x:c r="E214" s="12" t="str">
        <x:v>external</x:v>
      </x:c>
      <x:c r="F214" s="13" t="n">
        <x:v>1.7440000000000002</x:v>
      </x:c>
      <x:c r="G214" s="13" t="n">
        <x:v>4.744</x:v>
      </x:c>
      <x:c r="H214" s="13" t="n">
        <x:v>3</x:v>
      </x:c>
      <x:c r="I214" s="13" t="n">
        <x:v>0</x:v>
      </x:c>
      <x:c r="J214" s="12" t="str">
        <x:v>first_audio_output</x:v>
      </x:c>
      <x:c r="K214" s="12" t="str">
        <x:v>none</x:v>
      </x:c>
      <x:c r="L214" s="13" t="n">
        <x:f>IF(G214&lt;=I214,0,MAX(0,L213)+IF(E214="via",MAX(0,G214-MAX(F214,I214)),0))</x:f>
        <x:v>1.7440000000000002</x:v>
      </x:c>
    </x:row>
    <x:row r="215" ht="42" customHeight="1">
      <x:c r="A215" s="7" t="str">
        <x:v>BASE</x:v>
      </x:c>
      <x:c r="B215" s="7" t="str">
        <x:v>U15</x:v>
      </x:c>
      <x:c r="C215" s="7" t="str">
        <x:v>terminal</x:v>
      </x:c>
      <x:c r="D215" s="7" t="str">
        <x:v>공통 목표 최종 상태와 전체 음성 준비</x:v>
      </x:c>
      <x:c r="E215" s="7" t="str">
        <x:v>via</x:v>
      </x:c>
      <x:c r="F215" s="14" t="n">
        <x:v>11.198</x:v>
      </x:c>
      <x:c r="G215" s="14" t="n">
        <x:v>11.198</x:v>
      </x:c>
      <x:c r="H215" s="14" t="n">
        <x:v>0</x:v>
      </x:c>
      <x:c r="I215" s="14" t="n">
        <x:v>0</x:v>
      </x:c>
      <x:c r="J215" s="7" t="str">
        <x:v>result_display, response_audio, intent_audio, first_audio_output</x:v>
      </x:c>
      <x:c r="K215" s="7" t="str">
        <x:v>none</x:v>
      </x:c>
      <x:c r="L215" s="14" t="n">
        <x:f>IF(G215&lt;=I215,0,MAX(0,L209,L210,L211,L213)+IF(E215="via",MAX(0,G215-MAX(F215,I215)),0))</x:f>
        <x:v>3.1980000000000004</x:v>
      </x:c>
    </x:row>
    <x:row r="216" ht="42" customHeight="1">
      <x:c r="A216" s="12" t="str">
        <x:v>BASE</x:v>
      </x:c>
      <x:c r="B216" s="12" t="str">
        <x:v>U16</x:v>
      </x:c>
      <x:c r="C216" s="12" t="str">
        <x:v>original_work</x:v>
      </x:c>
      <x:c r="D216" s="12" t="str">
        <x:v>원래 목표의 최초 VIA 처리</x:v>
      </x:c>
      <x:c r="E216" s="12" t="str">
        <x:v>via</x:v>
      </x:c>
      <x:c r="F216" s="13" t="n">
        <x:v>-6</x:v>
      </x:c>
      <x:c r="G216" s="13" t="n">
        <x:v>-4</x:v>
      </x:c>
      <x:c r="H216" s="13" t="n">
        <x:v>2</x:v>
      </x:c>
      <x:c r="I216" s="13" t="n">
        <x:v>-6</x:v>
      </x:c>
      <x:c r="J216" s="12" t="str"/>
      <x:c r="K216" s="12" t="str">
        <x:v>none</x:v>
      </x:c>
      <x:c r="L216" s="13" t="n">
        <x:f>IF(G216&lt;=I216,0,MAX(0)+IF(E216="via",MAX(0,G216-MAX(F216,I216)),0))</x:f>
        <x:v>2</x:v>
      </x:c>
    </x:row>
    <x:row r="217" ht="42" customHeight="1">
      <x:c r="A217" s="7" t="str">
        <x:v>BASE</x:v>
      </x:c>
      <x:c r="B217" s="7" t="str">
        <x:v>U16</x:v>
      </x:c>
      <x:c r="C217" s="7" t="str">
        <x:v>input_end</x:v>
      </x:c>
      <x:c r="D217" s="7" t="str">
        <x:v>사용자 입력 종료</x:v>
      </x:c>
      <x:c r="E217" s="7" t="str">
        <x:v>external</x:v>
      </x:c>
      <x:c r="F217" s="14" t="n">
        <x:v>0</x:v>
      </x:c>
      <x:c r="G217" s="14" t="n">
        <x:v>0</x:v>
      </x:c>
      <x:c r="H217" s="14" t="n">
        <x:v>0</x:v>
      </x:c>
      <x:c r="I217" s="14" t="n">
        <x:v>-6</x:v>
      </x:c>
      <x:c r="J217" s="7" t="str">
        <x:v>original_work</x:v>
      </x:c>
      <x:c r="K217" s="7" t="str">
        <x:v>none</x:v>
      </x:c>
      <x:c r="L217" s="14" t="n">
        <x:f>IF(G217&lt;=I217,0,MAX(0,L216)+IF(E217="via",MAX(0,G217-MAX(F217,I217)),0))</x:f>
        <x:v>2</x:v>
      </x:c>
    </x:row>
    <x:row r="218" ht="42" customHeight="1">
      <x:c r="A218" s="12" t="str">
        <x:v>BASE</x:v>
      </x:c>
      <x:c r="B218" s="12" t="str">
        <x:v>U16</x:v>
      </x:c>
      <x:c r="C218" s="12" t="str">
        <x:v>intake</x:v>
      </x:c>
      <x:c r="D218" s="12" t="str">
        <x:v>입력 확정</x:v>
      </x:c>
      <x:c r="E218" s="12" t="str">
        <x:v>via</x:v>
      </x:c>
      <x:c r="F218" s="13" t="n">
        <x:v>0</x:v>
      </x:c>
      <x:c r="G218" s="13" t="n">
        <x:v>0.3</x:v>
      </x:c>
      <x:c r="H218" s="13" t="n">
        <x:v>0.3</x:v>
      </x:c>
      <x:c r="I218" s="13" t="n">
        <x:v>-6</x:v>
      </x:c>
      <x:c r="J218" s="12" t="str">
        <x:v>input_end</x:v>
      </x:c>
      <x:c r="K218" s="12" t="str">
        <x:v>none</x:v>
      </x:c>
      <x:c r="L218" s="13" t="n">
        <x:f>IF(G218&lt;=I218,0,MAX(0,L217)+IF(E218="via",MAX(0,G218-MAX(F218,I218)),0))</x:f>
        <x:v>2.3</x:v>
      </x:c>
    </x:row>
    <x:row r="219" ht="42" customHeight="1">
      <x:c r="A219" s="7" t="str">
        <x:v>BASE</x:v>
      </x:c>
      <x:c r="B219" s="7" t="str">
        <x:v>U16</x:v>
      </x:c>
      <x:c r="C219" s="7" t="str">
        <x:v>read</x:v>
      </x:c>
      <x:c r="D219" s="7" t="str">
        <x:v>공통 허용 원본 조회</x:v>
      </x:c>
      <x:c r="E219" s="7" t="str">
        <x:v>via</x:v>
      </x:c>
      <x:c r="F219" s="14" t="n">
        <x:v>0.3</x:v>
      </x:c>
      <x:c r="G219" s="14" t="n">
        <x:v>0.38</x:v>
      </x:c>
      <x:c r="H219" s="14" t="n">
        <x:v>0.08</x:v>
      </x:c>
      <x:c r="I219" s="14" t="n">
        <x:v>-6</x:v>
      </x:c>
      <x:c r="J219" s="7" t="str">
        <x:v>intake</x:v>
      </x:c>
      <x:c r="K219" s="7" t="str">
        <x:v>none</x:v>
      </x:c>
      <x:c r="L219" s="14" t="n">
        <x:f>IF(G219&lt;=I219,0,MAX(0,L218)+IF(E219="via",MAX(0,G219-MAX(F219,I219)),0))</x:f>
        <x:v>2.38</x:v>
      </x:c>
    </x:row>
    <x:row r="220" ht="42" customHeight="1">
      <x:c r="A220" s="12" t="str">
        <x:v>BASE</x:v>
      </x:c>
      <x:c r="B220" s="12" t="str">
        <x:v>U16</x:v>
      </x:c>
      <x:c r="C220" s="12" t="str">
        <x:v>meaning</x:v>
      </x:c>
      <x:c r="D220" s="12" t="str">
        <x:v>최초 요청 의미 채택 packet 생성</x:v>
      </x:c>
      <x:c r="E220" s="12" t="str">
        <x:v>via</x:v>
      </x:c>
      <x:c r="F220" s="13" t="n">
        <x:v>0.38</x:v>
      </x:c>
      <x:c r="G220" s="13" t="n">
        <x:v>1.88</x:v>
      </x:c>
      <x:c r="H220" s="13" t="n">
        <x:v>1.5</x:v>
      </x:c>
      <x:c r="I220" s="13" t="n">
        <x:v>-6</x:v>
      </x:c>
      <x:c r="J220" s="12" t="str">
        <x:v>read</x:v>
      </x:c>
      <x:c r="K220" s="12" t="str">
        <x:v>semantic</x:v>
      </x:c>
      <x:c r="L220" s="13" t="n">
        <x:f>IF(G220&lt;=I220,0,MAX(0,L219)+IF(E220="via",MAX(0,G220-MAX(F220,I220)),0))</x:f>
        <x:v>3.88</x:v>
      </x:c>
    </x:row>
    <x:row r="221" ht="42" customHeight="1">
      <x:c r="A221" s="7" t="str">
        <x:v>BASE</x:v>
      </x:c>
      <x:c r="B221" s="7" t="str">
        <x:v>U16</x:v>
      </x:c>
      <x:c r="C221" s="7" t="str">
        <x:v>adopt</x:v>
      </x:c>
      <x:c r="D221" s="7" t="str">
        <x:v>현재 revision과 권한 검사 및 채택</x:v>
      </x:c>
      <x:c r="E221" s="7" t="str">
        <x:v>via</x:v>
      </x:c>
      <x:c r="F221" s="14" t="n">
        <x:v>1.88</x:v>
      </x:c>
      <x:c r="G221" s="14" t="n">
        <x:v>1.91</x:v>
      </x:c>
      <x:c r="H221" s="14" t="n">
        <x:v>0.03</x:v>
      </x:c>
      <x:c r="I221" s="14" t="n">
        <x:v>-6</x:v>
      </x:c>
      <x:c r="J221" s="7" t="str">
        <x:v>meaning</x:v>
      </x:c>
      <x:c r="K221" s="7" t="str">
        <x:v>none</x:v>
      </x:c>
      <x:c r="L221" s="14" t="n">
        <x:f>IF(G221&lt;=I221,0,MAX(0,L220)+IF(E221="via",MAX(0,G221-MAX(F221,I221)),0))</x:f>
        <x:v>3.91</x:v>
      </x:c>
    </x:row>
    <x:row r="222" ht="42" customHeight="1">
      <x:c r="A222" s="12" t="str">
        <x:v>BASE</x:v>
      </x:c>
      <x:c r="B222" s="12" t="str">
        <x:v>U16</x:v>
      </x:c>
      <x:c r="C222" s="12" t="str">
        <x:v>first_display</x:v>
      </x:c>
      <x:c r="D222" s="12" t="str">
        <x:v>첫 구체적 채택 내용 화면 표시</x:v>
      </x:c>
      <x:c r="E222" s="12" t="str">
        <x:v>via</x:v>
      </x:c>
      <x:c r="F222" s="13" t="n">
        <x:v>1.91</x:v>
      </x:c>
      <x:c r="G222" s="13" t="n">
        <x:v>1.95</x:v>
      </x:c>
      <x:c r="H222" s="13" t="n">
        <x:v>0.04</x:v>
      </x:c>
      <x:c r="I222" s="13" t="n">
        <x:v>-6</x:v>
      </x:c>
      <x:c r="J222" s="12" t="str">
        <x:v>adopt</x:v>
      </x:c>
      <x:c r="K222" s="12" t="str">
        <x:v>none</x:v>
      </x:c>
      <x:c r="L222" s="13" t="n">
        <x:f>IF(G222&lt;=I222,0,MAX(0,L221)+IF(E222="via",MAX(0,G222-MAX(F222,I222)),0))</x:f>
        <x:v>3.95</x:v>
      </x:c>
    </x:row>
    <x:row r="223" ht="42" customHeight="1">
      <x:c r="A223" s="7" t="str">
        <x:v>BASE</x:v>
      </x:c>
      <x:c r="B223" s="7" t="str">
        <x:v>U16</x:v>
      </x:c>
      <x:c r="C223" s="7" t="str">
        <x:v>agent_ingress</x:v>
      </x:c>
      <x:c r="D223" s="7" t="str">
        <x:v>Agent 요청 전송</x:v>
      </x:c>
      <x:c r="E223" s="7" t="str">
        <x:v>via</x:v>
      </x:c>
      <x:c r="F223" s="14" t="n">
        <x:v>1.91</x:v>
      </x:c>
      <x:c r="G223" s="14" t="n">
        <x:v>1.95</x:v>
      </x:c>
      <x:c r="H223" s="14" t="n">
        <x:v>0.04</x:v>
      </x:c>
      <x:c r="I223" s="14" t="n">
        <x:v>-6</x:v>
      </x:c>
      <x:c r="J223" s="7" t="str">
        <x:v>adopt</x:v>
      </x:c>
      <x:c r="K223" s="7" t="str">
        <x:v>none</x:v>
      </x:c>
      <x:c r="L223" s="14" t="n">
        <x:f>IF(G223&lt;=I223,0,MAX(0,L221)+IF(E223="via",MAX(0,G223-MAX(F223,I223)),0))</x:f>
        <x:v>3.95</x:v>
      </x:c>
    </x:row>
    <x:row r="224" ht="42" customHeight="1">
      <x:c r="A224" s="12" t="str">
        <x:v>BASE</x:v>
      </x:c>
      <x:c r="B224" s="12" t="str">
        <x:v>U16</x:v>
      </x:c>
      <x:c r="C224" s="12" t="str">
        <x:v>agent_result</x:v>
      </x:c>
      <x:c r="D224" s="12" t="str">
        <x:v>외부 Agent 업무</x:v>
      </x:c>
      <x:c r="E224" s="12" t="str">
        <x:v>external</x:v>
      </x:c>
      <x:c r="F224" s="13" t="n">
        <x:v>1.95</x:v>
      </x:c>
      <x:c r="G224" s="13" t="n">
        <x:v>9.95</x:v>
      </x:c>
      <x:c r="H224" s="13" t="n">
        <x:v>8</x:v>
      </x:c>
      <x:c r="I224" s="13" t="n">
        <x:v>-6</x:v>
      </x:c>
      <x:c r="J224" s="12" t="str">
        <x:v>agent_ingress</x:v>
      </x:c>
      <x:c r="K224" s="12" t="str">
        <x:v>none</x:v>
      </x:c>
      <x:c r="L224" s="13" t="n">
        <x:f>IF(G224&lt;=I224,0,MAX(0,L223)+IF(E224="via",MAX(0,G224-MAX(F224,I224)),0))</x:f>
        <x:v>3.95</x:v>
      </x:c>
    </x:row>
    <x:row r="225" ht="42" customHeight="1">
      <x:c r="A225" s="7" t="str">
        <x:v>BASE</x:v>
      </x:c>
      <x:c r="B225" s="7" t="str">
        <x:v>U16</x:v>
      </x:c>
      <x:c r="C225" s="7" t="str">
        <x:v>result_display</x:v>
      </x:c>
      <x:c r="D225" s="7" t="str">
        <x:v>최종 결과 상세 표시</x:v>
      </x:c>
      <x:c r="E225" s="7" t="str">
        <x:v>via</x:v>
      </x:c>
      <x:c r="F225" s="14" t="n">
        <x:v>9.95</x:v>
      </x:c>
      <x:c r="G225" s="14" t="n">
        <x:v>9.989999999999998</x:v>
      </x:c>
      <x:c r="H225" s="14" t="n">
        <x:v>0.04</x:v>
      </x:c>
      <x:c r="I225" s="14" t="n">
        <x:v>-6</x:v>
      </x:c>
      <x:c r="J225" s="7" t="str">
        <x:v>agent_result</x:v>
      </x:c>
      <x:c r="K225" s="7" t="str">
        <x:v>none</x:v>
      </x:c>
      <x:c r="L225" s="14" t="n">
        <x:f>IF(G225&lt;=I225,0,MAX(0,L224)+IF(E225="via",MAX(0,G225-MAX(F225,I225)),0))</x:f>
        <x:v>3.9899999999999993</x:v>
      </x:c>
    </x:row>
    <x:row r="226" ht="42" customHeight="1">
      <x:c r="A226" s="12" t="str">
        <x:v>BASE</x:v>
      </x:c>
      <x:c r="B226" s="12" t="str">
        <x:v>U16</x:v>
      </x:c>
      <x:c r="C226" s="12" t="str">
        <x:v>response_audio</x:v>
      </x:c>
      <x:c r="D226" s="12" t="str">
        <x:v>선택한 응답 음성 생성</x:v>
      </x:c>
      <x:c r="E226" s="12" t="str">
        <x:v>via</x:v>
      </x:c>
      <x:c r="F226" s="13" t="n">
        <x:v>9.95</x:v>
      </x:c>
      <x:c r="G226" s="13" t="n">
        <x:v>11.838</x:v>
      </x:c>
      <x:c r="H226" s="13" t="n">
        <x:v>1.888</x:v>
      </x:c>
      <x:c r="I226" s="13" t="n">
        <x:v>-6</x:v>
      </x:c>
      <x:c r="J226" s="12" t="str">
        <x:v>agent_result</x:v>
      </x:c>
      <x:c r="K226" s="12" t="str">
        <x:v>speech</x:v>
      </x:c>
      <x:c r="L226" s="13" t="n">
        <x:f>IF(G226&lt;=I226,0,MAX(0,L224)+IF(E226="via",MAX(0,G226-MAX(F226,I226)),0))</x:f>
        <x:v>5.838</x:v>
      </x:c>
    </x:row>
    <x:row r="227" ht="42" customHeight="1">
      <x:c r="A227" s="7" t="str">
        <x:v>BASE</x:v>
      </x:c>
      <x:c r="B227" s="7" t="str">
        <x:v>U16</x:v>
      </x:c>
      <x:c r="C227" s="7" t="str">
        <x:v>intent_audio</x:v>
      </x:c>
      <x:c r="D227" s="7" t="str">
        <x:v>채택한 구체적 수행 의도의 짧은 음성</x:v>
      </x:c>
      <x:c r="E227" s="7" t="str">
        <x:v>via</x:v>
      </x:c>
      <x:c r="F227" s="14" t="n">
        <x:v>1.91</x:v>
      </x:c>
      <x:c r="G227" s="14" t="n">
        <x:v>3.0439999999999996</x:v>
      </x:c>
      <x:c r="H227" s="14" t="n">
        <x:v>1.134</x:v>
      </x:c>
      <x:c r="I227" s="14" t="n">
        <x:v>-6</x:v>
      </x:c>
      <x:c r="J227" s="7" t="str">
        <x:v>adopt</x:v>
      </x:c>
      <x:c r="K227" s="7" t="str">
        <x:v>speech</x:v>
      </x:c>
      <x:c r="L227" s="14" t="n">
        <x:f>IF(G227&lt;=I227,0,MAX(0,L221)+IF(E227="via",MAX(0,G227-MAX(F227,I227)),0))</x:f>
        <x:v>5.044</x:v>
      </x:c>
    </x:row>
    <x:row r="228" ht="42" customHeight="1">
      <x:c r="A228" s="12" t="str">
        <x:v>BASE</x:v>
      </x:c>
      <x:c r="B228" s="12" t="str">
        <x:v>U16</x:v>
      </x:c>
      <x:c r="C228" s="12" t="str">
        <x:v>first_chunk</x:v>
      </x:c>
      <x:c r="D228" s="12" t="str">
        <x:v>같은 생성 job의 유효 첫 chunk 관측</x:v>
      </x:c>
      <x:c r="E228" s="12" t="str">
        <x:v>via</x:v>
      </x:c>
      <x:c r="F228" s="13" t="n">
        <x:v>1.91</x:v>
      </x:c>
      <x:c r="G228" s="13" t="n">
        <x:v>2.344</x:v>
      </x:c>
      <x:c r="H228" s="13" t="n">
        <x:v>0.434</x:v>
      </x:c>
      <x:c r="I228" s="13" t="n">
        <x:v>-6</x:v>
      </x:c>
      <x:c r="J228" s="12" t="str">
        <x:v>adopt</x:v>
      </x:c>
      <x:c r="K228" s="12" t="str">
        <x:v>none</x:v>
      </x:c>
      <x:c r="L228" s="13" t="n">
        <x:f>IF(G228&lt;=I228,0,MAX(0,L221)+IF(E228="via",MAX(0,G228-MAX(F228,I228)),0))</x:f>
        <x:v>4.344</x:v>
      </x:c>
    </x:row>
    <x:row r="229" ht="42" customHeight="1">
      <x:c r="A229" s="7" t="str">
        <x:v>BASE</x:v>
      </x:c>
      <x:c r="B229" s="7" t="str">
        <x:v>U16</x:v>
      </x:c>
      <x:c r="C229" s="7" t="str">
        <x:v>first_audio_output</x:v>
      </x:c>
      <x:c r="D229" s="7" t="str">
        <x:v>공통 장치의 첫 음성 출력</x:v>
      </x:c>
      <x:c r="E229" s="7" t="str">
        <x:v>via</x:v>
      </x:c>
      <x:c r="F229" s="14" t="n">
        <x:v>2.344</x:v>
      </x:c>
      <x:c r="G229" s="14" t="n">
        <x:v>2.384</x:v>
      </x:c>
      <x:c r="H229" s="14" t="n">
        <x:v>0.04</x:v>
      </x:c>
      <x:c r="I229" s="14" t="n">
        <x:v>-6</x:v>
      </x:c>
      <x:c r="J229" s="7" t="str">
        <x:v>adopt, first_chunk</x:v>
      </x:c>
      <x:c r="K229" s="7" t="str">
        <x:v>none</x:v>
      </x:c>
      <x:c r="L229" s="14" t="n">
        <x:f>IF(G229&lt;=I229,0,MAX(0,L221,L228)+IF(E229="via",MAX(0,G229-MAX(F229,I229)),0))</x:f>
        <x:v>4.384</x:v>
      </x:c>
    </x:row>
    <x:row r="230" ht="42" customHeight="1">
      <x:c r="A230" s="12" t="str">
        <x:v>BASE</x:v>
      </x:c>
      <x:c r="B230" s="12" t="str">
        <x:v>U16</x:v>
      </x:c>
      <x:c r="C230" s="12" t="str">
        <x:v>next_speech_selection</x:v>
      </x:c>
      <x:c r="D230" s="12" t="str">
        <x:v>현재 발화 재생 후 다음 응답 선택</x:v>
      </x:c>
      <x:c r="E230" s="12" t="str">
        <x:v>external</x:v>
      </x:c>
      <x:c r="F230" s="13" t="n">
        <x:v>2.384</x:v>
      </x:c>
      <x:c r="G230" s="13" t="n">
        <x:v>5.384</x:v>
      </x:c>
      <x:c r="H230" s="13" t="n">
        <x:v>3</x:v>
      </x:c>
      <x:c r="I230" s="13" t="n">
        <x:v>-6</x:v>
      </x:c>
      <x:c r="J230" s="12" t="str">
        <x:v>first_audio_output</x:v>
      </x:c>
      <x:c r="K230" s="12" t="str">
        <x:v>none</x:v>
      </x:c>
      <x:c r="L230" s="13" t="n">
        <x:f>IF(G230&lt;=I230,0,MAX(0,L229)+IF(E230="via",MAX(0,G230-MAX(F230,I230)),0))</x:f>
        <x:v>4.384</x:v>
      </x:c>
    </x:row>
    <x:row r="231" ht="42" customHeight="1">
      <x:c r="A231" s="7" t="str">
        <x:v>BASE</x:v>
      </x:c>
      <x:c r="B231" s="7" t="str">
        <x:v>U16</x:v>
      </x:c>
      <x:c r="C231" s="7" t="str">
        <x:v>terminal</x:v>
      </x:c>
      <x:c r="D231" s="7" t="str">
        <x:v>공통 목표 최종 상태와 전체 음성 준비</x:v>
      </x:c>
      <x:c r="E231" s="7" t="str">
        <x:v>via</x:v>
      </x:c>
      <x:c r="F231" s="14" t="n">
        <x:v>11.838</x:v>
      </x:c>
      <x:c r="G231" s="14" t="n">
        <x:v>11.838</x:v>
      </x:c>
      <x:c r="H231" s="14" t="n">
        <x:v>0</x:v>
      </x:c>
      <x:c r="I231" s="14" t="n">
        <x:v>-6</x:v>
      </x:c>
      <x:c r="J231" s="7" t="str">
        <x:v>result_display, response_audio, intent_audio, first_audio_output</x:v>
      </x:c>
      <x:c r="K231" s="7" t="str">
        <x:v>none</x:v>
      </x:c>
      <x:c r="L231" s="14" t="n">
        <x:f>IF(G231&lt;=I231,0,MAX(0,L225,L226,L227,L229)+IF(E231="via",MAX(0,G231-MAX(F231,I231)),0))</x:f>
        <x:v>5.838</x:v>
      </x:c>
    </x:row>
    <x:row r="232" ht="42" customHeight="1">
      <x:c r="A232" s="12" t="str">
        <x:v>BASE</x:v>
      </x:c>
      <x:c r="B232" s="12" t="str">
        <x:v>U17</x:v>
      </x:c>
      <x:c r="C232" s="12" t="str">
        <x:v>input_end</x:v>
      </x:c>
      <x:c r="D232" s="12" t="str">
        <x:v>사용자 입력 종료</x:v>
      </x:c>
      <x:c r="E232" s="12" t="str">
        <x:v>external</x:v>
      </x:c>
      <x:c r="F232" s="13" t="n">
        <x:v>0</x:v>
      </x:c>
      <x:c r="G232" s="13" t="n">
        <x:v>0</x:v>
      </x:c>
      <x:c r="H232" s="13" t="n">
        <x:v>0</x:v>
      </x:c>
      <x:c r="I232" s="13" t="n">
        <x:v>0</x:v>
      </x:c>
      <x:c r="J232" s="12" t="str"/>
      <x:c r="K232" s="12" t="str">
        <x:v>none</x:v>
      </x:c>
      <x:c r="L232" s="13" t="n">
        <x:f>IF(G232&lt;=I232,0,MAX(0)+IF(E232="via",MAX(0,G232-MAX(F232,I232)),0))</x:f>
        <x:v>0</x:v>
      </x:c>
    </x:row>
    <x:row r="233" ht="42" customHeight="1">
      <x:c r="A233" s="7" t="str">
        <x:v>BASE</x:v>
      </x:c>
      <x:c r="B233" s="7" t="str">
        <x:v>U17</x:v>
      </x:c>
      <x:c r="C233" s="7" t="str">
        <x:v>intake</x:v>
      </x:c>
      <x:c r="D233" s="7" t="str">
        <x:v>입력 확정</x:v>
      </x:c>
      <x:c r="E233" s="7" t="str">
        <x:v>via</x:v>
      </x:c>
      <x:c r="F233" s="14" t="n">
        <x:v>0</x:v>
      </x:c>
      <x:c r="G233" s="14" t="n">
        <x:v>0.3</x:v>
      </x:c>
      <x:c r="H233" s="14" t="n">
        <x:v>0.3</x:v>
      </x:c>
      <x:c r="I233" s="14" t="n">
        <x:v>0</x:v>
      </x:c>
      <x:c r="J233" s="7" t="str">
        <x:v>input_end</x:v>
      </x:c>
      <x:c r="K233" s="7" t="str">
        <x:v>none</x:v>
      </x:c>
      <x:c r="L233" s="14" t="n">
        <x:f>IF(G233&lt;=I233,0,MAX(0,L232)+IF(E233="via",MAX(0,G233-MAX(F233,I233)),0))</x:f>
        <x:v>0.3</x:v>
      </x:c>
    </x:row>
    <x:row r="234" ht="42" customHeight="1">
      <x:c r="A234" s="12" t="str">
        <x:v>BASE</x:v>
      </x:c>
      <x:c r="B234" s="12" t="str">
        <x:v>U17</x:v>
      </x:c>
      <x:c r="C234" s="12" t="str">
        <x:v>read</x:v>
      </x:c>
      <x:c r="D234" s="12" t="str">
        <x:v>공통 허용 원본 조회</x:v>
      </x:c>
      <x:c r="E234" s="12" t="str">
        <x:v>via</x:v>
      </x:c>
      <x:c r="F234" s="13" t="n">
        <x:v>0.3</x:v>
      </x:c>
      <x:c r="G234" s="13" t="n">
        <x:v>0.38</x:v>
      </x:c>
      <x:c r="H234" s="13" t="n">
        <x:v>0.08</x:v>
      </x:c>
      <x:c r="I234" s="13" t="n">
        <x:v>0</x:v>
      </x:c>
      <x:c r="J234" s="12" t="str">
        <x:v>intake</x:v>
      </x:c>
      <x:c r="K234" s="12" t="str">
        <x:v>none</x:v>
      </x:c>
      <x:c r="L234" s="13" t="n">
        <x:f>IF(G234&lt;=I234,0,MAX(0,L233)+IF(E234="via",MAX(0,G234-MAX(F234,I234)),0))</x:f>
        <x:v>0.38</x:v>
      </x:c>
    </x:row>
    <x:row r="235" ht="42" customHeight="1">
      <x:c r="A235" s="7" t="str">
        <x:v>BASE</x:v>
      </x:c>
      <x:c r="B235" s="7" t="str">
        <x:v>U17</x:v>
      </x:c>
      <x:c r="C235" s="7" t="str">
        <x:v>meaning</x:v>
      </x:c>
      <x:c r="D235" s="7" t="str">
        <x:v>최초 요청 의미 채택 packet 생성</x:v>
      </x:c>
      <x:c r="E235" s="7" t="str">
        <x:v>via</x:v>
      </x:c>
      <x:c r="F235" s="14" t="n">
        <x:v>0.38</x:v>
      </x:c>
      <x:c r="G235" s="14" t="n">
        <x:v>1.48</x:v>
      </x:c>
      <x:c r="H235" s="14" t="n">
        <x:v>1.1</x:v>
      </x:c>
      <x:c r="I235" s="14" t="n">
        <x:v>0</x:v>
      </x:c>
      <x:c r="J235" s="7" t="str">
        <x:v>read</x:v>
      </x:c>
      <x:c r="K235" s="7" t="str">
        <x:v>semantic</x:v>
      </x:c>
      <x:c r="L235" s="14" t="n">
        <x:f>IF(G235&lt;=I235,0,MAX(0,L234)+IF(E235="via",MAX(0,G235-MAX(F235,I235)),0))</x:f>
        <x:v>1.48</x:v>
      </x:c>
    </x:row>
    <x:row r="236" ht="42" customHeight="1">
      <x:c r="A236" s="12" t="str">
        <x:v>BASE</x:v>
      </x:c>
      <x:c r="B236" s="12" t="str">
        <x:v>U17</x:v>
      </x:c>
      <x:c r="C236" s="12" t="str">
        <x:v>adopt</x:v>
      </x:c>
      <x:c r="D236" s="12" t="str">
        <x:v>현재 revision과 권한 검사 및 채택</x:v>
      </x:c>
      <x:c r="E236" s="12" t="str">
        <x:v>via</x:v>
      </x:c>
      <x:c r="F236" s="13" t="n">
        <x:v>1.48</x:v>
      </x:c>
      <x:c r="G236" s="13" t="n">
        <x:v>1.51</x:v>
      </x:c>
      <x:c r="H236" s="13" t="n">
        <x:v>0.03</x:v>
      </x:c>
      <x:c r="I236" s="13" t="n">
        <x:v>0</x:v>
      </x:c>
      <x:c r="J236" s="12" t="str">
        <x:v>meaning</x:v>
      </x:c>
      <x:c r="K236" s="12" t="str">
        <x:v>none</x:v>
      </x:c>
      <x:c r="L236" s="13" t="n">
        <x:f>IF(G236&lt;=I236,0,MAX(0,L235)+IF(E236="via",MAX(0,G236-MAX(F236,I236)),0))</x:f>
        <x:v>1.51</x:v>
      </x:c>
    </x:row>
    <x:row r="237" ht="42" customHeight="1">
      <x:c r="A237" s="7" t="str">
        <x:v>BASE</x:v>
      </x:c>
      <x:c r="B237" s="7" t="str">
        <x:v>U17</x:v>
      </x:c>
      <x:c r="C237" s="7" t="str">
        <x:v>first_display</x:v>
      </x:c>
      <x:c r="D237" s="7" t="str">
        <x:v>첫 구체적 채택 내용 화면 표시</x:v>
      </x:c>
      <x:c r="E237" s="7" t="str">
        <x:v>via</x:v>
      </x:c>
      <x:c r="F237" s="14" t="n">
        <x:v>1.51</x:v>
      </x:c>
      <x:c r="G237" s="14" t="n">
        <x:v>1.55</x:v>
      </x:c>
      <x:c r="H237" s="14" t="n">
        <x:v>0.04</x:v>
      </x:c>
      <x:c r="I237" s="14" t="n">
        <x:v>0</x:v>
      </x:c>
      <x:c r="J237" s="7" t="str">
        <x:v>adopt</x:v>
      </x:c>
      <x:c r="K237" s="7" t="str">
        <x:v>none</x:v>
      </x:c>
      <x:c r="L237" s="14" t="n">
        <x:f>IF(G237&lt;=I237,0,MAX(0,L236)+IF(E237="via",MAX(0,G237-MAX(F237,I237)),0))</x:f>
        <x:v>1.55</x:v>
      </x:c>
    </x:row>
    <x:row r="238" ht="42" customHeight="1">
      <x:c r="A238" s="12" t="str">
        <x:v>BASE</x:v>
      </x:c>
      <x:c r="B238" s="12" t="str">
        <x:v>U17</x:v>
      </x:c>
      <x:c r="C238" s="12" t="str">
        <x:v>question_arrival</x:v>
      </x:c>
      <x:c r="D238" s="12" t="str">
        <x:v>Agent 질문 텍스트 도착</x:v>
      </x:c>
      <x:c r="E238" s="12" t="str">
        <x:v>external</x:v>
      </x:c>
      <x:c r="F238" s="13" t="n">
        <x:v>-2</x:v>
      </x:c>
      <x:c r="G238" s="13" t="n">
        <x:v>-2</x:v>
      </x:c>
      <x:c r="H238" s="13" t="n">
        <x:v>0</x:v>
      </x:c>
      <x:c r="I238" s="13" t="n">
        <x:v>0</x:v>
      </x:c>
      <x:c r="J238" s="12" t="str"/>
      <x:c r="K238" s="12" t="str">
        <x:v>none</x:v>
      </x:c>
      <x:c r="L238" s="13" t="n">
        <x:f>IF(G238&lt;=I238,0,MAX(0)+IF(E238="via",MAX(0,G238-MAX(F238,I238)),0))</x:f>
        <x:v>0</x:v>
      </x:c>
    </x:row>
    <x:row r="239" ht="42" customHeight="1">
      <x:c r="A239" s="7" t="str">
        <x:v>BASE</x:v>
      </x:c>
      <x:c r="B239" s="7" t="str">
        <x:v>U17</x:v>
      </x:c>
      <x:c r="C239" s="7" t="str">
        <x:v>question_audio</x:v>
      </x:c>
      <x:c r="D239" s="7" t="str">
        <x:v>선택한 응답 음성 생성</x:v>
      </x:c>
      <x:c r="E239" s="7" t="str">
        <x:v>via</x:v>
      </x:c>
      <x:c r="F239" s="14" t="n">
        <x:v>-2</x:v>
      </x:c>
      <x:c r="G239" s="14" t="n">
        <x:v>0.3906666666666667</x:v>
      </x:c>
      <x:c r="H239" s="14" t="n">
        <x:v>2.3906666666666667</x:v>
      </x:c>
      <x:c r="I239" s="14" t="n">
        <x:v>0</x:v>
      </x:c>
      <x:c r="J239" s="7" t="str">
        <x:v>question_arrival</x:v>
      </x:c>
      <x:c r="K239" s="7" t="str">
        <x:v>speech</x:v>
      </x:c>
      <x:c r="L239" s="14" t="n">
        <x:f>IF(G239&lt;=I239,0,MAX(0,L238)+IF(E239="via",MAX(0,G239-MAX(F239,I239)),0))</x:f>
        <x:v>0.3906666666666667</x:v>
      </x:c>
    </x:row>
    <x:row r="240" ht="42" customHeight="1">
      <x:c r="A240" s="12" t="str">
        <x:v>BASE</x:v>
      </x:c>
      <x:c r="B240" s="12" t="str">
        <x:v>U17</x:v>
      </x:c>
      <x:c r="C240" s="12" t="str">
        <x:v>first_chunk</x:v>
      </x:c>
      <x:c r="D240" s="12" t="str">
        <x:v>같은 생성 job의 유효 첫 chunk 관측</x:v>
      </x:c>
      <x:c r="E240" s="12" t="str">
        <x:v>via</x:v>
      </x:c>
      <x:c r="F240" s="13" t="n">
        <x:v>-2</x:v>
      </x:c>
      <x:c r="G240" s="13" t="n">
        <x:v>-1.5593333333333335</x:v>
      </x:c>
      <x:c r="H240" s="13" t="n">
        <x:v>0.44066666666666665</x:v>
      </x:c>
      <x:c r="I240" s="13" t="n">
        <x:v>0</x:v>
      </x:c>
      <x:c r="J240" s="12" t="str">
        <x:v>question_arrival</x:v>
      </x:c>
      <x:c r="K240" s="12" t="str">
        <x:v>none</x:v>
      </x:c>
      <x:c r="L240" s="13" t="n">
        <x:f>IF(G240&lt;=I240,0,MAX(0,L238)+IF(E240="via",MAX(0,G240-MAX(F240,I240)),0))</x:f>
        <x:v>0</x:v>
      </x:c>
    </x:row>
    <x:row r="241" ht="42" customHeight="1">
      <x:c r="A241" s="7" t="str">
        <x:v>BASE</x:v>
      </x:c>
      <x:c r="B241" s="7" t="str">
        <x:v>U17</x:v>
      </x:c>
      <x:c r="C241" s="7" t="str">
        <x:v>first_audio_output</x:v>
      </x:c>
      <x:c r="D241" s="7" t="str">
        <x:v>공통 장치의 첫 음성 출력</x:v>
      </x:c>
      <x:c r="E241" s="7" t="str">
        <x:v>via</x:v>
      </x:c>
      <x:c r="F241" s="14" t="n">
        <x:v>1.51</x:v>
      </x:c>
      <x:c r="G241" s="14" t="n">
        <x:v>1.55</x:v>
      </x:c>
      <x:c r="H241" s="14" t="n">
        <x:v>0.04</x:v>
      </x:c>
      <x:c r="I241" s="14" t="n">
        <x:v>0</x:v>
      </x:c>
      <x:c r="J241" s="7" t="str">
        <x:v>adopt, first_chunk</x:v>
      </x:c>
      <x:c r="K241" s="7" t="str">
        <x:v>none</x:v>
      </x:c>
      <x:c r="L241" s="14" t="n">
        <x:f>IF(G241&lt;=I241,0,MAX(0,L236,L240)+IF(E241="via",MAX(0,G241-MAX(F241,I241)),0))</x:f>
        <x:v>1.55</x:v>
      </x:c>
    </x:row>
    <x:row r="242" ht="42" customHeight="1">
      <x:c r="A242" s="12" t="str">
        <x:v>BASE</x:v>
      </x:c>
      <x:c r="B242" s="12" t="str">
        <x:v>U17</x:v>
      </x:c>
      <x:c r="C242" s="12" t="str">
        <x:v>terminal</x:v>
      </x:c>
      <x:c r="D242" s="12" t="str">
        <x:v>공통 목표 최종 상태와 전체 음성 준비</x:v>
      </x:c>
      <x:c r="E242" s="12" t="str">
        <x:v>via</x:v>
      </x:c>
      <x:c r="F242" s="13" t="n">
        <x:v>1.55</x:v>
      </x:c>
      <x:c r="G242" s="13" t="n">
        <x:v>1.55</x:v>
      </x:c>
      <x:c r="H242" s="13" t="n">
        <x:v>0</x:v>
      </x:c>
      <x:c r="I242" s="13" t="n">
        <x:v>0</x:v>
      </x:c>
      <x:c r="J242" s="12" t="str">
        <x:v>first_display, question_audio, first_audio_output</x:v>
      </x:c>
      <x:c r="K242" s="12" t="str">
        <x:v>none</x:v>
      </x:c>
      <x:c r="L242" s="13" t="n">
        <x:f>IF(G242&lt;=I242,0,MAX(0,L237,L239,L241)+IF(E242="via",MAX(0,G242-MAX(F242,I242)),0))</x:f>
        <x:v>1.55</x:v>
      </x:c>
    </x:row>
    <x:row r="243" ht="42" customHeight="1">
      <x:c r="A243" s="7" t="str">
        <x:v>BASE</x:v>
      </x:c>
      <x:c r="B243" s="7" t="str">
        <x:v>U18</x:v>
      </x:c>
      <x:c r="C243" s="7" t="str">
        <x:v>input_end</x:v>
      </x:c>
      <x:c r="D243" s="7" t="str">
        <x:v>사용자 입력 종료</x:v>
      </x:c>
      <x:c r="E243" s="7" t="str">
        <x:v>external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7" t="str"/>
      <x:c r="K243" s="7" t="str">
        <x:v>none</x:v>
      </x:c>
      <x:c r="L243" s="14" t="n">
        <x:f>IF(G243&lt;=I243,0,MAX(0)+IF(E243="via",MAX(0,G243-MAX(F243,I243)),0))</x:f>
        <x:v>0</x:v>
      </x:c>
    </x:row>
    <x:row r="244" ht="42" customHeight="1">
      <x:c r="A244" s="12" t="str">
        <x:v>BASE</x:v>
      </x:c>
      <x:c r="B244" s="12" t="str">
        <x:v>U18</x:v>
      </x:c>
      <x:c r="C244" s="12" t="str">
        <x:v>intake</x:v>
      </x:c>
      <x:c r="D244" s="12" t="str">
        <x:v>입력 확정</x:v>
      </x:c>
      <x:c r="E244" s="12" t="str">
        <x:v>via</x:v>
      </x:c>
      <x:c r="F244" s="13" t="n">
        <x:v>0</x:v>
      </x:c>
      <x:c r="G244" s="13" t="n">
        <x:v>0.3</x:v>
      </x:c>
      <x:c r="H244" s="13" t="n">
        <x:v>0.3</x:v>
      </x:c>
      <x:c r="I244" s="13" t="n">
        <x:v>0</x:v>
      </x:c>
      <x:c r="J244" s="12" t="str">
        <x:v>input_end</x:v>
      </x:c>
      <x:c r="K244" s="12" t="str">
        <x:v>none</x:v>
      </x:c>
      <x:c r="L244" s="13" t="n">
        <x:f>IF(G244&lt;=I244,0,MAX(0,L243)+IF(E244="via",MAX(0,G244-MAX(F244,I244)),0))</x:f>
        <x:v>0.3</x:v>
      </x:c>
    </x:row>
    <x:row r="245" ht="42" customHeight="1">
      <x:c r="A245" s="7" t="str">
        <x:v>BASE</x:v>
      </x:c>
      <x:c r="B245" s="7" t="str">
        <x:v>U18</x:v>
      </x:c>
      <x:c r="C245" s="7" t="str">
        <x:v>read</x:v>
      </x:c>
      <x:c r="D245" s="7" t="str">
        <x:v>공통 허용 원본 조회</x:v>
      </x:c>
      <x:c r="E245" s="7" t="str">
        <x:v>via</x:v>
      </x:c>
      <x:c r="F245" s="14" t="n">
        <x:v>0.3</x:v>
      </x:c>
      <x:c r="G245" s="14" t="n">
        <x:v>0.38</x:v>
      </x:c>
      <x:c r="H245" s="14" t="n">
        <x:v>0.08</x:v>
      </x:c>
      <x:c r="I245" s="14" t="n">
        <x:v>0</x:v>
      </x:c>
      <x:c r="J245" s="7" t="str">
        <x:v>intake</x:v>
      </x:c>
      <x:c r="K245" s="7" t="str">
        <x:v>none</x:v>
      </x:c>
      <x:c r="L245" s="14" t="n">
        <x:f>IF(G245&lt;=I245,0,MAX(0,L244)+IF(E245="via",MAX(0,G245-MAX(F245,I245)),0))</x:f>
        <x:v>0.38</x:v>
      </x:c>
    </x:row>
    <x:row r="246" ht="42" customHeight="1">
      <x:c r="A246" s="12" t="str">
        <x:v>BASE</x:v>
      </x:c>
      <x:c r="B246" s="12" t="str">
        <x:v>U18</x:v>
      </x:c>
      <x:c r="C246" s="12" t="str">
        <x:v>meaning</x:v>
      </x:c>
      <x:c r="D246" s="12" t="str">
        <x:v>최초 요청 의미 채택 packet 생성</x:v>
      </x:c>
      <x:c r="E246" s="12" t="str">
        <x:v>via</x:v>
      </x:c>
      <x:c r="F246" s="13" t="n">
        <x:v>0.38</x:v>
      </x:c>
      <x:c r="G246" s="13" t="n">
        <x:v>1.48</x:v>
      </x:c>
      <x:c r="H246" s="13" t="n">
        <x:v>1.1</x:v>
      </x:c>
      <x:c r="I246" s="13" t="n">
        <x:v>0</x:v>
      </x:c>
      <x:c r="J246" s="12" t="str">
        <x:v>read</x:v>
      </x:c>
      <x:c r="K246" s="12" t="str">
        <x:v>semantic</x:v>
      </x:c>
      <x:c r="L246" s="13" t="n">
        <x:f>IF(G246&lt;=I246,0,MAX(0,L245)+IF(E246="via",MAX(0,G246-MAX(F246,I246)),0))</x:f>
        <x:v>1.48</x:v>
      </x:c>
    </x:row>
    <x:row r="247" ht="42" customHeight="1">
      <x:c r="A247" s="7" t="str">
        <x:v>BASE</x:v>
      </x:c>
      <x:c r="B247" s="7" t="str">
        <x:v>U18</x:v>
      </x:c>
      <x:c r="C247" s="7" t="str">
        <x:v>adopt</x:v>
      </x:c>
      <x:c r="D247" s="7" t="str">
        <x:v>현재 revision과 권한 검사 및 채택</x:v>
      </x:c>
      <x:c r="E247" s="7" t="str">
        <x:v>via</x:v>
      </x:c>
      <x:c r="F247" s="14" t="n">
        <x:v>1.48</x:v>
      </x:c>
      <x:c r="G247" s="14" t="n">
        <x:v>1.51</x:v>
      </x:c>
      <x:c r="H247" s="14" t="n">
        <x:v>0.03</x:v>
      </x:c>
      <x:c r="I247" s="14" t="n">
        <x:v>0</x:v>
      </x:c>
      <x:c r="J247" s="7" t="str">
        <x:v>meaning</x:v>
      </x:c>
      <x:c r="K247" s="7" t="str">
        <x:v>none</x:v>
      </x:c>
      <x:c r="L247" s="14" t="n">
        <x:f>IF(G247&lt;=I247,0,MAX(0,L246)+IF(E247="via",MAX(0,G247-MAX(F247,I247)),0))</x:f>
        <x:v>1.51</x:v>
      </x:c>
    </x:row>
    <x:row r="248" ht="42" customHeight="1">
      <x:c r="A248" s="12" t="str">
        <x:v>BASE</x:v>
      </x:c>
      <x:c r="B248" s="12" t="str">
        <x:v>U18</x:v>
      </x:c>
      <x:c r="C248" s="12" t="str">
        <x:v>first_display</x:v>
      </x:c>
      <x:c r="D248" s="12" t="str">
        <x:v>첫 구체적 채택 내용 화면 표시</x:v>
      </x:c>
      <x:c r="E248" s="12" t="str">
        <x:v>via</x:v>
      </x:c>
      <x:c r="F248" s="13" t="n">
        <x:v>1.51</x:v>
      </x:c>
      <x:c r="G248" s="13" t="n">
        <x:v>1.55</x:v>
      </x:c>
      <x:c r="H248" s="13" t="n">
        <x:v>0.04</x:v>
      </x:c>
      <x:c r="I248" s="13" t="n">
        <x:v>0</x:v>
      </x:c>
      <x:c r="J248" s="12" t="str">
        <x:v>adopt</x:v>
      </x:c>
      <x:c r="K248" s="12" t="str">
        <x:v>none</x:v>
      </x:c>
      <x:c r="L248" s="13" t="n">
        <x:f>IF(G248&lt;=I248,0,MAX(0,L247)+IF(E248="via",MAX(0,G248-MAX(F248,I248)),0))</x:f>
        <x:v>1.55</x:v>
      </x:c>
    </x:row>
    <x:row r="249" ht="42" customHeight="1">
      <x:c r="A249" s="7" t="str">
        <x:v>BASE</x:v>
      </x:c>
      <x:c r="B249" s="7" t="str">
        <x:v>U18</x:v>
      </x:c>
      <x:c r="C249" s="7" t="str">
        <x:v>question_arrival</x:v>
      </x:c>
      <x:c r="D249" s="7" t="str">
        <x:v>Agent 질문 텍스트 도착</x:v>
      </x:c>
      <x:c r="E249" s="7" t="str">
        <x:v>external</x:v>
      </x:c>
      <x:c r="F249" s="14" t="n">
        <x:v>-2</x:v>
      </x:c>
      <x:c r="G249" s="14" t="n">
        <x:v>-2</x:v>
      </x:c>
      <x:c r="H249" s="14" t="n">
        <x:v>0</x:v>
      </x:c>
      <x:c r="I249" s="14" t="n">
        <x:v>0</x:v>
      </x:c>
      <x:c r="J249" s="7" t="str"/>
      <x:c r="K249" s="7" t="str">
        <x:v>none</x:v>
      </x:c>
      <x:c r="L249" s="14" t="n">
        <x:f>IF(G249&lt;=I249,0,MAX(0)+IF(E249="via",MAX(0,G249-MAX(F249,I249)),0))</x:f>
        <x:v>0</x:v>
      </x:c>
    </x:row>
    <x:row r="250" ht="42" customHeight="1">
      <x:c r="A250" s="12" t="str">
        <x:v>BASE</x:v>
      </x:c>
      <x:c r="B250" s="12" t="str">
        <x:v>U18</x:v>
      </x:c>
      <x:c r="C250" s="12" t="str">
        <x:v>question_audio</x:v>
      </x:c>
      <x:c r="D250" s="12" t="str">
        <x:v>선택한 응답 음성 생성</x:v>
      </x:c>
      <x:c r="E250" s="12" t="str">
        <x:v>via</x:v>
      </x:c>
      <x:c r="F250" s="13" t="n">
        <x:v>-2</x:v>
      </x:c>
      <x:c r="G250" s="13" t="n">
        <x:v>0.3906666666666667</x:v>
      </x:c>
      <x:c r="H250" s="13" t="n">
        <x:v>2.3906666666666667</x:v>
      </x:c>
      <x:c r="I250" s="13" t="n">
        <x:v>0</x:v>
      </x:c>
      <x:c r="J250" s="12" t="str">
        <x:v>question_arrival</x:v>
      </x:c>
      <x:c r="K250" s="12" t="str">
        <x:v>speech</x:v>
      </x:c>
      <x:c r="L250" s="13" t="n">
        <x:f>IF(G250&lt;=I250,0,MAX(0,L249)+IF(E250="via",MAX(0,G250-MAX(F250,I250)),0))</x:f>
        <x:v>0.3906666666666667</x:v>
      </x:c>
    </x:row>
    <x:row r="251" ht="42" customHeight="1">
      <x:c r="A251" s="7" t="str">
        <x:v>BASE</x:v>
      </x:c>
      <x:c r="B251" s="7" t="str">
        <x:v>U18</x:v>
      </x:c>
      <x:c r="C251" s="7" t="str">
        <x:v>obsolete_audio</x:v>
      </x:c>
      <x:c r="D251" s="7" t="str">
        <x:v>철회되는 보고서의 선행 생성</x:v>
      </x:c>
      <x:c r="E251" s="7" t="str">
        <x:v>via</x:v>
      </x:c>
      <x:c r="F251" s="14" t="n">
        <x:v>-2</x:v>
      </x:c>
      <x:c r="G251" s="14" t="n">
        <x:v>0.8933333333333335</x:v>
      </x:c>
      <x:c r="H251" s="14" t="n">
        <x:v>2.8933333333333335</x:v>
      </x:c>
      <x:c r="I251" s="14" t="n">
        <x:v>0</x:v>
      </x:c>
      <x:c r="J251" s="7" t="str"/>
      <x:c r="K251" s="7" t="str">
        <x:v>speech</x:v>
      </x:c>
      <x:c r="L251" s="14" t="n">
        <x:f>IF(G251&lt;=I251,0,MAX(0)+IF(E251="via",MAX(0,G251-MAX(F251,I251)),0))</x:f>
        <x:v>0.8933333333333335</x:v>
      </x:c>
    </x:row>
    <x:row r="252" ht="42" customHeight="1">
      <x:c r="A252" s="12" t="str">
        <x:v>BASE</x:v>
      </x:c>
      <x:c r="B252" s="12" t="str">
        <x:v>U18</x:v>
      </x:c>
      <x:c r="C252" s="12" t="str">
        <x:v>first_chunk</x:v>
      </x:c>
      <x:c r="D252" s="12" t="str">
        <x:v>같은 생성 job의 유효 첫 chunk 관측</x:v>
      </x:c>
      <x:c r="E252" s="12" t="str">
        <x:v>via</x:v>
      </x:c>
      <x:c r="F252" s="13" t="n">
        <x:v>-2</x:v>
      </x:c>
      <x:c r="G252" s="13" t="n">
        <x:v>-1.5593333333333335</x:v>
      </x:c>
      <x:c r="H252" s="13" t="n">
        <x:v>0.44066666666666665</x:v>
      </x:c>
      <x:c r="I252" s="13" t="n">
        <x:v>0</x:v>
      </x:c>
      <x:c r="J252" s="12" t="str">
        <x:v>question_arrival</x:v>
      </x:c>
      <x:c r="K252" s="12" t="str">
        <x:v>none</x:v>
      </x:c>
      <x:c r="L252" s="13" t="n">
        <x:f>IF(G252&lt;=I252,0,MAX(0,L249)+IF(E252="via",MAX(0,G252-MAX(F252,I252)),0))</x:f>
        <x:v>0</x:v>
      </x:c>
    </x:row>
    <x:row r="253" ht="42" customHeight="1">
      <x:c r="A253" s="7" t="str">
        <x:v>BASE</x:v>
      </x:c>
      <x:c r="B253" s="7" t="str">
        <x:v>U18</x:v>
      </x:c>
      <x:c r="C253" s="7" t="str">
        <x:v>first_audio_output</x:v>
      </x:c>
      <x:c r="D253" s="7" t="str">
        <x:v>공통 장치의 첫 음성 출력</x:v>
      </x:c>
      <x:c r="E253" s="7" t="str">
        <x:v>via</x:v>
      </x:c>
      <x:c r="F253" s="14" t="n">
        <x:v>1.51</x:v>
      </x:c>
      <x:c r="G253" s="14" t="n">
        <x:v>1.55</x:v>
      </x:c>
      <x:c r="H253" s="14" t="n">
        <x:v>0.04</x:v>
      </x:c>
      <x:c r="I253" s="14" t="n">
        <x:v>0</x:v>
      </x:c>
      <x:c r="J253" s="7" t="str">
        <x:v>adopt, first_chunk</x:v>
      </x:c>
      <x:c r="K253" s="7" t="str">
        <x:v>none</x:v>
      </x:c>
      <x:c r="L253" s="14" t="n">
        <x:f>IF(G253&lt;=I253,0,MAX(0,L247,L252)+IF(E253="via",MAX(0,G253-MAX(F253,I253)),0))</x:f>
        <x:v>1.55</x:v>
      </x:c>
    </x:row>
    <x:row r="254" ht="42" customHeight="1">
      <x:c r="A254" s="12" t="str">
        <x:v>BASE</x:v>
      </x:c>
      <x:c r="B254" s="12" t="str">
        <x:v>U18</x:v>
      </x:c>
      <x:c r="C254" s="12" t="str">
        <x:v>terminal</x:v>
      </x:c>
      <x:c r="D254" s="12" t="str">
        <x:v>공통 목표 최종 상태와 전체 음성 준비</x:v>
      </x:c>
      <x:c r="E254" s="12" t="str">
        <x:v>via</x:v>
      </x:c>
      <x:c r="F254" s="13" t="n">
        <x:v>1.55</x:v>
      </x:c>
      <x:c r="G254" s="13" t="n">
        <x:v>1.55</x:v>
      </x:c>
      <x:c r="H254" s="13" t="n">
        <x:v>0</x:v>
      </x:c>
      <x:c r="I254" s="13" t="n">
        <x:v>0</x:v>
      </x:c>
      <x:c r="J254" s="12" t="str">
        <x:v>first_display, question_audio, first_audio_output, obsolete_audio</x:v>
      </x:c>
      <x:c r="K254" s="12" t="str">
        <x:v>none</x:v>
      </x:c>
      <x:c r="L254" s="13" t="n">
        <x:f>IF(G254&lt;=I254,0,MAX(0,L248,L250,L253,L251)+IF(E254="via",MAX(0,G254-MAX(F254,I254)),0))</x:f>
        <x:v>1.55</x:v>
      </x:c>
    </x:row>
    <x:row r="255" ht="42" customHeight="1">
      <x:c r="A255" s="7" t="str">
        <x:v>BASE</x:v>
      </x:c>
      <x:c r="B255" s="7" t="str">
        <x:v>U19</x:v>
      </x:c>
      <x:c r="C255" s="7" t="str">
        <x:v>input_end</x:v>
      </x:c>
      <x:c r="D255" s="7" t="str">
        <x:v>사용자 입력 종료</x:v>
      </x:c>
      <x:c r="E255" s="7" t="str">
        <x:v>external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7" t="str"/>
      <x:c r="K255" s="7" t="str">
        <x:v>none</x:v>
      </x:c>
      <x:c r="L255" s="14" t="n">
        <x:f>IF(G255&lt;=I255,0,MAX(0)+IF(E255="via",MAX(0,G255-MAX(F255,I255)),0))</x:f>
        <x:v>0</x:v>
      </x:c>
    </x:row>
    <x:row r="256" ht="42" customHeight="1">
      <x:c r="A256" s="12" t="str">
        <x:v>BASE</x:v>
      </x:c>
      <x:c r="B256" s="12" t="str">
        <x:v>U19</x:v>
      </x:c>
      <x:c r="C256" s="12" t="str">
        <x:v>intake</x:v>
      </x:c>
      <x:c r="D256" s="12" t="str">
        <x:v>입력 확정</x:v>
      </x:c>
      <x:c r="E256" s="12" t="str">
        <x:v>via</x:v>
      </x:c>
      <x:c r="F256" s="13" t="n">
        <x:v>0</x:v>
      </x:c>
      <x:c r="G256" s="13" t="n">
        <x:v>0.3</x:v>
      </x:c>
      <x:c r="H256" s="13" t="n">
        <x:v>0.3</x:v>
      </x:c>
      <x:c r="I256" s="13" t="n">
        <x:v>0</x:v>
      </x:c>
      <x:c r="J256" s="12" t="str">
        <x:v>input_end</x:v>
      </x:c>
      <x:c r="K256" s="12" t="str">
        <x:v>none</x:v>
      </x:c>
      <x:c r="L256" s="13" t="n">
        <x:f>IF(G256&lt;=I256,0,MAX(0,L255)+IF(E256="via",MAX(0,G256-MAX(F256,I256)),0))</x:f>
        <x:v>0.3</x:v>
      </x:c>
    </x:row>
    <x:row r="257" ht="42" customHeight="1">
      <x:c r="A257" s="7" t="str">
        <x:v>BASE</x:v>
      </x:c>
      <x:c r="B257" s="7" t="str">
        <x:v>U19</x:v>
      </x:c>
      <x:c r="C257" s="7" t="str">
        <x:v>read</x:v>
      </x:c>
      <x:c r="D257" s="7" t="str">
        <x:v>공통 허용 원본 조회</x:v>
      </x:c>
      <x:c r="E257" s="7" t="str">
        <x:v>via</x:v>
      </x:c>
      <x:c r="F257" s="14" t="n">
        <x:v>0.3</x:v>
      </x:c>
      <x:c r="G257" s="14" t="n">
        <x:v>0.38</x:v>
      </x:c>
      <x:c r="H257" s="14" t="n">
        <x:v>0.08</x:v>
      </x:c>
      <x:c r="I257" s="14" t="n">
        <x:v>0</x:v>
      </x:c>
      <x:c r="J257" s="7" t="str">
        <x:v>intake</x:v>
      </x:c>
      <x:c r="K257" s="7" t="str">
        <x:v>none</x:v>
      </x:c>
      <x:c r="L257" s="14" t="n">
        <x:f>IF(G257&lt;=I257,0,MAX(0,L256)+IF(E257="via",MAX(0,G257-MAX(F257,I257)),0))</x:f>
        <x:v>0.38</x:v>
      </x:c>
    </x:row>
    <x:row r="258" ht="42" customHeight="1">
      <x:c r="A258" s="12" t="str">
        <x:v>BASE</x:v>
      </x:c>
      <x:c r="B258" s="12" t="str">
        <x:v>U19</x:v>
      </x:c>
      <x:c r="C258" s="12" t="str">
        <x:v>meaning</x:v>
      </x:c>
      <x:c r="D258" s="12" t="str">
        <x:v>최초 요청 의미 채택 packet 생성</x:v>
      </x:c>
      <x:c r="E258" s="12" t="str">
        <x:v>via</x:v>
      </x:c>
      <x:c r="F258" s="13" t="n">
        <x:v>0.38</x:v>
      </x:c>
      <x:c r="G258" s="13" t="n">
        <x:v>1.48</x:v>
      </x:c>
      <x:c r="H258" s="13" t="n">
        <x:v>1.1</x:v>
      </x:c>
      <x:c r="I258" s="13" t="n">
        <x:v>0</x:v>
      </x:c>
      <x:c r="J258" s="12" t="str">
        <x:v>read</x:v>
      </x:c>
      <x:c r="K258" s="12" t="str">
        <x:v>semantic</x:v>
      </x:c>
      <x:c r="L258" s="13" t="n">
        <x:f>IF(G258&lt;=I258,0,MAX(0,L257)+IF(E258="via",MAX(0,G258-MAX(F258,I258)),0))</x:f>
        <x:v>1.48</x:v>
      </x:c>
    </x:row>
    <x:row r="259" ht="42" customHeight="1">
      <x:c r="A259" s="7" t="str">
        <x:v>BASE</x:v>
      </x:c>
      <x:c r="B259" s="7" t="str">
        <x:v>U19</x:v>
      </x:c>
      <x:c r="C259" s="7" t="str">
        <x:v>adopt</x:v>
      </x:c>
      <x:c r="D259" s="7" t="str">
        <x:v>현재 revision과 권한 검사 및 채택</x:v>
      </x:c>
      <x:c r="E259" s="7" t="str">
        <x:v>via</x:v>
      </x:c>
      <x:c r="F259" s="14" t="n">
        <x:v>1.48</x:v>
      </x:c>
      <x:c r="G259" s="14" t="n">
        <x:v>1.51</x:v>
      </x:c>
      <x:c r="H259" s="14" t="n">
        <x:v>0.03</x:v>
      </x:c>
      <x:c r="I259" s="14" t="n">
        <x:v>0</x:v>
      </x:c>
      <x:c r="J259" s="7" t="str">
        <x:v>meaning</x:v>
      </x:c>
      <x:c r="K259" s="7" t="str">
        <x:v>none</x:v>
      </x:c>
      <x:c r="L259" s="14" t="n">
        <x:f>IF(G259&lt;=I259,0,MAX(0,L258)+IF(E259="via",MAX(0,G259-MAX(F259,I259)),0))</x:f>
        <x:v>1.51</x:v>
      </x:c>
    </x:row>
    <x:row r="260" ht="42" customHeight="1">
      <x:c r="A260" s="12" t="str">
        <x:v>BASE</x:v>
      </x:c>
      <x:c r="B260" s="12" t="str">
        <x:v>U19</x:v>
      </x:c>
      <x:c r="C260" s="12" t="str">
        <x:v>first_display</x:v>
      </x:c>
      <x:c r="D260" s="12" t="str">
        <x:v>첫 구체적 채택 내용 화면 표시</x:v>
      </x:c>
      <x:c r="E260" s="12" t="str">
        <x:v>via</x:v>
      </x:c>
      <x:c r="F260" s="13" t="n">
        <x:v>1.51</x:v>
      </x:c>
      <x:c r="G260" s="13" t="n">
        <x:v>1.55</x:v>
      </x:c>
      <x:c r="H260" s="13" t="n">
        <x:v>0.04</x:v>
      </x:c>
      <x:c r="I260" s="13" t="n">
        <x:v>0</x:v>
      </x:c>
      <x:c r="J260" s="12" t="str">
        <x:v>adopt</x:v>
      </x:c>
      <x:c r="K260" s="12" t="str">
        <x:v>none</x:v>
      </x:c>
      <x:c r="L260" s="13" t="n">
        <x:f>IF(G260&lt;=I260,0,MAX(0,L259)+IF(E260="via",MAX(0,G260-MAX(F260,I260)),0))</x:f>
        <x:v>1.55</x:v>
      </x:c>
    </x:row>
    <x:row r="261" ht="42" customHeight="1">
      <x:c r="A261" s="7" t="str">
        <x:v>BASE</x:v>
      </x:c>
      <x:c r="B261" s="7" t="str">
        <x:v>U19</x:v>
      </x:c>
      <x:c r="C261" s="7" t="str">
        <x:v>question_arrival</x:v>
      </x:c>
      <x:c r="D261" s="7" t="str">
        <x:v>Agent 질문 텍스트 도착</x:v>
      </x:c>
      <x:c r="E261" s="7" t="str">
        <x:v>external</x:v>
      </x:c>
      <x:c r="F261" s="14" t="n">
        <x:v>-0.5</x:v>
      </x:c>
      <x:c r="G261" s="14" t="n">
        <x:v>-0.5</x:v>
      </x:c>
      <x:c r="H261" s="14" t="n">
        <x:v>0</x:v>
      </x:c>
      <x:c r="I261" s="14" t="n">
        <x:v>0</x:v>
      </x:c>
      <x:c r="J261" s="7" t="str"/>
      <x:c r="K261" s="7" t="str">
        <x:v>none</x:v>
      </x:c>
      <x:c r="L261" s="14" t="n">
        <x:f>IF(G261&lt;=I261,0,MAX(0)+IF(E261="via",MAX(0,G261-MAX(F261,I261)),0))</x:f>
        <x:v>0</x:v>
      </x:c>
    </x:row>
    <x:row r="262" ht="42" customHeight="1">
      <x:c r="A262" s="12" t="str">
        <x:v>BASE</x:v>
      </x:c>
      <x:c r="B262" s="12" t="str">
        <x:v>U19</x:v>
      </x:c>
      <x:c r="C262" s="12" t="str">
        <x:v>question_audio</x:v>
      </x:c>
      <x:c r="D262" s="12" t="str">
        <x:v>선택한 응답 음성 생성</x:v>
      </x:c>
      <x:c r="E262" s="12" t="str">
        <x:v>via</x:v>
      </x:c>
      <x:c r="F262" s="13" t="n">
        <x:v>-0.5</x:v>
      </x:c>
      <x:c r="G262" s="13" t="n">
        <x:v>1.388</x:v>
      </x:c>
      <x:c r="H262" s="13" t="n">
        <x:v>1.888</x:v>
      </x:c>
      <x:c r="I262" s="13" t="n">
        <x:v>0</x:v>
      </x:c>
      <x:c r="J262" s="12" t="str">
        <x:v>question_arrival</x:v>
      </x:c>
      <x:c r="K262" s="12" t="str">
        <x:v>speech</x:v>
      </x:c>
      <x:c r="L262" s="13" t="n">
        <x:f>IF(G262&lt;=I262,0,MAX(0,L261)+IF(E262="via",MAX(0,G262-MAX(F262,I262)),0))</x:f>
        <x:v>1.388</x:v>
      </x:c>
    </x:row>
    <x:row r="263" ht="42" customHeight="1">
      <x:c r="A263" s="7" t="str">
        <x:v>BASE</x:v>
      </x:c>
      <x:c r="B263" s="7" t="str">
        <x:v>U19</x:v>
      </x:c>
      <x:c r="C263" s="7" t="str">
        <x:v>old_audio</x:v>
      </x:c>
      <x:c r="D263" s="7" t="str">
        <x:v>중단 전 설명 생성</x:v>
      </x:c>
      <x:c r="E263" s="7" t="str">
        <x:v>via</x:v>
      </x:c>
      <x:c r="F263" s="14" t="n">
        <x:v>-2</x:v>
      </x:c>
      <x:c r="G263" s="14" t="n">
        <x:v>7.428000000000001</x:v>
      </x:c>
      <x:c r="H263" s="14" t="n">
        <x:v>9.428</x:v>
      </x:c>
      <x:c r="I263" s="14" t="n">
        <x:v>0</x:v>
      </x:c>
      <x:c r="J263" s="7" t="str"/>
      <x:c r="K263" s="7" t="str">
        <x:v>speech</x:v>
      </x:c>
      <x:c r="L263" s="14" t="n">
        <x:f>IF(G263&lt;=I263,0,MAX(0)+IF(E263="via",MAX(0,G263-MAX(F263,I263)),0))</x:f>
        <x:v>7.428000000000001</x:v>
      </x:c>
    </x:row>
    <x:row r="264" ht="42" customHeight="1">
      <x:c r="A264" s="12" t="str">
        <x:v>BASE</x:v>
      </x:c>
      <x:c r="B264" s="12" t="str">
        <x:v>U19</x:v>
      </x:c>
      <x:c r="C264" s="12" t="str">
        <x:v>first_chunk</x:v>
      </x:c>
      <x:c r="D264" s="12" t="str">
        <x:v>같은 생성 job의 유효 첫 chunk 관측</x:v>
      </x:c>
      <x:c r="E264" s="12" t="str">
        <x:v>via</x:v>
      </x:c>
      <x:c r="F264" s="13" t="n">
        <x:v>-0.5</x:v>
      </x:c>
      <x:c r="G264" s="13" t="n">
        <x:v>-0.062</x:v>
      </x:c>
      <x:c r="H264" s="13" t="n">
        <x:v>0.438</x:v>
      </x:c>
      <x:c r="I264" s="13" t="n">
        <x:v>0</x:v>
      </x:c>
      <x:c r="J264" s="12" t="str">
        <x:v>question_arrival</x:v>
      </x:c>
      <x:c r="K264" s="12" t="str">
        <x:v>none</x:v>
      </x:c>
      <x:c r="L264" s="13" t="n">
        <x:f>IF(G264&lt;=I264,0,MAX(0,L261)+IF(E264="via",MAX(0,G264-MAX(F264,I264)),0))</x:f>
        <x:v>0</x:v>
      </x:c>
    </x:row>
    <x:row r="265" ht="42" customHeight="1">
      <x:c r="A265" s="7" t="str">
        <x:v>BASE</x:v>
      </x:c>
      <x:c r="B265" s="7" t="str">
        <x:v>U19</x:v>
      </x:c>
      <x:c r="C265" s="7" t="str">
        <x:v>first_audio_output</x:v>
      </x:c>
      <x:c r="D265" s="7" t="str">
        <x:v>공통 장치의 첫 음성 출력</x:v>
      </x:c>
      <x:c r="E265" s="7" t="str">
        <x:v>via</x:v>
      </x:c>
      <x:c r="F265" s="14" t="n">
        <x:v>1.51</x:v>
      </x:c>
      <x:c r="G265" s="14" t="n">
        <x:v>1.55</x:v>
      </x:c>
      <x:c r="H265" s="14" t="n">
        <x:v>0.04</x:v>
      </x:c>
      <x:c r="I265" s="14" t="n">
        <x:v>0</x:v>
      </x:c>
      <x:c r="J265" s="7" t="str">
        <x:v>adopt, first_chunk</x:v>
      </x:c>
      <x:c r="K265" s="7" t="str">
        <x:v>none</x:v>
      </x:c>
      <x:c r="L265" s="14" t="n">
        <x:f>IF(G265&lt;=I265,0,MAX(0,L259,L264)+IF(E265="via",MAX(0,G265-MAX(F265,I265)),0))</x:f>
        <x:v>1.55</x:v>
      </x:c>
    </x:row>
    <x:row r="266" ht="42" customHeight="1">
      <x:c r="A266" s="12" t="str">
        <x:v>BASE</x:v>
      </x:c>
      <x:c r="B266" s="12" t="str">
        <x:v>U19</x:v>
      </x:c>
      <x:c r="C266" s="12" t="str">
        <x:v>question_play</x:v>
      </x:c>
      <x:c r="D266" s="12" t="str">
        <x:v>첫 출력부터 질문 순수 재생 및 차례</x:v>
      </x:c>
      <x:c r="E266" s="12" t="str">
        <x:v>external</x:v>
      </x:c>
      <x:c r="F266" s="13" t="n">
        <x:v>1.55</x:v>
      </x:c>
      <x:c r="G266" s="13" t="n">
        <x:v>7.55</x:v>
      </x:c>
      <x:c r="H266" s="13" t="n">
        <x:v>6</x:v>
      </x:c>
      <x:c r="I266" s="13" t="n">
        <x:v>0</x:v>
      </x:c>
      <x:c r="J266" s="12" t="str">
        <x:v>first_audio_output</x:v>
      </x:c>
      <x:c r="K266" s="12" t="str">
        <x:v>none</x:v>
      </x:c>
      <x:c r="L266" s="13" t="n">
        <x:f>IF(G266&lt;=I266,0,MAX(0,L265)+IF(E266="via",MAX(0,G266-MAX(F266,I266)),0))</x:f>
        <x:v>1.55</x:v>
      </x:c>
    </x:row>
    <x:row r="267" ht="42" customHeight="1">
      <x:c r="A267" s="7" t="str">
        <x:v>BASE</x:v>
      </x:c>
      <x:c r="B267" s="7" t="str">
        <x:v>U19</x:v>
      </x:c>
      <x:c r="C267" s="7" t="str">
        <x:v>terminal</x:v>
      </x:c>
      <x:c r="D267" s="7" t="str">
        <x:v>공통 목표 최종 상태와 전체 음성 준비</x:v>
      </x:c>
      <x:c r="E267" s="7" t="str">
        <x:v>via</x:v>
      </x:c>
      <x:c r="F267" s="14" t="n">
        <x:v>7.55</x:v>
      </x:c>
      <x:c r="G267" s="14" t="n">
        <x:v>7.55</x:v>
      </x:c>
      <x:c r="H267" s="14" t="n">
        <x:v>0</x:v>
      </x:c>
      <x:c r="I267" s="14" t="n">
        <x:v>0</x:v>
      </x:c>
      <x:c r="J267" s="7" t="str">
        <x:v>first_display, question_audio, first_audio_output, question_play, old_audio</x:v>
      </x:c>
      <x:c r="K267" s="7" t="str">
        <x:v>none</x:v>
      </x:c>
      <x:c r="L267" s="14" t="n">
        <x:f>IF(G267&lt;=I267,0,MAX(0,L260,L262,L265,L266,L263)+IF(E267="via",MAX(0,G267-MAX(F267,I267)),0))</x:f>
        <x:v>7.428000000000001</x:v>
      </x:c>
    </x:row>
    <x:row r="268" ht="42" customHeight="1">
      <x:c r="A268" s="12" t="str">
        <x:v>BASE</x:v>
      </x:c>
      <x:c r="B268" s="12" t="str">
        <x:v>U20</x:v>
      </x:c>
      <x:c r="C268" s="12" t="str">
        <x:v>input_end</x:v>
      </x:c>
      <x:c r="D268" s="12" t="str">
        <x:v>사용자 입력 종료</x:v>
      </x:c>
      <x:c r="E268" s="12" t="str">
        <x:v>external</x:v>
      </x:c>
      <x:c r="F268" s="13" t="n">
        <x:v>0</x:v>
      </x:c>
      <x:c r="G268" s="13" t="n">
        <x:v>0</x:v>
      </x:c>
      <x:c r="H268" s="13" t="n">
        <x:v>0</x:v>
      </x:c>
      <x:c r="I268" s="13" t="n">
        <x:v>0</x:v>
      </x:c>
      <x:c r="J268" s="12" t="str"/>
      <x:c r="K268" s="12" t="str">
        <x:v>none</x:v>
      </x:c>
      <x:c r="L268" s="13" t="n">
        <x:f>IF(G268&lt;=I268,0,MAX(0)+IF(E268="via",MAX(0,G268-MAX(F268,I268)),0))</x:f>
        <x:v>0</x:v>
      </x:c>
    </x:row>
    <x:row r="269" ht="42" customHeight="1">
      <x:c r="A269" s="7" t="str">
        <x:v>BASE</x:v>
      </x:c>
      <x:c r="B269" s="7" t="str">
        <x:v>U20</x:v>
      </x:c>
      <x:c r="C269" s="7" t="str">
        <x:v>intake</x:v>
      </x:c>
      <x:c r="D269" s="7" t="str">
        <x:v>입력 확정</x:v>
      </x:c>
      <x:c r="E269" s="7" t="str">
        <x:v>via</x:v>
      </x:c>
      <x:c r="F269" s="14" t="n">
        <x:v>0</x:v>
      </x:c>
      <x:c r="G269" s="14" t="n">
        <x:v>0.3</x:v>
      </x:c>
      <x:c r="H269" s="14" t="n">
        <x:v>0.3</x:v>
      </x:c>
      <x:c r="I269" s="14" t="n">
        <x:v>0</x:v>
      </x:c>
      <x:c r="J269" s="7" t="str">
        <x:v>input_end</x:v>
      </x:c>
      <x:c r="K269" s="7" t="str">
        <x:v>none</x:v>
      </x:c>
      <x:c r="L269" s="14" t="n">
        <x:f>IF(G269&lt;=I269,0,MAX(0,L268)+IF(E269="via",MAX(0,G269-MAX(F269,I269)),0))</x:f>
        <x:v>0.3</x:v>
      </x:c>
    </x:row>
    <x:row r="270" ht="42" customHeight="1">
      <x:c r="A270" s="12" t="str">
        <x:v>BASE</x:v>
      </x:c>
      <x:c r="B270" s="12" t="str">
        <x:v>U20</x:v>
      </x:c>
      <x:c r="C270" s="12" t="str">
        <x:v>read</x:v>
      </x:c>
      <x:c r="D270" s="12" t="str">
        <x:v>공통 허용 원본 조회</x:v>
      </x:c>
      <x:c r="E270" s="12" t="str">
        <x:v>via</x:v>
      </x:c>
      <x:c r="F270" s="13" t="n">
        <x:v>0.3</x:v>
      </x:c>
      <x:c r="G270" s="13" t="n">
        <x:v>0.38</x:v>
      </x:c>
      <x:c r="H270" s="13" t="n">
        <x:v>0.08</x:v>
      </x:c>
      <x:c r="I270" s="13" t="n">
        <x:v>0</x:v>
      </x:c>
      <x:c r="J270" s="12" t="str">
        <x:v>intake</x:v>
      </x:c>
      <x:c r="K270" s="12" t="str">
        <x:v>none</x:v>
      </x:c>
      <x:c r="L270" s="13" t="n">
        <x:f>IF(G270&lt;=I270,0,MAX(0,L269)+IF(E270="via",MAX(0,G270-MAX(F270,I270)),0))</x:f>
        <x:v>0.38</x:v>
      </x:c>
    </x:row>
    <x:row r="271" ht="42" customHeight="1">
      <x:c r="A271" s="7" t="str">
        <x:v>BASE</x:v>
      </x:c>
      <x:c r="B271" s="7" t="str">
        <x:v>U20</x:v>
      </x:c>
      <x:c r="C271" s="7" t="str">
        <x:v>meaning</x:v>
      </x:c>
      <x:c r="D271" s="7" t="str">
        <x:v>최초 요청 의미 채택 packet 생성</x:v>
      </x:c>
      <x:c r="E271" s="7" t="str">
        <x:v>via</x:v>
      </x:c>
      <x:c r="F271" s="14" t="n">
        <x:v>0.38</x:v>
      </x:c>
      <x:c r="G271" s="14" t="n">
        <x:v>1.48</x:v>
      </x:c>
      <x:c r="H271" s="14" t="n">
        <x:v>1.1</x:v>
      </x:c>
      <x:c r="I271" s="14" t="n">
        <x:v>0</x:v>
      </x:c>
      <x:c r="J271" s="7" t="str">
        <x:v>read</x:v>
      </x:c>
      <x:c r="K271" s="7" t="str">
        <x:v>semantic</x:v>
      </x:c>
      <x:c r="L271" s="14" t="n">
        <x:f>IF(G271&lt;=I271,0,MAX(0,L270)+IF(E271="via",MAX(0,G271-MAX(F271,I271)),0))</x:f>
        <x:v>1.48</x:v>
      </x:c>
    </x:row>
    <x:row r="272" ht="42" customHeight="1">
      <x:c r="A272" s="12" t="str">
        <x:v>BASE</x:v>
      </x:c>
      <x:c r="B272" s="12" t="str">
        <x:v>U20</x:v>
      </x:c>
      <x:c r="C272" s="12" t="str">
        <x:v>adopt</x:v>
      </x:c>
      <x:c r="D272" s="12" t="str">
        <x:v>현재 revision과 권한 검사 및 채택</x:v>
      </x:c>
      <x:c r="E272" s="12" t="str">
        <x:v>via</x:v>
      </x:c>
      <x:c r="F272" s="13" t="n">
        <x:v>1.48</x:v>
      </x:c>
      <x:c r="G272" s="13" t="n">
        <x:v>1.51</x:v>
      </x:c>
      <x:c r="H272" s="13" t="n">
        <x:v>0.03</x:v>
      </x:c>
      <x:c r="I272" s="13" t="n">
        <x:v>0</x:v>
      </x:c>
      <x:c r="J272" s="12" t="str">
        <x:v>meaning</x:v>
      </x:c>
      <x:c r="K272" s="12" t="str">
        <x:v>none</x:v>
      </x:c>
      <x:c r="L272" s="13" t="n">
        <x:f>IF(G272&lt;=I272,0,MAX(0,L271)+IF(E272="via",MAX(0,G272-MAX(F272,I272)),0))</x:f>
        <x:v>1.51</x:v>
      </x:c>
    </x:row>
    <x:row r="273" ht="42" customHeight="1">
      <x:c r="A273" s="7" t="str">
        <x:v>BASE</x:v>
      </x:c>
      <x:c r="B273" s="7" t="str">
        <x:v>U20</x:v>
      </x:c>
      <x:c r="C273" s="7" t="str">
        <x:v>first_display</x:v>
      </x:c>
      <x:c r="D273" s="7" t="str">
        <x:v>첫 구체적 채택 내용 화면 표시</x:v>
      </x:c>
      <x:c r="E273" s="7" t="str">
        <x:v>via</x:v>
      </x:c>
      <x:c r="F273" s="14" t="n">
        <x:v>1.51</x:v>
      </x:c>
      <x:c r="G273" s="14" t="n">
        <x:v>1.55</x:v>
      </x:c>
      <x:c r="H273" s="14" t="n">
        <x:v>0.04</x:v>
      </x:c>
      <x:c r="I273" s="14" t="n">
        <x:v>0</x:v>
      </x:c>
      <x:c r="J273" s="7" t="str">
        <x:v>adopt</x:v>
      </x:c>
      <x:c r="K273" s="7" t="str">
        <x:v>none</x:v>
      </x:c>
      <x:c r="L273" s="14" t="n">
        <x:f>IF(G273&lt;=I273,0,MAX(0,L272)+IF(E273="via",MAX(0,G273-MAX(F273,I273)),0))</x:f>
        <x:v>1.55</x:v>
      </x:c>
    </x:row>
    <x:row r="274" ht="42" customHeight="1">
      <x:c r="A274" s="12" t="str">
        <x:v>BASE</x:v>
      </x:c>
      <x:c r="B274" s="12" t="str">
        <x:v>U20</x:v>
      </x:c>
      <x:c r="C274" s="12" t="str">
        <x:v>existing_audio</x:v>
      </x:c>
      <x:c r="D274" s="12" t="str">
        <x:v>공통 유효 audio 초기 상태</x:v>
      </x:c>
      <x:c r="E274" s="12" t="str">
        <x:v>external</x:v>
      </x:c>
      <x:c r="F274" s="13" t="n">
        <x:v>-12</x:v>
      </x:c>
      <x:c r="G274" s="13" t="n">
        <x:v>-12</x:v>
      </x:c>
      <x:c r="H274" s="13" t="n">
        <x:v>0</x:v>
      </x:c>
      <x:c r="I274" s="13" t="n">
        <x:v>0</x:v>
      </x:c>
      <x:c r="J274" s="12" t="str"/>
      <x:c r="K274" s="12" t="str">
        <x:v>none</x:v>
      </x:c>
      <x:c r="L274" s="13" t="n">
        <x:f>IF(G274&lt;=I274,0,MAX(0)+IF(E274="via",MAX(0,G274-MAX(F274,I274)),0))</x:f>
        <x:v>0</x:v>
      </x:c>
    </x:row>
    <x:row r="275" ht="42" customHeight="1">
      <x:c r="A275" s="7" t="str">
        <x:v>BASE</x:v>
      </x:c>
      <x:c r="B275" s="7" t="str">
        <x:v>U20</x:v>
      </x:c>
      <x:c r="C275" s="7" t="str">
        <x:v>first_audio_output</x:v>
      </x:c>
      <x:c r="D275" s="7" t="str">
        <x:v>공통 장치의 첫 음성 출력</x:v>
      </x:c>
      <x:c r="E275" s="7" t="str">
        <x:v>via</x:v>
      </x:c>
      <x:c r="F275" s="14" t="n">
        <x:v>1.51</x:v>
      </x:c>
      <x:c r="G275" s="14" t="n">
        <x:v>1.55</x:v>
      </x:c>
      <x:c r="H275" s="14" t="n">
        <x:v>0.04</x:v>
      </x:c>
      <x:c r="I275" s="14" t="n">
        <x:v>0</x:v>
      </x:c>
      <x:c r="J275" s="7" t="str">
        <x:v>adopt, existing_audio</x:v>
      </x:c>
      <x:c r="K275" s="7" t="str">
        <x:v>none</x:v>
      </x:c>
      <x:c r="L275" s="14" t="n">
        <x:f>IF(G275&lt;=I275,0,MAX(0,L272,L274)+IF(E275="via",MAX(0,G275-MAX(F275,I275)),0))</x:f>
        <x:v>1.55</x:v>
      </x:c>
    </x:row>
    <x:row r="276" ht="42" customHeight="1">
      <x:c r="A276" s="12" t="str">
        <x:v>BASE</x:v>
      </x:c>
      <x:c r="B276" s="12" t="str">
        <x:v>U20</x:v>
      </x:c>
      <x:c r="C276" s="12" t="str">
        <x:v>terminal</x:v>
      </x:c>
      <x:c r="D276" s="12" t="str">
        <x:v>공통 목표 최종 상태와 전체 음성 준비</x:v>
      </x:c>
      <x:c r="E276" s="12" t="str">
        <x:v>via</x:v>
      </x:c>
      <x:c r="F276" s="13" t="n">
        <x:v>1.55</x:v>
      </x:c>
      <x:c r="G276" s="13" t="n">
        <x:v>1.55</x:v>
      </x:c>
      <x:c r="H276" s="13" t="n">
        <x:v>0</x:v>
      </x:c>
      <x:c r="I276" s="13" t="n">
        <x:v>0</x:v>
      </x:c>
      <x:c r="J276" s="12" t="str">
        <x:v>first_display, existing_audio, first_audio_output</x:v>
      </x:c>
      <x:c r="K276" s="12" t="str">
        <x:v>none</x:v>
      </x:c>
      <x:c r="L276" s="13" t="n">
        <x:f>IF(G276&lt;=I276,0,MAX(0,L273,L274,L275)+IF(E276="via",MAX(0,G276-MAX(F276,I276)),0))</x:f>
        <x:v>1.55</x:v>
      </x:c>
    </x:row>
    <x:row r="277" ht="42" customHeight="1">
      <x:c r="A277" s="7" t="str">
        <x:v>BASE</x:v>
      </x:c>
      <x:c r="B277" s="7" t="str">
        <x:v>U21</x:v>
      </x:c>
      <x:c r="C277" s="7" t="str">
        <x:v>bg1</x:v>
      </x:c>
      <x:c r="D277" s="7" t="str">
        <x:v>진행 중인 현재 대화의 의미 step</x:v>
      </x:c>
      <x:c r="E277" s="7" t="str">
        <x:v>via</x:v>
      </x:c>
      <x:c r="F277" s="14" t="n">
        <x:v>-1</x:v>
      </x:c>
      <x:c r="G277" s="14" t="n">
        <x:v>2.4</x:v>
      </x:c>
      <x:c r="H277" s="14" t="n">
        <x:v>3.4</x:v>
      </x:c>
      <x:c r="I277" s="14" t="n">
        <x:v>0</x:v>
      </x:c>
      <x:c r="J277" s="7" t="str"/>
      <x:c r="K277" s="7" t="str">
        <x:v>semantic</x:v>
      </x:c>
      <x:c r="L277" s="14" t="n">
        <x:f>IF(G277&lt;=I277,0,MAX(0)+IF(E277="via",MAX(0,G277-MAX(F277,I277)),0))</x:f>
        <x:v>2.4</x:v>
      </x:c>
    </x:row>
    <x:row r="278" ht="42" customHeight="1">
      <x:c r="A278" s="12" t="str">
        <x:v>BASE</x:v>
      </x:c>
      <x:c r="B278" s="12" t="str">
        <x:v>U21</x:v>
      </x:c>
      <x:c r="C278" s="12" t="str">
        <x:v>input_end</x:v>
      </x:c>
      <x:c r="D278" s="12" t="str">
        <x:v>사용자 입력 종료</x:v>
      </x:c>
      <x:c r="E278" s="12" t="str">
        <x:v>external</x:v>
      </x:c>
      <x:c r="F278" s="13" t="n">
        <x:v>0</x:v>
      </x:c>
      <x:c r="G278" s="13" t="n">
        <x:v>0</x:v>
      </x:c>
      <x:c r="H278" s="13" t="n">
        <x:v>0</x:v>
      </x:c>
      <x:c r="I278" s="13" t="n">
        <x:v>0</x:v>
      </x:c>
      <x:c r="J278" s="12" t="str"/>
      <x:c r="K278" s="12" t="str">
        <x:v>none</x:v>
      </x:c>
      <x:c r="L278" s="13" t="n">
        <x:f>IF(G278&lt;=I278,0,MAX(0)+IF(E278="via",MAX(0,G278-MAX(F278,I278)),0))</x:f>
        <x:v>0</x:v>
      </x:c>
    </x:row>
    <x:row r="279" ht="42" customHeight="1">
      <x:c r="A279" s="7" t="str">
        <x:v>BASE</x:v>
      </x:c>
      <x:c r="B279" s="7" t="str">
        <x:v>U21</x:v>
      </x:c>
      <x:c r="C279" s="7" t="str">
        <x:v>intake</x:v>
      </x:c>
      <x:c r="D279" s="7" t="str">
        <x:v>입력 확정</x:v>
      </x:c>
      <x:c r="E279" s="7" t="str">
        <x:v>via</x:v>
      </x:c>
      <x:c r="F279" s="14" t="n">
        <x:v>0</x:v>
      </x:c>
      <x:c r="G279" s="14" t="n">
        <x:v>0.3</x:v>
      </x:c>
      <x:c r="H279" s="14" t="n">
        <x:v>0.3</x:v>
      </x:c>
      <x:c r="I279" s="14" t="n">
        <x:v>0</x:v>
      </x:c>
      <x:c r="J279" s="7" t="str">
        <x:v>input_end</x:v>
      </x:c>
      <x:c r="K279" s="7" t="str">
        <x:v>none</x:v>
      </x:c>
      <x:c r="L279" s="14" t="n">
        <x:f>IF(G279&lt;=I279,0,MAX(0,L278)+IF(E279="via",MAX(0,G279-MAX(F279,I279)),0))</x:f>
        <x:v>0.3</x:v>
      </x:c>
    </x:row>
    <x:row r="280" ht="42" customHeight="1">
      <x:c r="A280" s="12" t="str">
        <x:v>BASE</x:v>
      </x:c>
      <x:c r="B280" s="12" t="str">
        <x:v>U21</x:v>
      </x:c>
      <x:c r="C280" s="12" t="str">
        <x:v>read</x:v>
      </x:c>
      <x:c r="D280" s="12" t="str">
        <x:v>공통 허용 원본 조회</x:v>
      </x:c>
      <x:c r="E280" s="12" t="str">
        <x:v>via</x:v>
      </x:c>
      <x:c r="F280" s="13" t="n">
        <x:v>0.3</x:v>
      </x:c>
      <x:c r="G280" s="13" t="n">
        <x:v>0.38</x:v>
      </x:c>
      <x:c r="H280" s="13" t="n">
        <x:v>0.08</x:v>
      </x:c>
      <x:c r="I280" s="13" t="n">
        <x:v>0</x:v>
      </x:c>
      <x:c r="J280" s="12" t="str">
        <x:v>intake</x:v>
      </x:c>
      <x:c r="K280" s="12" t="str">
        <x:v>none</x:v>
      </x:c>
      <x:c r="L280" s="13" t="n">
        <x:f>IF(G280&lt;=I280,0,MAX(0,L279)+IF(E280="via",MAX(0,G280-MAX(F280,I280)),0))</x:f>
        <x:v>0.38</x:v>
      </x:c>
    </x:row>
    <x:row r="281" ht="42" customHeight="1">
      <x:c r="A281" s="7" t="str">
        <x:v>BASE</x:v>
      </x:c>
      <x:c r="B281" s="7" t="str">
        <x:v>U21</x:v>
      </x:c>
      <x:c r="C281" s="7" t="str">
        <x:v>meaning</x:v>
      </x:c>
      <x:c r="D281" s="7" t="str">
        <x:v>최초 요청 의미 채택 packet 생성</x:v>
      </x:c>
      <x:c r="E281" s="7" t="str">
        <x:v>via</x:v>
      </x:c>
      <x:c r="F281" s="14" t="n">
        <x:v>2.4</x:v>
      </x:c>
      <x:c r="G281" s="14" t="n">
        <x:v>4.2</x:v>
      </x:c>
      <x:c r="H281" s="14" t="n">
        <x:v>1.8</x:v>
      </x:c>
      <x:c r="I281" s="14" t="n">
        <x:v>0</x:v>
      </x:c>
      <x:c r="J281" s="7" t="str">
        <x:v>read, bg1</x:v>
      </x:c>
      <x:c r="K281" s="7" t="str">
        <x:v>semantic</x:v>
      </x:c>
      <x:c r="L281" s="14" t="n">
        <x:f>IF(G281&lt;=I281,0,MAX(0,L280,L277)+IF(E281="via",MAX(0,G281-MAX(F281,I281)),0))</x:f>
        <x:v>4.2</x:v>
      </x:c>
    </x:row>
    <x:row r="282" ht="42" customHeight="1">
      <x:c r="A282" s="12" t="str">
        <x:v>BASE</x:v>
      </x:c>
      <x:c r="B282" s="12" t="str">
        <x:v>U21</x:v>
      </x:c>
      <x:c r="C282" s="12" t="str">
        <x:v>adopt</x:v>
      </x:c>
      <x:c r="D282" s="12" t="str">
        <x:v>현재 revision과 권한 검사 및 채택</x:v>
      </x:c>
      <x:c r="E282" s="12" t="str">
        <x:v>via</x:v>
      </x:c>
      <x:c r="F282" s="13" t="n">
        <x:v>4.2</x:v>
      </x:c>
      <x:c r="G282" s="13" t="n">
        <x:v>4.23</x:v>
      </x:c>
      <x:c r="H282" s="13" t="n">
        <x:v>0.03</x:v>
      </x:c>
      <x:c r="I282" s="13" t="n">
        <x:v>0</x:v>
      </x:c>
      <x:c r="J282" s="12" t="str">
        <x:v>meaning</x:v>
      </x:c>
      <x:c r="K282" s="12" t="str">
        <x:v>none</x:v>
      </x:c>
      <x:c r="L282" s="13" t="n">
        <x:f>IF(G282&lt;=I282,0,MAX(0,L281)+IF(E282="via",MAX(0,G282-MAX(F282,I282)),0))</x:f>
        <x:v>4.23</x:v>
      </x:c>
    </x:row>
    <x:row r="283" ht="42" customHeight="1">
      <x:c r="A283" s="7" t="str">
        <x:v>BASE</x:v>
      </x:c>
      <x:c r="B283" s="7" t="str">
        <x:v>U21</x:v>
      </x:c>
      <x:c r="C283" s="7" t="str">
        <x:v>first_display</x:v>
      </x:c>
      <x:c r="D283" s="7" t="str">
        <x:v>첫 구체적 채택 내용 화면 표시</x:v>
      </x:c>
      <x:c r="E283" s="7" t="str">
        <x:v>via</x:v>
      </x:c>
      <x:c r="F283" s="14" t="n">
        <x:v>4.23</x:v>
      </x:c>
      <x:c r="G283" s="14" t="n">
        <x:v>4.2700000000000005</x:v>
      </x:c>
      <x:c r="H283" s="14" t="n">
        <x:v>0.04</x:v>
      </x:c>
      <x:c r="I283" s="14" t="n">
        <x:v>0</x:v>
      </x:c>
      <x:c r="J283" s="7" t="str">
        <x:v>adopt</x:v>
      </x:c>
      <x:c r="K283" s="7" t="str">
        <x:v>none</x:v>
      </x:c>
      <x:c r="L283" s="14" t="n">
        <x:f>IF(G283&lt;=I283,0,MAX(0,L282)+IF(E283="via",MAX(0,G283-MAX(F283,I283)),0))</x:f>
        <x:v>4.2700000000000005</x:v>
      </x:c>
    </x:row>
    <x:row r="284" ht="42" customHeight="1">
      <x:c r="A284" s="12" t="str">
        <x:v>BASE</x:v>
      </x:c>
      <x:c r="B284" s="12" t="str">
        <x:v>U21</x:v>
      </x:c>
      <x:c r="C284" s="12" t="str">
        <x:v>agent_ingress</x:v>
      </x:c>
      <x:c r="D284" s="12" t="str">
        <x:v>Agent 요청 전송</x:v>
      </x:c>
      <x:c r="E284" s="12" t="str">
        <x:v>via</x:v>
      </x:c>
      <x:c r="F284" s="13" t="n">
        <x:v>4.23</x:v>
      </x:c>
      <x:c r="G284" s="13" t="n">
        <x:v>4.2700000000000005</x:v>
      </x:c>
      <x:c r="H284" s="13" t="n">
        <x:v>0.04</x:v>
      </x:c>
      <x:c r="I284" s="13" t="n">
        <x:v>0</x:v>
      </x:c>
      <x:c r="J284" s="12" t="str">
        <x:v>adopt</x:v>
      </x:c>
      <x:c r="K284" s="12" t="str">
        <x:v>none</x:v>
      </x:c>
      <x:c r="L284" s="13" t="n">
        <x:f>IF(G284&lt;=I284,0,MAX(0,L282)+IF(E284="via",MAX(0,G284-MAX(F284,I284)),0))</x:f>
        <x:v>4.2700000000000005</x:v>
      </x:c>
    </x:row>
    <x:row r="285" ht="42" customHeight="1">
      <x:c r="A285" s="7" t="str">
        <x:v>BASE</x:v>
      </x:c>
      <x:c r="B285" s="7" t="str">
        <x:v>U21</x:v>
      </x:c>
      <x:c r="C285" s="7" t="str">
        <x:v>agent_result</x:v>
      </x:c>
      <x:c r="D285" s="7" t="str">
        <x:v>외부 Agent 업무</x:v>
      </x:c>
      <x:c r="E285" s="7" t="str">
        <x:v>external</x:v>
      </x:c>
      <x:c r="F285" s="14" t="n">
        <x:v>4.2700000000000005</x:v>
      </x:c>
      <x:c r="G285" s="14" t="n">
        <x:v>12.27</x:v>
      </x:c>
      <x:c r="H285" s="14" t="n">
        <x:v>8</x:v>
      </x:c>
      <x:c r="I285" s="14" t="n">
        <x:v>0</x:v>
      </x:c>
      <x:c r="J285" s="7" t="str">
        <x:v>agent_ingress</x:v>
      </x:c>
      <x:c r="K285" s="7" t="str">
        <x:v>none</x:v>
      </x:c>
      <x:c r="L285" s="14" t="n">
        <x:f>IF(G285&lt;=I285,0,MAX(0,L284)+IF(E285="via",MAX(0,G285-MAX(F285,I285)),0))</x:f>
        <x:v>4.2700000000000005</x:v>
      </x:c>
    </x:row>
    <x:row r="286" ht="42" customHeight="1">
      <x:c r="A286" s="12" t="str">
        <x:v>BASE</x:v>
      </x:c>
      <x:c r="B286" s="12" t="str">
        <x:v>U21</x:v>
      </x:c>
      <x:c r="C286" s="12" t="str">
        <x:v>result_display</x:v>
      </x:c>
      <x:c r="D286" s="12" t="str">
        <x:v>최종 결과 상세 표시</x:v>
      </x:c>
      <x:c r="E286" s="12" t="str">
        <x:v>via</x:v>
      </x:c>
      <x:c r="F286" s="13" t="n">
        <x:v>12.27</x:v>
      </x:c>
      <x:c r="G286" s="13" t="n">
        <x:v>12.309999999999999</x:v>
      </x:c>
      <x:c r="H286" s="13" t="n">
        <x:v>0.04</x:v>
      </x:c>
      <x:c r="I286" s="13" t="n">
        <x:v>0</x:v>
      </x:c>
      <x:c r="J286" s="12" t="str">
        <x:v>agent_result</x:v>
      </x:c>
      <x:c r="K286" s="12" t="str">
        <x:v>none</x:v>
      </x:c>
      <x:c r="L286" s="13" t="n">
        <x:f>IF(G286&lt;=I286,0,MAX(0,L285)+IF(E286="via",MAX(0,G286-MAX(F286,I286)),0))</x:f>
        <x:v>4.31</x:v>
      </x:c>
    </x:row>
    <x:row r="287" ht="42" customHeight="1">
      <x:c r="A287" s="7" t="str">
        <x:v>BASE</x:v>
      </x:c>
      <x:c r="B287" s="7" t="str">
        <x:v>U21</x:v>
      </x:c>
      <x:c r="C287" s="7" t="str">
        <x:v>response_audio</x:v>
      </x:c>
      <x:c r="D287" s="7" t="str">
        <x:v>선택한 응답 음성 생성</x:v>
      </x:c>
      <x:c r="E287" s="7" t="str">
        <x:v>via</x:v>
      </x:c>
      <x:c r="F287" s="14" t="n">
        <x:v>12.27</x:v>
      </x:c>
      <x:c r="G287" s="14" t="n">
        <x:v>14.158</x:v>
      </x:c>
      <x:c r="H287" s="14" t="n">
        <x:v>1.888</x:v>
      </x:c>
      <x:c r="I287" s="14" t="n">
        <x:v>0</x:v>
      </x:c>
      <x:c r="J287" s="7" t="str">
        <x:v>agent_result</x:v>
      </x:c>
      <x:c r="K287" s="7" t="str">
        <x:v>speech</x:v>
      </x:c>
      <x:c r="L287" s="14" t="n">
        <x:f>IF(G287&lt;=I287,0,MAX(0,L285)+IF(E287="via",MAX(0,G287-MAX(F287,I287)),0))</x:f>
        <x:v>6.158</x:v>
      </x:c>
    </x:row>
    <x:row r="288" ht="42" customHeight="1">
      <x:c r="A288" s="12" t="str">
        <x:v>BASE</x:v>
      </x:c>
      <x:c r="B288" s="12" t="str">
        <x:v>U21</x:v>
      </x:c>
      <x:c r="C288" s="12" t="str">
        <x:v>intent_audio</x:v>
      </x:c>
      <x:c r="D288" s="12" t="str">
        <x:v>채택한 구체적 수행 의도의 짧은 음성</x:v>
      </x:c>
      <x:c r="E288" s="12" t="str">
        <x:v>via</x:v>
      </x:c>
      <x:c r="F288" s="13" t="n">
        <x:v>4.23</x:v>
      </x:c>
      <x:c r="G288" s="13" t="n">
        <x:v>5.364000000000001</x:v>
      </x:c>
      <x:c r="H288" s="13" t="n">
        <x:v>1.134</x:v>
      </x:c>
      <x:c r="I288" s="13" t="n">
        <x:v>0</x:v>
      </x:c>
      <x:c r="J288" s="12" t="str">
        <x:v>adopt</x:v>
      </x:c>
      <x:c r="K288" s="12" t="str">
        <x:v>speech</x:v>
      </x:c>
      <x:c r="L288" s="13" t="n">
        <x:f>IF(G288&lt;=I288,0,MAX(0,L282)+IF(E288="via",MAX(0,G288-MAX(F288,I288)),0))</x:f>
        <x:v>5.364000000000001</x:v>
      </x:c>
    </x:row>
    <x:row r="289" ht="42" customHeight="1">
      <x:c r="A289" s="7" t="str">
        <x:v>BASE</x:v>
      </x:c>
      <x:c r="B289" s="7" t="str">
        <x:v>U21</x:v>
      </x:c>
      <x:c r="C289" s="7" t="str">
        <x:v>first_chunk</x:v>
      </x:c>
      <x:c r="D289" s="7" t="str">
        <x:v>같은 생성 job의 유효 첫 chunk 관측</x:v>
      </x:c>
      <x:c r="E289" s="7" t="str">
        <x:v>via</x:v>
      </x:c>
      <x:c r="F289" s="14" t="n">
        <x:v>4.23</x:v>
      </x:c>
      <x:c r="G289" s="14" t="n">
        <x:v>4.664000000000001</x:v>
      </x:c>
      <x:c r="H289" s="14" t="n">
        <x:v>0.434</x:v>
      </x:c>
      <x:c r="I289" s="14" t="n">
        <x:v>0</x:v>
      </x:c>
      <x:c r="J289" s="7" t="str">
        <x:v>adopt</x:v>
      </x:c>
      <x:c r="K289" s="7" t="str">
        <x:v>none</x:v>
      </x:c>
      <x:c r="L289" s="14" t="n">
        <x:f>IF(G289&lt;=I289,0,MAX(0,L282)+IF(E289="via",MAX(0,G289-MAX(F289,I289)),0))</x:f>
        <x:v>4.664000000000001</x:v>
      </x:c>
    </x:row>
    <x:row r="290" ht="42" customHeight="1">
      <x:c r="A290" s="12" t="str">
        <x:v>BASE</x:v>
      </x:c>
      <x:c r="B290" s="12" t="str">
        <x:v>U21</x:v>
      </x:c>
      <x:c r="C290" s="12" t="str">
        <x:v>first_audio_output</x:v>
      </x:c>
      <x:c r="D290" s="12" t="str">
        <x:v>공통 장치의 첫 음성 출력</x:v>
      </x:c>
      <x:c r="E290" s="12" t="str">
        <x:v>via</x:v>
      </x:c>
      <x:c r="F290" s="13" t="n">
        <x:v>4.664000000000001</x:v>
      </x:c>
      <x:c r="G290" s="13" t="n">
        <x:v>4.704000000000001</x:v>
      </x:c>
      <x:c r="H290" s="13" t="n">
        <x:v>0.04</x:v>
      </x:c>
      <x:c r="I290" s="13" t="n">
        <x:v>0</x:v>
      </x:c>
      <x:c r="J290" s="12" t="str">
        <x:v>adopt, first_chunk</x:v>
      </x:c>
      <x:c r="K290" s="12" t="str">
        <x:v>none</x:v>
      </x:c>
      <x:c r="L290" s="13" t="n">
        <x:f>IF(G290&lt;=I290,0,MAX(0,L282,L289)+IF(E290="via",MAX(0,G290-MAX(F290,I290)),0))</x:f>
        <x:v>4.704000000000001</x:v>
      </x:c>
    </x:row>
    <x:row r="291" ht="42" customHeight="1">
      <x:c r="A291" s="7" t="str">
        <x:v>BASE</x:v>
      </x:c>
      <x:c r="B291" s="7" t="str">
        <x:v>U21</x:v>
      </x:c>
      <x:c r="C291" s="7" t="str">
        <x:v>next_speech_selection</x:v>
      </x:c>
      <x:c r="D291" s="7" t="str">
        <x:v>현재 발화 재생 후 다음 응답 선택</x:v>
      </x:c>
      <x:c r="E291" s="7" t="str">
        <x:v>external</x:v>
      </x:c>
      <x:c r="F291" s="14" t="n">
        <x:v>4.704000000000001</x:v>
      </x:c>
      <x:c r="G291" s="14" t="n">
        <x:v>7.704000000000001</x:v>
      </x:c>
      <x:c r="H291" s="14" t="n">
        <x:v>3</x:v>
      </x:c>
      <x:c r="I291" s="14" t="n">
        <x:v>0</x:v>
      </x:c>
      <x:c r="J291" s="7" t="str">
        <x:v>first_audio_output</x:v>
      </x:c>
      <x:c r="K291" s="7" t="str">
        <x:v>none</x:v>
      </x:c>
      <x:c r="L291" s="14" t="n">
        <x:f>IF(G291&lt;=I291,0,MAX(0,L290)+IF(E291="via",MAX(0,G291-MAX(F291,I291)),0))</x:f>
        <x:v>4.704000000000001</x:v>
      </x:c>
    </x:row>
    <x:row r="292" ht="42" customHeight="1">
      <x:c r="A292" s="12" t="str">
        <x:v>BASE</x:v>
      </x:c>
      <x:c r="B292" s="12" t="str">
        <x:v>U21</x:v>
      </x:c>
      <x:c r="C292" s="12" t="str">
        <x:v>terminal</x:v>
      </x:c>
      <x:c r="D292" s="12" t="str">
        <x:v>공통 목표 최종 상태와 전체 음성 준비</x:v>
      </x:c>
      <x:c r="E292" s="12" t="str">
        <x:v>via</x:v>
      </x:c>
      <x:c r="F292" s="13" t="n">
        <x:v>14.158</x:v>
      </x:c>
      <x:c r="G292" s="13" t="n">
        <x:v>14.158</x:v>
      </x:c>
      <x:c r="H292" s="13" t="n">
        <x:v>0</x:v>
      </x:c>
      <x:c r="I292" s="13" t="n">
        <x:v>0</x:v>
      </x:c>
      <x:c r="J292" s="12" t="str">
        <x:v>result_display, response_audio, intent_audio, first_audio_output</x:v>
      </x:c>
      <x:c r="K292" s="12" t="str">
        <x:v>none</x:v>
      </x:c>
      <x:c r="L292" s="13" t="n">
        <x:f>IF(G292&lt;=I292,0,MAX(0,L286,L287,L288,L290)+IF(E292="via",MAX(0,G292-MAX(F292,I292)),0))</x:f>
        <x:v>6.158</x:v>
      </x:c>
    </x:row>
    <x:row r="293" ht="42" customHeight="1">
      <x:c r="A293" s="7" t="str">
        <x:v>BASE</x:v>
      </x:c>
      <x:c r="B293" s="7" t="str">
        <x:v>U22</x:v>
      </x:c>
      <x:c r="C293" s="7" t="str">
        <x:v>input_end</x:v>
      </x:c>
      <x:c r="D293" s="7" t="str">
        <x:v>사용자 입력 종료</x:v>
      </x:c>
      <x:c r="E293" s="7" t="str">
        <x:v>external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7" t="str"/>
      <x:c r="K293" s="7" t="str">
        <x:v>none</x:v>
      </x:c>
      <x:c r="L293" s="14" t="n">
        <x:f>IF(G293&lt;=I293,0,MAX(0)+IF(E293="via",MAX(0,G293-MAX(F293,I293)),0))</x:f>
        <x:v>0</x:v>
      </x:c>
    </x:row>
    <x:row r="294" ht="42" customHeight="1">
      <x:c r="A294" s="12" t="str">
        <x:v>BASE</x:v>
      </x:c>
      <x:c r="B294" s="12" t="str">
        <x:v>U22</x:v>
      </x:c>
      <x:c r="C294" s="12" t="str">
        <x:v>intake</x:v>
      </x:c>
      <x:c r="D294" s="12" t="str">
        <x:v>입력 확정</x:v>
      </x:c>
      <x:c r="E294" s="12" t="str">
        <x:v>via</x:v>
      </x:c>
      <x:c r="F294" s="13" t="n">
        <x:v>0</x:v>
      </x:c>
      <x:c r="G294" s="13" t="n">
        <x:v>0.3</x:v>
      </x:c>
      <x:c r="H294" s="13" t="n">
        <x:v>0.3</x:v>
      </x:c>
      <x:c r="I294" s="13" t="n">
        <x:v>0</x:v>
      </x:c>
      <x:c r="J294" s="12" t="str">
        <x:v>input_end</x:v>
      </x:c>
      <x:c r="K294" s="12" t="str">
        <x:v>none</x:v>
      </x:c>
      <x:c r="L294" s="13" t="n">
        <x:f>IF(G294&lt;=I294,0,MAX(0,L293)+IF(E294="via",MAX(0,G294-MAX(F294,I294)),0))</x:f>
        <x:v>0.3</x:v>
      </x:c>
    </x:row>
    <x:row r="295" ht="42" customHeight="1">
      <x:c r="A295" s="7" t="str">
        <x:v>BASE</x:v>
      </x:c>
      <x:c r="B295" s="7" t="str">
        <x:v>U22</x:v>
      </x:c>
      <x:c r="C295" s="7" t="str">
        <x:v>read</x:v>
      </x:c>
      <x:c r="D295" s="7" t="str">
        <x:v>공통 허용 원본 조회</x:v>
      </x:c>
      <x:c r="E295" s="7" t="str">
        <x:v>via</x:v>
      </x:c>
      <x:c r="F295" s="14" t="n">
        <x:v>0.3</x:v>
      </x:c>
      <x:c r="G295" s="14" t="n">
        <x:v>0.38</x:v>
      </x:c>
      <x:c r="H295" s="14" t="n">
        <x:v>0.08</x:v>
      </x:c>
      <x:c r="I295" s="14" t="n">
        <x:v>0</x:v>
      </x:c>
      <x:c r="J295" s="7" t="str">
        <x:v>intake</x:v>
      </x:c>
      <x:c r="K295" s="7" t="str">
        <x:v>none</x:v>
      </x:c>
      <x:c r="L295" s="14" t="n">
        <x:f>IF(G295&lt;=I295,0,MAX(0,L294)+IF(E295="via",MAX(0,G295-MAX(F295,I295)),0))</x:f>
        <x:v>0.38</x:v>
      </x:c>
    </x:row>
    <x:row r="296" ht="42" customHeight="1">
      <x:c r="A296" s="12" t="str">
        <x:v>BASE</x:v>
      </x:c>
      <x:c r="B296" s="12" t="str">
        <x:v>U22</x:v>
      </x:c>
      <x:c r="C296" s="12" t="str">
        <x:v>pre_raw</x:v>
      </x:c>
      <x:c r="D296" s="12" t="str">
        <x:v>선행 원본 화면 해석</x:v>
      </x:c>
      <x:c r="E296" s="12" t="str">
        <x:v>via</x:v>
      </x:c>
      <x:c r="F296" s="13" t="n">
        <x:v>-12</x:v>
      </x:c>
      <x:c r="G296" s="13" t="n">
        <x:v>-10.6</x:v>
      </x:c>
      <x:c r="H296" s="13" t="n">
        <x:v>1.4000000000000001</x:v>
      </x:c>
      <x:c r="I296" s="13" t="n">
        <x:v>0</x:v>
      </x:c>
      <x:c r="J296" s="12" t="str"/>
      <x:c r="K296" s="12" t="str">
        <x:v>semantic</x:v>
      </x:c>
      <x:c r="L296" s="13" t="n">
        <x:f>IF(G296&lt;=I296,0,MAX(0)+IF(E296="via",MAX(0,G296-MAX(F296,I296)),0))</x:f>
        <x:v>0</x:v>
      </x:c>
    </x:row>
    <x:row r="297" ht="42" customHeight="1">
      <x:c r="A297" s="7" t="str">
        <x:v>BASE</x:v>
      </x:c>
      <x:c r="B297" s="7" t="str">
        <x:v>U22</x:v>
      </x:c>
      <x:c r="C297" s="7" t="str">
        <x:v>read_new_view</x:v>
      </x:c>
      <x:c r="D297" s="7" t="str">
        <x:v>새 viewport 원본 조회</x:v>
      </x:c>
      <x:c r="E297" s="7" t="str">
        <x:v>via</x:v>
      </x:c>
      <x:c r="F297" s="14" t="n">
        <x:v>0.38</x:v>
      </x:c>
      <x:c r="G297" s="14" t="n">
        <x:v>0.46</x:v>
      </x:c>
      <x:c r="H297" s="14" t="n">
        <x:v>0.08</x:v>
      </x:c>
      <x:c r="I297" s="14" t="n">
        <x:v>0</x:v>
      </x:c>
      <x:c r="J297" s="7" t="str">
        <x:v>read, pre_raw</x:v>
      </x:c>
      <x:c r="K297" s="7" t="str">
        <x:v>none</x:v>
      </x:c>
      <x:c r="L297" s="14" t="n">
        <x:f>IF(G297&lt;=I297,0,MAX(0,L295,L296)+IF(E297="via",MAX(0,G297-MAX(F297,I297)),0))</x:f>
        <x:v>0.46</x:v>
      </x:c>
    </x:row>
    <x:row r="298" ht="42" customHeight="1">
      <x:c r="A298" s="12" t="str">
        <x:v>BASE</x:v>
      </x:c>
      <x:c r="B298" s="12" t="str">
        <x:v>U22</x:v>
      </x:c>
      <x:c r="C298" s="12" t="str">
        <x:v>meaning</x:v>
      </x:c>
      <x:c r="D298" s="12" t="str">
        <x:v>최초 요청 의미 채택 packet 생성</x:v>
      </x:c>
      <x:c r="E298" s="12" t="str">
        <x:v>via</x:v>
      </x:c>
      <x:c r="F298" s="13" t="n">
        <x:v>0.46</x:v>
      </x:c>
      <x:c r="G298" s="13" t="n">
        <x:v>1.86</x:v>
      </x:c>
      <x:c r="H298" s="13" t="n">
        <x:v>1.4000000000000001</x:v>
      </x:c>
      <x:c r="I298" s="13" t="n">
        <x:v>0</x:v>
      </x:c>
      <x:c r="J298" s="12" t="str">
        <x:v>read_new_view</x:v>
      </x:c>
      <x:c r="K298" s="12" t="str">
        <x:v>semantic</x:v>
      </x:c>
      <x:c r="L298" s="13" t="n">
        <x:f>IF(G298&lt;=I298,0,MAX(0,L297)+IF(E298="via",MAX(0,G298-MAX(F298,I298)),0))</x:f>
        <x:v>1.86</x:v>
      </x:c>
    </x:row>
    <x:row r="299" ht="42" customHeight="1">
      <x:c r="A299" s="7" t="str">
        <x:v>BASE</x:v>
      </x:c>
      <x:c r="B299" s="7" t="str">
        <x:v>U22</x:v>
      </x:c>
      <x:c r="C299" s="7" t="str">
        <x:v>adopt</x:v>
      </x:c>
      <x:c r="D299" s="7" t="str">
        <x:v>현재 revision과 권한 검사 및 채택</x:v>
      </x:c>
      <x:c r="E299" s="7" t="str">
        <x:v>via</x:v>
      </x:c>
      <x:c r="F299" s="14" t="n">
        <x:v>1.86</x:v>
      </x:c>
      <x:c r="G299" s="14" t="n">
        <x:v>1.8900000000000001</x:v>
      </x:c>
      <x:c r="H299" s="14" t="n">
        <x:v>0.03</x:v>
      </x:c>
      <x:c r="I299" s="14" t="n">
        <x:v>0</x:v>
      </x:c>
      <x:c r="J299" s="7" t="str">
        <x:v>meaning</x:v>
      </x:c>
      <x:c r="K299" s="7" t="str">
        <x:v>none</x:v>
      </x:c>
      <x:c r="L299" s="14" t="n">
        <x:f>IF(G299&lt;=I299,0,MAX(0,L298)+IF(E299="via",MAX(0,G299-MAX(F299,I299)),0))</x:f>
        <x:v>1.8900000000000001</x:v>
      </x:c>
    </x:row>
    <x:row r="300" ht="42" customHeight="1">
      <x:c r="A300" s="12" t="str">
        <x:v>BASE</x:v>
      </x:c>
      <x:c r="B300" s="12" t="str">
        <x:v>U22</x:v>
      </x:c>
      <x:c r="C300" s="12" t="str">
        <x:v>first_display</x:v>
      </x:c>
      <x:c r="D300" s="12" t="str">
        <x:v>첫 구체적 채택 내용 화면 표시</x:v>
      </x:c>
      <x:c r="E300" s="12" t="str">
        <x:v>via</x:v>
      </x:c>
      <x:c r="F300" s="13" t="n">
        <x:v>1.8900000000000001</x:v>
      </x:c>
      <x:c r="G300" s="13" t="n">
        <x:v>1.9300000000000002</x:v>
      </x:c>
      <x:c r="H300" s="13" t="n">
        <x:v>0.04</x:v>
      </x:c>
      <x:c r="I300" s="13" t="n">
        <x:v>0</x:v>
      </x:c>
      <x:c r="J300" s="12" t="str">
        <x:v>adopt</x:v>
      </x:c>
      <x:c r="K300" s="12" t="str">
        <x:v>none</x:v>
      </x:c>
      <x:c r="L300" s="13" t="n">
        <x:f>IF(G300&lt;=I300,0,MAX(0,L299)+IF(E300="via",MAX(0,G300-MAX(F300,I300)),0))</x:f>
        <x:v>1.9300000000000002</x:v>
      </x:c>
    </x:row>
    <x:row r="301" ht="42" customHeight="1">
      <x:c r="A301" s="7" t="str">
        <x:v>BASE</x:v>
      </x:c>
      <x:c r="B301" s="7" t="str">
        <x:v>U22</x:v>
      </x:c>
      <x:c r="C301" s="7" t="str">
        <x:v>agent_ingress</x:v>
      </x:c>
      <x:c r="D301" s="7" t="str">
        <x:v>Agent 요청 전송</x:v>
      </x:c>
      <x:c r="E301" s="7" t="str">
        <x:v>via</x:v>
      </x:c>
      <x:c r="F301" s="14" t="n">
        <x:v>1.8900000000000001</x:v>
      </x:c>
      <x:c r="G301" s="14" t="n">
        <x:v>1.9300000000000002</x:v>
      </x:c>
      <x:c r="H301" s="14" t="n">
        <x:v>0.04</x:v>
      </x:c>
      <x:c r="I301" s="14" t="n">
        <x:v>0</x:v>
      </x:c>
      <x:c r="J301" s="7" t="str">
        <x:v>adopt</x:v>
      </x:c>
      <x:c r="K301" s="7" t="str">
        <x:v>none</x:v>
      </x:c>
      <x:c r="L301" s="14" t="n">
        <x:f>IF(G301&lt;=I301,0,MAX(0,L299)+IF(E301="via",MAX(0,G301-MAX(F301,I301)),0))</x:f>
        <x:v>1.9300000000000002</x:v>
      </x:c>
    </x:row>
    <x:row r="302" ht="42" customHeight="1">
      <x:c r="A302" s="12" t="str">
        <x:v>BASE</x:v>
      </x:c>
      <x:c r="B302" s="12" t="str">
        <x:v>U22</x:v>
      </x:c>
      <x:c r="C302" s="12" t="str">
        <x:v>agent_result</x:v>
      </x:c>
      <x:c r="D302" s="12" t="str">
        <x:v>외부 Agent 업무</x:v>
      </x:c>
      <x:c r="E302" s="12" t="str">
        <x:v>external</x:v>
      </x:c>
      <x:c r="F302" s="13" t="n">
        <x:v>1.9300000000000002</x:v>
      </x:c>
      <x:c r="G302" s="13" t="n">
        <x:v>9.93</x:v>
      </x:c>
      <x:c r="H302" s="13" t="n">
        <x:v>8</x:v>
      </x:c>
      <x:c r="I302" s="13" t="n">
        <x:v>0</x:v>
      </x:c>
      <x:c r="J302" s="12" t="str">
        <x:v>agent_ingress</x:v>
      </x:c>
      <x:c r="K302" s="12" t="str">
        <x:v>none</x:v>
      </x:c>
      <x:c r="L302" s="13" t="n">
        <x:f>IF(G302&lt;=I302,0,MAX(0,L301)+IF(E302="via",MAX(0,G302-MAX(F302,I302)),0))</x:f>
        <x:v>1.9300000000000002</x:v>
      </x:c>
    </x:row>
    <x:row r="303" ht="42" customHeight="1">
      <x:c r="A303" s="7" t="str">
        <x:v>BASE</x:v>
      </x:c>
      <x:c r="B303" s="7" t="str">
        <x:v>U22</x:v>
      </x:c>
      <x:c r="C303" s="7" t="str">
        <x:v>result_display</x:v>
      </x:c>
      <x:c r="D303" s="7" t="str">
        <x:v>최종 결과 상세 표시</x:v>
      </x:c>
      <x:c r="E303" s="7" t="str">
        <x:v>via</x:v>
      </x:c>
      <x:c r="F303" s="14" t="n">
        <x:v>9.93</x:v>
      </x:c>
      <x:c r="G303" s="14" t="n">
        <x:v>9.969999999999999</x:v>
      </x:c>
      <x:c r="H303" s="14" t="n">
        <x:v>0.04</x:v>
      </x:c>
      <x:c r="I303" s="14" t="n">
        <x:v>0</x:v>
      </x:c>
      <x:c r="J303" s="7" t="str">
        <x:v>agent_result</x:v>
      </x:c>
      <x:c r="K303" s="7" t="str">
        <x:v>none</x:v>
      </x:c>
      <x:c r="L303" s="14" t="n">
        <x:f>IF(G303&lt;=I303,0,MAX(0,L302)+IF(E303="via",MAX(0,G303-MAX(F303,I303)),0))</x:f>
        <x:v>1.9699999999999993</x:v>
      </x:c>
    </x:row>
    <x:row r="304" ht="42" customHeight="1">
      <x:c r="A304" s="12" t="str">
        <x:v>BASE</x:v>
      </x:c>
      <x:c r="B304" s="12" t="str">
        <x:v>U22</x:v>
      </x:c>
      <x:c r="C304" s="12" t="str">
        <x:v>question_arrival</x:v>
      </x:c>
      <x:c r="D304" s="12" t="str">
        <x:v>Agent 질문 텍스트 도착</x:v>
      </x:c>
      <x:c r="E304" s="12" t="str">
        <x:v>external</x:v>
      </x:c>
      <x:c r="F304" s="13" t="n">
        <x:v>-2</x:v>
      </x:c>
      <x:c r="G304" s="13" t="n">
        <x:v>-2</x:v>
      </x:c>
      <x:c r="H304" s="13" t="n">
        <x:v>0</x:v>
      </x:c>
      <x:c r="I304" s="13" t="n">
        <x:v>0</x:v>
      </x:c>
      <x:c r="J304" s="12" t="str"/>
      <x:c r="K304" s="12" t="str">
        <x:v>none</x:v>
      </x:c>
      <x:c r="L304" s="13" t="n">
        <x:f>IF(G304&lt;=I304,0,MAX(0)+IF(E304="via",MAX(0,G304-MAX(F304,I304)),0))</x:f>
        <x:v>0</x:v>
      </x:c>
    </x:row>
    <x:row r="305" ht="42" customHeight="1">
      <x:c r="A305" s="7" t="str">
        <x:v>BASE</x:v>
      </x:c>
      <x:c r="B305" s="7" t="str">
        <x:v>U22</x:v>
      </x:c>
      <x:c r="C305" s="7" t="str">
        <x:v>question_audio</x:v>
      </x:c>
      <x:c r="D305" s="7" t="str">
        <x:v>선택한 응답 음성 생성</x:v>
      </x:c>
      <x:c r="E305" s="7" t="str">
        <x:v>via</x:v>
      </x:c>
      <x:c r="F305" s="14" t="n">
        <x:v>-2</x:v>
      </x:c>
      <x:c r="G305" s="14" t="n">
        <x:v>-0.1120000000000001</x:v>
      </x:c>
      <x:c r="H305" s="14" t="n">
        <x:v>1.888</x:v>
      </x:c>
      <x:c r="I305" s="14" t="n">
        <x:v>0</x:v>
      </x:c>
      <x:c r="J305" s="7" t="str">
        <x:v>question_arrival</x:v>
      </x:c>
      <x:c r="K305" s="7" t="str">
        <x:v>speech</x:v>
      </x:c>
      <x:c r="L305" s="14" t="n">
        <x:f>IF(G305&lt;=I305,0,MAX(0,L304)+IF(E305="via",MAX(0,G305-MAX(F305,I305)),0))</x:f>
        <x:v>0</x:v>
      </x:c>
    </x:row>
    <x:row r="306" ht="42" customHeight="1">
      <x:c r="A306" s="12" t="str">
        <x:v>BASE</x:v>
      </x:c>
      <x:c r="B306" s="12" t="str">
        <x:v>U22</x:v>
      </x:c>
      <x:c r="C306" s="12" t="str">
        <x:v>final_result_audio</x:v>
      </x:c>
      <x:c r="D306" s="12" t="str">
        <x:v>새 업무 최종 결과 음성 준비</x:v>
      </x:c>
      <x:c r="E306" s="12" t="str">
        <x:v>via</x:v>
      </x:c>
      <x:c r="F306" s="13" t="n">
        <x:v>9.93</x:v>
      </x:c>
      <x:c r="G306" s="13" t="n">
        <x:v>11.818</x:v>
      </x:c>
      <x:c r="H306" s="13" t="n">
        <x:v>1.888</x:v>
      </x:c>
      <x:c r="I306" s="13" t="n">
        <x:v>0</x:v>
      </x:c>
      <x:c r="J306" s="12" t="str">
        <x:v>agent_result</x:v>
      </x:c>
      <x:c r="K306" s="12" t="str">
        <x:v>speech</x:v>
      </x:c>
      <x:c r="L306" s="13" t="n">
        <x:f>IF(G306&lt;=I306,0,MAX(0,L302)+IF(E306="via",MAX(0,G306-MAX(F306,I306)),0))</x:f>
        <x:v>3.818</x:v>
      </x:c>
    </x:row>
    <x:row r="307" ht="42" customHeight="1">
      <x:c r="A307" s="7" t="str">
        <x:v>BASE</x:v>
      </x:c>
      <x:c r="B307" s="7" t="str">
        <x:v>U22</x:v>
      </x:c>
      <x:c r="C307" s="7" t="str">
        <x:v>first_chunk</x:v>
      </x:c>
      <x:c r="D307" s="7" t="str">
        <x:v>같은 생성 job의 유효 첫 chunk 관측</x:v>
      </x:c>
      <x:c r="E307" s="7" t="str">
        <x:v>via</x:v>
      </x:c>
      <x:c r="F307" s="14" t="n">
        <x:v>-2</x:v>
      </x:c>
      <x:c r="G307" s="14" t="n">
        <x:v>-1.562</x:v>
      </x:c>
      <x:c r="H307" s="14" t="n">
        <x:v>0.438</x:v>
      </x:c>
      <x:c r="I307" s="14" t="n">
        <x:v>0</x:v>
      </x:c>
      <x:c r="J307" s="7" t="str">
        <x:v>question_arrival</x:v>
      </x:c>
      <x:c r="K307" s="7" t="str">
        <x:v>none</x:v>
      </x:c>
      <x:c r="L307" s="14" t="n">
        <x:f>IF(G307&lt;=I307,0,MAX(0,L304)+IF(E307="via",MAX(0,G307-MAX(F307,I307)),0))</x:f>
        <x:v>0</x:v>
      </x:c>
    </x:row>
    <x:row r="308" ht="42" customHeight="1">
      <x:c r="A308" s="12" t="str">
        <x:v>BASE</x:v>
      </x:c>
      <x:c r="B308" s="12" t="str">
        <x:v>U22</x:v>
      </x:c>
      <x:c r="C308" s="12" t="str">
        <x:v>first_audio_output</x:v>
      </x:c>
      <x:c r="D308" s="12" t="str">
        <x:v>공통 장치의 첫 음성 출력</x:v>
      </x:c>
      <x:c r="E308" s="12" t="str">
        <x:v>via</x:v>
      </x:c>
      <x:c r="F308" s="13" t="n">
        <x:v>1.8900000000000001</x:v>
      </x:c>
      <x:c r="G308" s="13" t="n">
        <x:v>1.9300000000000002</x:v>
      </x:c>
      <x:c r="H308" s="13" t="n">
        <x:v>0.04</x:v>
      </x:c>
      <x:c r="I308" s="13" t="n">
        <x:v>0</x:v>
      </x:c>
      <x:c r="J308" s="12" t="str">
        <x:v>adopt, first_chunk</x:v>
      </x:c>
      <x:c r="K308" s="12" t="str">
        <x:v>none</x:v>
      </x:c>
      <x:c r="L308" s="13" t="n">
        <x:f>IF(G308&lt;=I308,0,MAX(0,L299,L307)+IF(E308="via",MAX(0,G308-MAX(F308,I308)),0))</x:f>
        <x:v>1.9300000000000002</x:v>
      </x:c>
    </x:row>
    <x:row r="309" ht="42" customHeight="1">
      <x:c r="A309" s="7" t="str">
        <x:v>BASE</x:v>
      </x:c>
      <x:c r="B309" s="7" t="str">
        <x:v>U22</x:v>
      </x:c>
      <x:c r="C309" s="7" t="str">
        <x:v>next_speech_selection</x:v>
      </x:c>
      <x:c r="D309" s="7" t="str">
        <x:v>현재 발화 재생 후 다음 응답 선택</x:v>
      </x:c>
      <x:c r="E309" s="7" t="str">
        <x:v>external</x:v>
      </x:c>
      <x:c r="F309" s="14" t="n">
        <x:v>1.9300000000000002</x:v>
      </x:c>
      <x:c r="G309" s="14" t="n">
        <x:v>7.93</x:v>
      </x:c>
      <x:c r="H309" s="14" t="n">
        <x:v>6</x:v>
      </x:c>
      <x:c r="I309" s="14" t="n">
        <x:v>0</x:v>
      </x:c>
      <x:c r="J309" s="7" t="str">
        <x:v>first_audio_output</x:v>
      </x:c>
      <x:c r="K309" s="7" t="str">
        <x:v>none</x:v>
      </x:c>
      <x:c r="L309" s="14" t="n">
        <x:f>IF(G309&lt;=I309,0,MAX(0,L308)+IF(E309="via",MAX(0,G309-MAX(F309,I309)),0))</x:f>
        <x:v>1.9300000000000002</x:v>
      </x:c>
    </x:row>
    <x:row r="310" ht="42" customHeight="1">
      <x:c r="A310" s="12" t="str">
        <x:v>BASE</x:v>
      </x:c>
      <x:c r="B310" s="12" t="str">
        <x:v>U22</x:v>
      </x:c>
      <x:c r="C310" s="12" t="str">
        <x:v>terminal</x:v>
      </x:c>
      <x:c r="D310" s="12" t="str">
        <x:v>공통 목표 최종 상태와 전체 음성 준비</x:v>
      </x:c>
      <x:c r="E310" s="12" t="str">
        <x:v>via</x:v>
      </x:c>
      <x:c r="F310" s="13" t="n">
        <x:v>11.818</x:v>
      </x:c>
      <x:c r="G310" s="13" t="n">
        <x:v>11.818</x:v>
      </x:c>
      <x:c r="H310" s="13" t="n">
        <x:v>0</x:v>
      </x:c>
      <x:c r="I310" s="13" t="n">
        <x:v>0</x:v>
      </x:c>
      <x:c r="J310" s="12" t="str">
        <x:v>result_display, question_audio, first_audio_output, final_result_audio</x:v>
      </x:c>
      <x:c r="K310" s="12" t="str">
        <x:v>none</x:v>
      </x:c>
      <x:c r="L310" s="13" t="n">
        <x:f>IF(G310&lt;=I310,0,MAX(0,L303,L305,L308,L306)+IF(E310="via",MAX(0,G310-MAX(F310,I310)),0))</x:f>
        <x:v>3.818</x:v>
      </x:c>
    </x:row>
    <x:row r="311" ht="42" customHeight="1">
      <x:c r="A311" s="7" t="str">
        <x:v>BASE</x:v>
      </x:c>
      <x:c r="B311" s="7" t="str">
        <x:v>U23</x:v>
      </x:c>
      <x:c r="C311" s="7" t="str">
        <x:v>input_end</x:v>
      </x:c>
      <x:c r="D311" s="7" t="str">
        <x:v>사용자 입력 종료</x:v>
      </x:c>
      <x:c r="E311" s="7" t="str">
        <x:v>external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7" t="str"/>
      <x:c r="K311" s="7" t="str">
        <x:v>none</x:v>
      </x:c>
      <x:c r="L311" s="14" t="n">
        <x:f>IF(G311&lt;=I311,0,MAX(0)+IF(E311="via",MAX(0,G311-MAX(F311,I311)),0))</x:f>
        <x:v>0</x:v>
      </x:c>
    </x:row>
    <x:row r="312" ht="42" customHeight="1">
      <x:c r="A312" s="12" t="str">
        <x:v>BASE</x:v>
      </x:c>
      <x:c r="B312" s="12" t="str">
        <x:v>U23</x:v>
      </x:c>
      <x:c r="C312" s="12" t="str">
        <x:v>intake</x:v>
      </x:c>
      <x:c r="D312" s="12" t="str">
        <x:v>입력 확정</x:v>
      </x:c>
      <x:c r="E312" s="12" t="str">
        <x:v>via</x:v>
      </x:c>
      <x:c r="F312" s="13" t="n">
        <x:v>0</x:v>
      </x:c>
      <x:c r="G312" s="13" t="n">
        <x:v>0.06</x:v>
      </x:c>
      <x:c r="H312" s="13" t="n">
        <x:v>0.06</x:v>
      </x:c>
      <x:c r="I312" s="13" t="n">
        <x:v>0</x:v>
      </x:c>
      <x:c r="J312" s="12" t="str">
        <x:v>input_end</x:v>
      </x:c>
      <x:c r="K312" s="12" t="str">
        <x:v>none</x:v>
      </x:c>
      <x:c r="L312" s="13" t="n">
        <x:f>IF(G312&lt;=I312,0,MAX(0,L311)+IF(E312="via",MAX(0,G312-MAX(F312,I312)),0))</x:f>
        <x:v>0.06</x:v>
      </x:c>
    </x:row>
    <x:row r="313" ht="42" customHeight="1">
      <x:c r="A313" s="7" t="str">
        <x:v>BASE</x:v>
      </x:c>
      <x:c r="B313" s="7" t="str">
        <x:v>U23</x:v>
      </x:c>
      <x:c r="C313" s="7" t="str">
        <x:v>read</x:v>
      </x:c>
      <x:c r="D313" s="7" t="str">
        <x:v>공통 허용 원본 조회</x:v>
      </x:c>
      <x:c r="E313" s="7" t="str">
        <x:v>via</x:v>
      </x:c>
      <x:c r="F313" s="14" t="n">
        <x:v>0.06</x:v>
      </x:c>
      <x:c r="G313" s="14" t="n">
        <x:v>0.14</x:v>
      </x:c>
      <x:c r="H313" s="14" t="n">
        <x:v>0.08</x:v>
      </x:c>
      <x:c r="I313" s="14" t="n">
        <x:v>0</x:v>
      </x:c>
      <x:c r="J313" s="7" t="str">
        <x:v>intake</x:v>
      </x:c>
      <x:c r="K313" s="7" t="str">
        <x:v>none</x:v>
      </x:c>
      <x:c r="L313" s="14" t="n">
        <x:f>IF(G313&lt;=I313,0,MAX(0,L312)+IF(E313="via",MAX(0,G313-MAX(F313,I313)),0))</x:f>
        <x:v>0.14</x:v>
      </x:c>
    </x:row>
    <x:row r="314" ht="42" customHeight="1">
      <x:c r="A314" s="12" t="str">
        <x:v>BASE</x:v>
      </x:c>
      <x:c r="B314" s="12" t="str">
        <x:v>U23</x:v>
      </x:c>
      <x:c r="C314" s="12" t="str">
        <x:v>meaning</x:v>
      </x:c>
      <x:c r="D314" s="12" t="str">
        <x:v>최초 요청 의미 채택 packet 생성</x:v>
      </x:c>
      <x:c r="E314" s="12" t="str">
        <x:v>via</x:v>
      </x:c>
      <x:c r="F314" s="13" t="n">
        <x:v>0.14</x:v>
      </x:c>
      <x:c r="G314" s="13" t="n">
        <x:v>1.6400000000000001</x:v>
      </x:c>
      <x:c r="H314" s="13" t="n">
        <x:v>1.5</x:v>
      </x:c>
      <x:c r="I314" s="13" t="n">
        <x:v>0</x:v>
      </x:c>
      <x:c r="J314" s="12" t="str">
        <x:v>read</x:v>
      </x:c>
      <x:c r="K314" s="12" t="str">
        <x:v>semantic</x:v>
      </x:c>
      <x:c r="L314" s="13" t="n">
        <x:f>IF(G314&lt;=I314,0,MAX(0,L313)+IF(E314="via",MAX(0,G314-MAX(F314,I314)),0))</x:f>
        <x:v>1.6400000000000001</x:v>
      </x:c>
    </x:row>
    <x:row r="315" ht="42" customHeight="1">
      <x:c r="A315" s="7" t="str">
        <x:v>BASE</x:v>
      </x:c>
      <x:c r="B315" s="7" t="str">
        <x:v>U23</x:v>
      </x:c>
      <x:c r="C315" s="7" t="str">
        <x:v>adopt</x:v>
      </x:c>
      <x:c r="D315" s="7" t="str">
        <x:v>현재 revision과 권한 검사 및 채택</x:v>
      </x:c>
      <x:c r="E315" s="7" t="str">
        <x:v>via</x:v>
      </x:c>
      <x:c r="F315" s="14" t="n">
        <x:v>1.6400000000000001</x:v>
      </x:c>
      <x:c r="G315" s="14" t="n">
        <x:v>1.6700000000000002</x:v>
      </x:c>
      <x:c r="H315" s="14" t="n">
        <x:v>0.03</x:v>
      </x:c>
      <x:c r="I315" s="14" t="n">
        <x:v>0</x:v>
      </x:c>
      <x:c r="J315" s="7" t="str">
        <x:v>meaning</x:v>
      </x:c>
      <x:c r="K315" s="7" t="str">
        <x:v>none</x:v>
      </x:c>
      <x:c r="L315" s="14" t="n">
        <x:f>IF(G315&lt;=I315,0,MAX(0,L314)+IF(E315="via",MAX(0,G315-MAX(F315,I315)),0))</x:f>
        <x:v>1.6700000000000002</x:v>
      </x:c>
    </x:row>
    <x:row r="316" ht="42" customHeight="1">
      <x:c r="A316" s="12" t="str">
        <x:v>BASE</x:v>
      </x:c>
      <x:c r="B316" s="12" t="str">
        <x:v>U23</x:v>
      </x:c>
      <x:c r="C316" s="12" t="str">
        <x:v>first_display</x:v>
      </x:c>
      <x:c r="D316" s="12" t="str">
        <x:v>첫 구체적 채택 내용 화면 표시</x:v>
      </x:c>
      <x:c r="E316" s="12" t="str">
        <x:v>via</x:v>
      </x:c>
      <x:c r="F316" s="13" t="n">
        <x:v>1.6700000000000002</x:v>
      </x:c>
      <x:c r="G316" s="13" t="n">
        <x:v>1.7100000000000002</x:v>
      </x:c>
      <x:c r="H316" s="13" t="n">
        <x:v>0.04</x:v>
      </x:c>
      <x:c r="I316" s="13" t="n">
        <x:v>0</x:v>
      </x:c>
      <x:c r="J316" s="12" t="str">
        <x:v>adopt</x:v>
      </x:c>
      <x:c r="K316" s="12" t="str">
        <x:v>none</x:v>
      </x:c>
      <x:c r="L316" s="13" t="n">
        <x:f>IF(G316&lt;=I316,0,MAX(0,L315)+IF(E316="via",MAX(0,G316-MAX(F316,I316)),0))</x:f>
        <x:v>1.7100000000000002</x:v>
      </x:c>
    </x:row>
    <x:row r="317" ht="42" customHeight="1">
      <x:c r="A317" s="7" t="str">
        <x:v>BASE</x:v>
      </x:c>
      <x:c r="B317" s="7" t="str">
        <x:v>U23</x:v>
      </x:c>
      <x:c r="C317" s="7" t="str">
        <x:v>agent_ingress</x:v>
      </x:c>
      <x:c r="D317" s="7" t="str">
        <x:v>Agent 요청 전송</x:v>
      </x:c>
      <x:c r="E317" s="7" t="str">
        <x:v>via</x:v>
      </x:c>
      <x:c r="F317" s="14" t="n">
        <x:v>1.6700000000000002</x:v>
      </x:c>
      <x:c r="G317" s="14" t="n">
        <x:v>1.7100000000000002</x:v>
      </x:c>
      <x:c r="H317" s="14" t="n">
        <x:v>0.04</x:v>
      </x:c>
      <x:c r="I317" s="14" t="n">
        <x:v>0</x:v>
      </x:c>
      <x:c r="J317" s="7" t="str">
        <x:v>adopt</x:v>
      </x:c>
      <x:c r="K317" s="7" t="str">
        <x:v>none</x:v>
      </x:c>
      <x:c r="L317" s="14" t="n">
        <x:f>IF(G317&lt;=I317,0,MAX(0,L315)+IF(E317="via",MAX(0,G317-MAX(F317,I317)),0))</x:f>
        <x:v>1.7100000000000002</x:v>
      </x:c>
    </x:row>
    <x:row r="318" ht="42" customHeight="1">
      <x:c r="A318" s="12" t="str">
        <x:v>BASE</x:v>
      </x:c>
      <x:c r="B318" s="12" t="str">
        <x:v>U23</x:v>
      </x:c>
      <x:c r="C318" s="12" t="str">
        <x:v>agent_result</x:v>
      </x:c>
      <x:c r="D318" s="12" t="str">
        <x:v>외부 Agent 업무</x:v>
      </x:c>
      <x:c r="E318" s="12" t="str">
        <x:v>external</x:v>
      </x:c>
      <x:c r="F318" s="13" t="n">
        <x:v>1.7100000000000002</x:v>
      </x:c>
      <x:c r="G318" s="13" t="n">
        <x:v>9.71</x:v>
      </x:c>
      <x:c r="H318" s="13" t="n">
        <x:v>8</x:v>
      </x:c>
      <x:c r="I318" s="13" t="n">
        <x:v>0</x:v>
      </x:c>
      <x:c r="J318" s="12" t="str">
        <x:v>agent_ingress</x:v>
      </x:c>
      <x:c r="K318" s="12" t="str">
        <x:v>none</x:v>
      </x:c>
      <x:c r="L318" s="13" t="n">
        <x:f>IF(G318&lt;=I318,0,MAX(0,L317)+IF(E318="via",MAX(0,G318-MAX(F318,I318)),0))</x:f>
        <x:v>1.7100000000000002</x:v>
      </x:c>
    </x:row>
    <x:row r="319" ht="42" customHeight="1">
      <x:c r="A319" s="7" t="str">
        <x:v>BASE</x:v>
      </x:c>
      <x:c r="B319" s="7" t="str">
        <x:v>U23</x:v>
      </x:c>
      <x:c r="C319" s="7" t="str">
        <x:v>result_display</x:v>
      </x:c>
      <x:c r="D319" s="7" t="str">
        <x:v>최종 결과 상세 표시</x:v>
      </x:c>
      <x:c r="E319" s="7" t="str">
        <x:v>via</x:v>
      </x:c>
      <x:c r="F319" s="14" t="n">
        <x:v>9.71</x:v>
      </x:c>
      <x:c r="G319" s="14" t="n">
        <x:v>9.75</x:v>
      </x:c>
      <x:c r="H319" s="14" t="n">
        <x:v>0.04</x:v>
      </x:c>
      <x:c r="I319" s="14" t="n">
        <x:v>0</x:v>
      </x:c>
      <x:c r="J319" s="7" t="str">
        <x:v>agent_result</x:v>
      </x:c>
      <x:c r="K319" s="7" t="str">
        <x:v>none</x:v>
      </x:c>
      <x:c r="L319" s="14" t="n">
        <x:f>IF(G319&lt;=I319,0,MAX(0,L318)+IF(E319="via",MAX(0,G319-MAX(F319,I319)),0))</x:f>
        <x:v>1.7499999999999993</x:v>
      </x:c>
    </x:row>
    <x:row r="320" ht="42" customHeight="1">
      <x:c r="A320" s="12" t="str">
        <x:v>BASE</x:v>
      </x:c>
      <x:c r="B320" s="12" t="str">
        <x:v>U23</x:v>
      </x:c>
      <x:c r="C320" s="12" t="str">
        <x:v>question_arrival</x:v>
      </x:c>
      <x:c r="D320" s="12" t="str">
        <x:v>Agent 질문 텍스트 도착</x:v>
      </x:c>
      <x:c r="E320" s="12" t="str">
        <x:v>external</x:v>
      </x:c>
      <x:c r="F320" s="13" t="n">
        <x:v>-2</x:v>
      </x:c>
      <x:c r="G320" s="13" t="n">
        <x:v>-2</x:v>
      </x:c>
      <x:c r="H320" s="13" t="n">
        <x:v>0</x:v>
      </x:c>
      <x:c r="I320" s="13" t="n">
        <x:v>0</x:v>
      </x:c>
      <x:c r="J320" s="12" t="str"/>
      <x:c r="K320" s="12" t="str">
        <x:v>none</x:v>
      </x:c>
      <x:c r="L320" s="13" t="n">
        <x:f>IF(G320&lt;=I320,0,MAX(0)+IF(E320="via",MAX(0,G320-MAX(F320,I320)),0))</x:f>
        <x:v>0</x:v>
      </x:c>
    </x:row>
    <x:row r="321" ht="42" customHeight="1">
      <x:c r="A321" s="7" t="str">
        <x:v>BASE</x:v>
      </x:c>
      <x:c r="B321" s="7" t="str">
        <x:v>U23</x:v>
      </x:c>
      <x:c r="C321" s="7" t="str">
        <x:v>question_audio</x:v>
      </x:c>
      <x:c r="D321" s="7" t="str">
        <x:v>선택한 응답 음성 생성</x:v>
      </x:c>
      <x:c r="E321" s="7" t="str">
        <x:v>via</x:v>
      </x:c>
      <x:c r="F321" s="14" t="n">
        <x:v>-2</x:v>
      </x:c>
      <x:c r="G321" s="14" t="n">
        <x:v>-0.1120000000000001</x:v>
      </x:c>
      <x:c r="H321" s="14" t="n">
        <x:v>1.888</x:v>
      </x:c>
      <x:c r="I321" s="14" t="n">
        <x:v>0</x:v>
      </x:c>
      <x:c r="J321" s="7" t="str">
        <x:v>question_arrival</x:v>
      </x:c>
      <x:c r="K321" s="7" t="str">
        <x:v>speech</x:v>
      </x:c>
      <x:c r="L321" s="14" t="n">
        <x:f>IF(G321&lt;=I321,0,MAX(0,L320)+IF(E321="via",MAX(0,G321-MAX(F321,I321)),0))</x:f>
        <x:v>0</x:v>
      </x:c>
    </x:row>
    <x:row r="322" ht="42" customHeight="1">
      <x:c r="A322" s="12" t="str">
        <x:v>BASE</x:v>
      </x:c>
      <x:c r="B322" s="12" t="str">
        <x:v>U23</x:v>
      </x:c>
      <x:c r="C322" s="12" t="str">
        <x:v>final_result_audio</x:v>
      </x:c>
      <x:c r="D322" s="12" t="str">
        <x:v>새 업무 최종 결과 음성 준비</x:v>
      </x:c>
      <x:c r="E322" s="12" t="str">
        <x:v>via</x:v>
      </x:c>
      <x:c r="F322" s="13" t="n">
        <x:v>9.71</x:v>
      </x:c>
      <x:c r="G322" s="13" t="n">
        <x:v>11.598</x:v>
      </x:c>
      <x:c r="H322" s="13" t="n">
        <x:v>1.888</x:v>
      </x:c>
      <x:c r="I322" s="13" t="n">
        <x:v>0</x:v>
      </x:c>
      <x:c r="J322" s="12" t="str">
        <x:v>agent_result</x:v>
      </x:c>
      <x:c r="K322" s="12" t="str">
        <x:v>speech</x:v>
      </x:c>
      <x:c r="L322" s="13" t="n">
        <x:f>IF(G322&lt;=I322,0,MAX(0,L318)+IF(E322="via",MAX(0,G322-MAX(F322,I322)),0))</x:f>
        <x:v>3.598</x:v>
      </x:c>
    </x:row>
    <x:row r="323" ht="42" customHeight="1">
      <x:c r="A323" s="7" t="str">
        <x:v>BASE</x:v>
      </x:c>
      <x:c r="B323" s="7" t="str">
        <x:v>U23</x:v>
      </x:c>
      <x:c r="C323" s="7" t="str">
        <x:v>first_chunk</x:v>
      </x:c>
      <x:c r="D323" s="7" t="str">
        <x:v>같은 생성 job의 유효 첫 chunk 관측</x:v>
      </x:c>
      <x:c r="E323" s="7" t="str">
        <x:v>via</x:v>
      </x:c>
      <x:c r="F323" s="14" t="n">
        <x:v>-2</x:v>
      </x:c>
      <x:c r="G323" s="14" t="n">
        <x:v>-1.562</x:v>
      </x:c>
      <x:c r="H323" s="14" t="n">
        <x:v>0.438</x:v>
      </x:c>
      <x:c r="I323" s="14" t="n">
        <x:v>0</x:v>
      </x:c>
      <x:c r="J323" s="7" t="str">
        <x:v>question_arrival</x:v>
      </x:c>
      <x:c r="K323" s="7" t="str">
        <x:v>none</x:v>
      </x:c>
      <x:c r="L323" s="14" t="n">
        <x:f>IF(G323&lt;=I323,0,MAX(0,L320)+IF(E323="via",MAX(0,G323-MAX(F323,I323)),0))</x:f>
        <x:v>0</x:v>
      </x:c>
    </x:row>
    <x:row r="324" ht="42" customHeight="1">
      <x:c r="A324" s="12" t="str">
        <x:v>BASE</x:v>
      </x:c>
      <x:c r="B324" s="12" t="str">
        <x:v>U23</x:v>
      </x:c>
      <x:c r="C324" s="12" t="str">
        <x:v>first_audio_output</x:v>
      </x:c>
      <x:c r="D324" s="12" t="str">
        <x:v>공통 장치의 첫 음성 출력</x:v>
      </x:c>
      <x:c r="E324" s="12" t="str">
        <x:v>via</x:v>
      </x:c>
      <x:c r="F324" s="13" t="n">
        <x:v>1.6700000000000002</x:v>
      </x:c>
      <x:c r="G324" s="13" t="n">
        <x:v>1.7100000000000002</x:v>
      </x:c>
      <x:c r="H324" s="13" t="n">
        <x:v>0.04</x:v>
      </x:c>
      <x:c r="I324" s="13" t="n">
        <x:v>0</x:v>
      </x:c>
      <x:c r="J324" s="12" t="str">
        <x:v>adopt, first_chunk</x:v>
      </x:c>
      <x:c r="K324" s="12" t="str">
        <x:v>none</x:v>
      </x:c>
      <x:c r="L324" s="13" t="n">
        <x:f>IF(G324&lt;=I324,0,MAX(0,L315,L323)+IF(E324="via",MAX(0,G324-MAX(F324,I324)),0))</x:f>
        <x:v>1.7100000000000002</x:v>
      </x:c>
    </x:row>
    <x:row r="325" ht="42" customHeight="1">
      <x:c r="A325" s="7" t="str">
        <x:v>BASE</x:v>
      </x:c>
      <x:c r="B325" s="7" t="str">
        <x:v>U23</x:v>
      </x:c>
      <x:c r="C325" s="7" t="str">
        <x:v>next_speech_selection</x:v>
      </x:c>
      <x:c r="D325" s="7" t="str">
        <x:v>현재 발화 재생 후 다음 응답 선택</x:v>
      </x:c>
      <x:c r="E325" s="7" t="str">
        <x:v>external</x:v>
      </x:c>
      <x:c r="F325" s="14" t="n">
        <x:v>1.7100000000000002</x:v>
      </x:c>
      <x:c r="G325" s="14" t="n">
        <x:v>7.71</x:v>
      </x:c>
      <x:c r="H325" s="14" t="n">
        <x:v>6</x:v>
      </x:c>
      <x:c r="I325" s="14" t="n">
        <x:v>0</x:v>
      </x:c>
      <x:c r="J325" s="7" t="str">
        <x:v>first_audio_output</x:v>
      </x:c>
      <x:c r="K325" s="7" t="str">
        <x:v>none</x:v>
      </x:c>
      <x:c r="L325" s="14" t="n">
        <x:f>IF(G325&lt;=I325,0,MAX(0,L324)+IF(E325="via",MAX(0,G325-MAX(F325,I325)),0))</x:f>
        <x:v>1.7100000000000002</x:v>
      </x:c>
    </x:row>
    <x:row r="326" ht="42" customHeight="1">
      <x:c r="A326" s="12" t="str">
        <x:v>BASE</x:v>
      </x:c>
      <x:c r="B326" s="12" t="str">
        <x:v>U23</x:v>
      </x:c>
      <x:c r="C326" s="12" t="str">
        <x:v>terminal</x:v>
      </x:c>
      <x:c r="D326" s="12" t="str">
        <x:v>공통 목표 최종 상태와 전체 음성 준비</x:v>
      </x:c>
      <x:c r="E326" s="12" t="str">
        <x:v>via</x:v>
      </x:c>
      <x:c r="F326" s="13" t="n">
        <x:v>11.598</x:v>
      </x:c>
      <x:c r="G326" s="13" t="n">
        <x:v>11.598</x:v>
      </x:c>
      <x:c r="H326" s="13" t="n">
        <x:v>0</x:v>
      </x:c>
      <x:c r="I326" s="13" t="n">
        <x:v>0</x:v>
      </x:c>
      <x:c r="J326" s="12" t="str">
        <x:v>result_display, question_audio, first_audio_output, final_result_audio</x:v>
      </x:c>
      <x:c r="K326" s="12" t="str">
        <x:v>none</x:v>
      </x:c>
      <x:c r="L326" s="13" t="n">
        <x:f>IF(G326&lt;=I326,0,MAX(0,L319,L321,L324,L322)+IF(E326="via",MAX(0,G326-MAX(F326,I326)),0))</x:f>
        <x:v>3.598</x:v>
      </x:c>
    </x:row>
    <x:row r="327" ht="42" customHeight="1">
      <x:c r="A327" s="7" t="str">
        <x:v>BASE</x:v>
      </x:c>
      <x:c r="B327" s="7" t="str">
        <x:v>U24</x:v>
      </x:c>
      <x:c r="C327" s="7" t="str">
        <x:v>bg1</x:v>
      </x:c>
      <x:c r="D327" s="7" t="str">
        <x:v>진행 중인 현재 대화의 의미 step</x:v>
      </x:c>
      <x:c r="E327" s="7" t="str">
        <x:v>via</x:v>
      </x:c>
      <x:c r="F327" s="14" t="n">
        <x:v>-1</x:v>
      </x:c>
      <x:c r="G327" s="14" t="n">
        <x:v>2.4</x:v>
      </x:c>
      <x:c r="H327" s="14" t="n">
        <x:v>3.4</x:v>
      </x:c>
      <x:c r="I327" s="14" t="n">
        <x:v>-6</x:v>
      </x:c>
      <x:c r="J327" s="7" t="str">
        <x:v>original_work</x:v>
      </x:c>
      <x:c r="K327" s="7" t="str">
        <x:v>semantic</x:v>
      </x:c>
      <x:c r="L327" s="14" t="n">
        <x:f>IF(G327&lt;=I327,0,MAX(0,L328)+IF(E327="via",MAX(0,G327-MAX(F327,I327)),0))</x:f>
        <x:v>5.4</x:v>
      </x:c>
    </x:row>
    <x:row r="328" ht="42" customHeight="1">
      <x:c r="A328" s="12" t="str">
        <x:v>BASE</x:v>
      </x:c>
      <x:c r="B328" s="12" t="str">
        <x:v>U24</x:v>
      </x:c>
      <x:c r="C328" s="12" t="str">
        <x:v>original_work</x:v>
      </x:c>
      <x:c r="D328" s="12" t="str">
        <x:v>원래 목표의 최초 VIA 처리</x:v>
      </x:c>
      <x:c r="E328" s="12" t="str">
        <x:v>via</x:v>
      </x:c>
      <x:c r="F328" s="13" t="n">
        <x:v>-6</x:v>
      </x:c>
      <x:c r="G328" s="13" t="n">
        <x:v>-4</x:v>
      </x:c>
      <x:c r="H328" s="13" t="n">
        <x:v>2</x:v>
      </x:c>
      <x:c r="I328" s="13" t="n">
        <x:v>-6</x:v>
      </x:c>
      <x:c r="J328" s="12" t="str"/>
      <x:c r="K328" s="12" t="str">
        <x:v>none</x:v>
      </x:c>
      <x:c r="L328" s="13" t="n">
        <x:f>IF(G328&lt;=I328,0,MAX(0)+IF(E328="via",MAX(0,G328-MAX(F328,I328)),0))</x:f>
        <x:v>2</x:v>
      </x:c>
    </x:row>
    <x:row r="329" ht="42" customHeight="1">
      <x:c r="A329" s="7" t="str">
        <x:v>BASE</x:v>
      </x:c>
      <x:c r="B329" s="7" t="str">
        <x:v>U24</x:v>
      </x:c>
      <x:c r="C329" s="7" t="str">
        <x:v>input_end</x:v>
      </x:c>
      <x:c r="D329" s="7" t="str">
        <x:v>사용자 입력 종료</x:v>
      </x:c>
      <x:c r="E329" s="7" t="str">
        <x:v>external</x:v>
      </x:c>
      <x:c r="F329" s="14" t="n">
        <x:v>0</x:v>
      </x:c>
      <x:c r="G329" s="14" t="n">
        <x:v>0</x:v>
      </x:c>
      <x:c r="H329" s="14" t="n">
        <x:v>0</x:v>
      </x:c>
      <x:c r="I329" s="14" t="n">
        <x:v>-6</x:v>
      </x:c>
      <x:c r="J329" s="7" t="str">
        <x:v>original_work</x:v>
      </x:c>
      <x:c r="K329" s="7" t="str">
        <x:v>none</x:v>
      </x:c>
      <x:c r="L329" s="14" t="n">
        <x:f>IF(G329&lt;=I329,0,MAX(0,L328)+IF(E329="via",MAX(0,G329-MAX(F329,I329)),0))</x:f>
        <x:v>2</x:v>
      </x:c>
    </x:row>
    <x:row r="330" ht="42" customHeight="1">
      <x:c r="A330" s="12" t="str">
        <x:v>BASE</x:v>
      </x:c>
      <x:c r="B330" s="12" t="str">
        <x:v>U24</x:v>
      </x:c>
      <x:c r="C330" s="12" t="str">
        <x:v>intake</x:v>
      </x:c>
      <x:c r="D330" s="12" t="str">
        <x:v>입력 확정</x:v>
      </x:c>
      <x:c r="E330" s="12" t="str">
        <x:v>via</x:v>
      </x:c>
      <x:c r="F330" s="13" t="n">
        <x:v>0</x:v>
      </x:c>
      <x:c r="G330" s="13" t="n">
        <x:v>0.3</x:v>
      </x:c>
      <x:c r="H330" s="13" t="n">
        <x:v>0.3</x:v>
      </x:c>
      <x:c r="I330" s="13" t="n">
        <x:v>-6</x:v>
      </x:c>
      <x:c r="J330" s="12" t="str">
        <x:v>input_end</x:v>
      </x:c>
      <x:c r="K330" s="12" t="str">
        <x:v>none</x:v>
      </x:c>
      <x:c r="L330" s="13" t="n">
        <x:f>IF(G330&lt;=I330,0,MAX(0,L329)+IF(E330="via",MAX(0,G330-MAX(F330,I330)),0))</x:f>
        <x:v>2.3</x:v>
      </x:c>
    </x:row>
    <x:row r="331" ht="42" customHeight="1">
      <x:c r="A331" s="7" t="str">
        <x:v>BASE</x:v>
      </x:c>
      <x:c r="B331" s="7" t="str">
        <x:v>U24</x:v>
      </x:c>
      <x:c r="C331" s="7" t="str">
        <x:v>read</x:v>
      </x:c>
      <x:c r="D331" s="7" t="str">
        <x:v>공통 허용 원본 조회</x:v>
      </x:c>
      <x:c r="E331" s="7" t="str">
        <x:v>via</x:v>
      </x:c>
      <x:c r="F331" s="14" t="n">
        <x:v>0.3</x:v>
      </x:c>
      <x:c r="G331" s="14" t="n">
        <x:v>0.38</x:v>
      </x:c>
      <x:c r="H331" s="14" t="n">
        <x:v>0.08</x:v>
      </x:c>
      <x:c r="I331" s="14" t="n">
        <x:v>-6</x:v>
      </x:c>
      <x:c r="J331" s="7" t="str">
        <x:v>intake</x:v>
      </x:c>
      <x:c r="K331" s="7" t="str">
        <x:v>none</x:v>
      </x:c>
      <x:c r="L331" s="14" t="n">
        <x:f>IF(G331&lt;=I331,0,MAX(0,L330)+IF(E331="via",MAX(0,G331-MAX(F331,I331)),0))</x:f>
        <x:v>2.38</x:v>
      </x:c>
    </x:row>
    <x:row r="332" ht="42" customHeight="1">
      <x:c r="A332" s="12" t="str">
        <x:v>BASE</x:v>
      </x:c>
      <x:c r="B332" s="12" t="str">
        <x:v>U24</x:v>
      </x:c>
      <x:c r="C332" s="12" t="str">
        <x:v>meaning</x:v>
      </x:c>
      <x:c r="D332" s="12" t="str">
        <x:v>최초 요청 의미 채택 packet 생성</x:v>
      </x:c>
      <x:c r="E332" s="12" t="str">
        <x:v>via</x:v>
      </x:c>
      <x:c r="F332" s="13" t="n">
        <x:v>2.4</x:v>
      </x:c>
      <x:c r="G332" s="13" t="n">
        <x:v>4.5</x:v>
      </x:c>
      <x:c r="H332" s="13" t="n">
        <x:v>2.1</x:v>
      </x:c>
      <x:c r="I332" s="13" t="n">
        <x:v>-6</x:v>
      </x:c>
      <x:c r="J332" s="12" t="str">
        <x:v>read, bg1</x:v>
      </x:c>
      <x:c r="K332" s="12" t="str">
        <x:v>semantic</x:v>
      </x:c>
      <x:c r="L332" s="13" t="n">
        <x:f>IF(G332&lt;=I332,0,MAX(0,L331,L327)+IF(E332="via",MAX(0,G332-MAX(F332,I332)),0))</x:f>
        <x:v>7.5</x:v>
      </x:c>
    </x:row>
    <x:row r="333" ht="42" customHeight="1">
      <x:c r="A333" s="7" t="str">
        <x:v>BASE</x:v>
      </x:c>
      <x:c r="B333" s="7" t="str">
        <x:v>U24</x:v>
      </x:c>
      <x:c r="C333" s="7" t="str">
        <x:v>adopt</x:v>
      </x:c>
      <x:c r="D333" s="7" t="str">
        <x:v>현재 revision과 권한 검사 및 채택</x:v>
      </x:c>
      <x:c r="E333" s="7" t="str">
        <x:v>via</x:v>
      </x:c>
      <x:c r="F333" s="14" t="n">
        <x:v>4.5</x:v>
      </x:c>
      <x:c r="G333" s="14" t="n">
        <x:v>4.53</x:v>
      </x:c>
      <x:c r="H333" s="14" t="n">
        <x:v>0.03</x:v>
      </x:c>
      <x:c r="I333" s="14" t="n">
        <x:v>-6</x:v>
      </x:c>
      <x:c r="J333" s="7" t="str">
        <x:v>meaning</x:v>
      </x:c>
      <x:c r="K333" s="7" t="str">
        <x:v>none</x:v>
      </x:c>
      <x:c r="L333" s="14" t="n">
        <x:f>IF(G333&lt;=I333,0,MAX(0,L332)+IF(E333="via",MAX(0,G333-MAX(F333,I333)),0))</x:f>
        <x:v>7.53</x:v>
      </x:c>
    </x:row>
    <x:row r="334" ht="42" customHeight="1">
      <x:c r="A334" s="12" t="str">
        <x:v>BASE</x:v>
      </x:c>
      <x:c r="B334" s="12" t="str">
        <x:v>U24</x:v>
      </x:c>
      <x:c r="C334" s="12" t="str">
        <x:v>first_display</x:v>
      </x:c>
      <x:c r="D334" s="12" t="str">
        <x:v>첫 구체적 채택 내용 화면 표시</x:v>
      </x:c>
      <x:c r="E334" s="12" t="str">
        <x:v>via</x:v>
      </x:c>
      <x:c r="F334" s="13" t="n">
        <x:v>4.53</x:v>
      </x:c>
      <x:c r="G334" s="13" t="n">
        <x:v>4.57</x:v>
      </x:c>
      <x:c r="H334" s="13" t="n">
        <x:v>0.04</x:v>
      </x:c>
      <x:c r="I334" s="13" t="n">
        <x:v>-6</x:v>
      </x:c>
      <x:c r="J334" s="12" t="str">
        <x:v>adopt</x:v>
      </x:c>
      <x:c r="K334" s="12" t="str">
        <x:v>none</x:v>
      </x:c>
      <x:c r="L334" s="13" t="n">
        <x:f>IF(G334&lt;=I334,0,MAX(0,L333)+IF(E334="via",MAX(0,G334-MAX(F334,I334)),0))</x:f>
        <x:v>7.57</x:v>
      </x:c>
    </x:row>
    <x:row r="335" ht="42" customHeight="1">
      <x:c r="A335" s="7" t="str">
        <x:v>BASE</x:v>
      </x:c>
      <x:c r="B335" s="7" t="str">
        <x:v>U24</x:v>
      </x:c>
      <x:c r="C335" s="7" t="str">
        <x:v>agent_ingress</x:v>
      </x:c>
      <x:c r="D335" s="7" t="str">
        <x:v>Agent 요청 전송</x:v>
      </x:c>
      <x:c r="E335" s="7" t="str">
        <x:v>via</x:v>
      </x:c>
      <x:c r="F335" s="14" t="n">
        <x:v>4.53</x:v>
      </x:c>
      <x:c r="G335" s="14" t="n">
        <x:v>4.57</x:v>
      </x:c>
      <x:c r="H335" s="14" t="n">
        <x:v>0.04</x:v>
      </x:c>
      <x:c r="I335" s="14" t="n">
        <x:v>-6</x:v>
      </x:c>
      <x:c r="J335" s="7" t="str">
        <x:v>adopt</x:v>
      </x:c>
      <x:c r="K335" s="7" t="str">
        <x:v>none</x:v>
      </x:c>
      <x:c r="L335" s="14" t="n">
        <x:f>IF(G335&lt;=I335,0,MAX(0,L333)+IF(E335="via",MAX(0,G335-MAX(F335,I335)),0))</x:f>
        <x:v>7.57</x:v>
      </x:c>
    </x:row>
    <x:row r="336" ht="42" customHeight="1">
      <x:c r="A336" s="12" t="str">
        <x:v>BASE</x:v>
      </x:c>
      <x:c r="B336" s="12" t="str">
        <x:v>U24</x:v>
      </x:c>
      <x:c r="C336" s="12" t="str">
        <x:v>agent_result</x:v>
      </x:c>
      <x:c r="D336" s="12" t="str">
        <x:v>외부 Agent 업무</x:v>
      </x:c>
      <x:c r="E336" s="12" t="str">
        <x:v>external</x:v>
      </x:c>
      <x:c r="F336" s="13" t="n">
        <x:v>4.57</x:v>
      </x:c>
      <x:c r="G336" s="13" t="n">
        <x:v>12.57</x:v>
      </x:c>
      <x:c r="H336" s="13" t="n">
        <x:v>8</x:v>
      </x:c>
      <x:c r="I336" s="13" t="n">
        <x:v>-6</x:v>
      </x:c>
      <x:c r="J336" s="12" t="str">
        <x:v>agent_ingress</x:v>
      </x:c>
      <x:c r="K336" s="12" t="str">
        <x:v>none</x:v>
      </x:c>
      <x:c r="L336" s="13" t="n">
        <x:f>IF(G336&lt;=I336,0,MAX(0,L335)+IF(E336="via",MAX(0,G336-MAX(F336,I336)),0))</x:f>
        <x:v>7.57</x:v>
      </x:c>
    </x:row>
    <x:row r="337" ht="42" customHeight="1">
      <x:c r="A337" s="7" t="str">
        <x:v>BASE</x:v>
      </x:c>
      <x:c r="B337" s="7" t="str">
        <x:v>U24</x:v>
      </x:c>
      <x:c r="C337" s="7" t="str">
        <x:v>result_display</x:v>
      </x:c>
      <x:c r="D337" s="7" t="str">
        <x:v>최종 결과 상세 표시</x:v>
      </x:c>
      <x:c r="E337" s="7" t="str">
        <x:v>via</x:v>
      </x:c>
      <x:c r="F337" s="14" t="n">
        <x:v>12.57</x:v>
      </x:c>
      <x:c r="G337" s="14" t="n">
        <x:v>12.61</x:v>
      </x:c>
      <x:c r="H337" s="14" t="n">
        <x:v>0.04</x:v>
      </x:c>
      <x:c r="I337" s="14" t="n">
        <x:v>-6</x:v>
      </x:c>
      <x:c r="J337" s="7" t="str">
        <x:v>agent_result</x:v>
      </x:c>
      <x:c r="K337" s="7" t="str">
        <x:v>none</x:v>
      </x:c>
      <x:c r="L337" s="14" t="n">
        <x:f>IF(G337&lt;=I337,0,MAX(0,L336)+IF(E337="via",MAX(0,G337-MAX(F337,I337)),0))</x:f>
        <x:v>7.609999999999999</x:v>
      </x:c>
    </x:row>
    <x:row r="338" ht="42" customHeight="1">
      <x:c r="A338" s="12" t="str">
        <x:v>BASE</x:v>
      </x:c>
      <x:c r="B338" s="12" t="str">
        <x:v>U24</x:v>
      </x:c>
      <x:c r="C338" s="12" t="str">
        <x:v>response_audio</x:v>
      </x:c>
      <x:c r="D338" s="12" t="str">
        <x:v>선택한 응답 음성 생성</x:v>
      </x:c>
      <x:c r="E338" s="12" t="str">
        <x:v>via</x:v>
      </x:c>
      <x:c r="F338" s="13" t="n">
        <x:v>12.57</x:v>
      </x:c>
      <x:c r="G338" s="13" t="n">
        <x:v>14.458</x:v>
      </x:c>
      <x:c r="H338" s="13" t="n">
        <x:v>1.888</x:v>
      </x:c>
      <x:c r="I338" s="13" t="n">
        <x:v>-6</x:v>
      </x:c>
      <x:c r="J338" s="12" t="str">
        <x:v>agent_result</x:v>
      </x:c>
      <x:c r="K338" s="12" t="str">
        <x:v>speech</x:v>
      </x:c>
      <x:c r="L338" s="13" t="n">
        <x:f>IF(G338&lt;=I338,0,MAX(0,L336)+IF(E338="via",MAX(0,G338-MAX(F338,I338)),0))</x:f>
        <x:v>9.458</x:v>
      </x:c>
    </x:row>
    <x:row r="339" ht="42" customHeight="1">
      <x:c r="A339" s="7" t="str">
        <x:v>BASE</x:v>
      </x:c>
      <x:c r="B339" s="7" t="str">
        <x:v>U24</x:v>
      </x:c>
      <x:c r="C339" s="7" t="str">
        <x:v>intent_audio</x:v>
      </x:c>
      <x:c r="D339" s="7" t="str">
        <x:v>채택한 구체적 수행 의도의 짧은 음성</x:v>
      </x:c>
      <x:c r="E339" s="7" t="str">
        <x:v>via</x:v>
      </x:c>
      <x:c r="F339" s="14" t="n">
        <x:v>4.53</x:v>
      </x:c>
      <x:c r="G339" s="14" t="n">
        <x:v>5.664</x:v>
      </x:c>
      <x:c r="H339" s="14" t="n">
        <x:v>1.134</x:v>
      </x:c>
      <x:c r="I339" s="14" t="n">
        <x:v>-6</x:v>
      </x:c>
      <x:c r="J339" s="7" t="str">
        <x:v>adopt</x:v>
      </x:c>
      <x:c r="K339" s="7" t="str">
        <x:v>speech</x:v>
      </x:c>
      <x:c r="L339" s="14" t="n">
        <x:f>IF(G339&lt;=I339,0,MAX(0,L333)+IF(E339="via",MAX(0,G339-MAX(F339,I339)),0))</x:f>
        <x:v>8.664</x:v>
      </x:c>
    </x:row>
    <x:row r="340" ht="42" customHeight="1">
      <x:c r="A340" s="12" t="str">
        <x:v>BASE</x:v>
      </x:c>
      <x:c r="B340" s="12" t="str">
        <x:v>U24</x:v>
      </x:c>
      <x:c r="C340" s="12" t="str">
        <x:v>first_chunk</x:v>
      </x:c>
      <x:c r="D340" s="12" t="str">
        <x:v>같은 생성 job의 유효 첫 chunk 관측</x:v>
      </x:c>
      <x:c r="E340" s="12" t="str">
        <x:v>via</x:v>
      </x:c>
      <x:c r="F340" s="13" t="n">
        <x:v>4.53</x:v>
      </x:c>
      <x:c r="G340" s="13" t="n">
        <x:v>4.964</x:v>
      </x:c>
      <x:c r="H340" s="13" t="n">
        <x:v>0.434</x:v>
      </x:c>
      <x:c r="I340" s="13" t="n">
        <x:v>-6</x:v>
      </x:c>
      <x:c r="J340" s="12" t="str">
        <x:v>adopt</x:v>
      </x:c>
      <x:c r="K340" s="12" t="str">
        <x:v>none</x:v>
      </x:c>
      <x:c r="L340" s="13" t="n">
        <x:f>IF(G340&lt;=I340,0,MAX(0,L333)+IF(E340="via",MAX(0,G340-MAX(F340,I340)),0))</x:f>
        <x:v>7.964</x:v>
      </x:c>
    </x:row>
    <x:row r="341" ht="42" customHeight="1">
      <x:c r="A341" s="7" t="str">
        <x:v>BASE</x:v>
      </x:c>
      <x:c r="B341" s="7" t="str">
        <x:v>U24</x:v>
      </x:c>
      <x:c r="C341" s="7" t="str">
        <x:v>first_audio_output</x:v>
      </x:c>
      <x:c r="D341" s="7" t="str">
        <x:v>공통 장치의 첫 음성 출력</x:v>
      </x:c>
      <x:c r="E341" s="7" t="str">
        <x:v>via</x:v>
      </x:c>
      <x:c r="F341" s="14" t="n">
        <x:v>4.964</x:v>
      </x:c>
      <x:c r="G341" s="14" t="n">
        <x:v>5.0040000000000004</x:v>
      </x:c>
      <x:c r="H341" s="14" t="n">
        <x:v>0.04</x:v>
      </x:c>
      <x:c r="I341" s="14" t="n">
        <x:v>-6</x:v>
      </x:c>
      <x:c r="J341" s="7" t="str">
        <x:v>adopt, first_chunk</x:v>
      </x:c>
      <x:c r="K341" s="7" t="str">
        <x:v>none</x:v>
      </x:c>
      <x:c r="L341" s="14" t="n">
        <x:f>IF(G341&lt;=I341,0,MAX(0,L333,L340)+IF(E341="via",MAX(0,G341-MAX(F341,I341)),0))</x:f>
        <x:v>8.004000000000001</x:v>
      </x:c>
    </x:row>
    <x:row r="342" ht="42" customHeight="1">
      <x:c r="A342" s="12" t="str">
        <x:v>BASE</x:v>
      </x:c>
      <x:c r="B342" s="12" t="str">
        <x:v>U24</x:v>
      </x:c>
      <x:c r="C342" s="12" t="str">
        <x:v>next_speech_selection</x:v>
      </x:c>
      <x:c r="D342" s="12" t="str">
        <x:v>현재 발화 재생 후 다음 응답 선택</x:v>
      </x:c>
      <x:c r="E342" s="12" t="str">
        <x:v>external</x:v>
      </x:c>
      <x:c r="F342" s="13" t="n">
        <x:v>5.0040000000000004</x:v>
      </x:c>
      <x:c r="G342" s="13" t="n">
        <x:v>8.004000000000001</x:v>
      </x:c>
      <x:c r="H342" s="13" t="n">
        <x:v>3</x:v>
      </x:c>
      <x:c r="I342" s="13" t="n">
        <x:v>-6</x:v>
      </x:c>
      <x:c r="J342" s="12" t="str">
        <x:v>first_audio_output</x:v>
      </x:c>
      <x:c r="K342" s="12" t="str">
        <x:v>none</x:v>
      </x:c>
      <x:c r="L342" s="13" t="n">
        <x:f>IF(G342&lt;=I342,0,MAX(0,L341)+IF(E342="via",MAX(0,G342-MAX(F342,I342)),0))</x:f>
        <x:v>8.004000000000001</x:v>
      </x:c>
    </x:row>
    <x:row r="343" ht="42" customHeight="1">
      <x:c r="A343" s="7" t="str">
        <x:v>BASE</x:v>
      </x:c>
      <x:c r="B343" s="7" t="str">
        <x:v>U24</x:v>
      </x:c>
      <x:c r="C343" s="7" t="str">
        <x:v>terminal</x:v>
      </x:c>
      <x:c r="D343" s="7" t="str">
        <x:v>공통 목표 최종 상태와 전체 음성 준비</x:v>
      </x:c>
      <x:c r="E343" s="7" t="str">
        <x:v>via</x:v>
      </x:c>
      <x:c r="F343" s="14" t="n">
        <x:v>14.458</x:v>
      </x:c>
      <x:c r="G343" s="14" t="n">
        <x:v>14.458</x:v>
      </x:c>
      <x:c r="H343" s="14" t="n">
        <x:v>0</x:v>
      </x:c>
      <x:c r="I343" s="14" t="n">
        <x:v>-6</x:v>
      </x:c>
      <x:c r="J343" s="7" t="str">
        <x:v>result_display, response_audio, intent_audio, first_audio_output</x:v>
      </x:c>
      <x:c r="K343" s="7" t="str">
        <x:v>none</x:v>
      </x:c>
      <x:c r="L343" s="14" t="n">
        <x:f>IF(G343&lt;=I343,0,MAX(0,L337,L338,L339,L341)+IF(E343="via",MAX(0,G343-MAX(F343,I343)),0))</x:f>
        <x:v>9.458</x:v>
      </x:c>
    </x:row>
    <x:row r="344" ht="42" customHeight="1">
      <x:c r="A344" s="12" t="str">
        <x:v>DP2-B</x:v>
      </x:c>
      <x:c r="B344" s="12" t="str">
        <x:v>U01</x:v>
      </x:c>
      <x:c r="C344" s="12" t="str">
        <x:v>input_end</x:v>
      </x:c>
      <x:c r="D344" s="12" t="str">
        <x:v>사용자 입력 종료</x:v>
      </x:c>
      <x:c r="E344" s="12" t="str">
        <x:v>external</x:v>
      </x:c>
      <x:c r="F344" s="13" t="n">
        <x:v>0</x:v>
      </x:c>
      <x:c r="G344" s="13" t="n">
        <x:v>0</x:v>
      </x:c>
      <x:c r="H344" s="13" t="n">
        <x:v>0</x:v>
      </x:c>
      <x:c r="I344" s="13" t="n">
        <x:v>0</x:v>
      </x:c>
      <x:c r="J344" s="12" t="str"/>
      <x:c r="K344" s="12" t="str">
        <x:v>none</x:v>
      </x:c>
      <x:c r="L344" s="13" t="n">
        <x:f>IF(G344&lt;=I344,0,MAX(0)+IF(E344="via",MAX(0,G344-MAX(F344,I344)),0))</x:f>
        <x:v>0</x:v>
      </x:c>
    </x:row>
    <x:row r="345" ht="42" customHeight="1">
      <x:c r="A345" s="7" t="str">
        <x:v>DP2-B</x:v>
      </x:c>
      <x:c r="B345" s="7" t="str">
        <x:v>U01</x:v>
      </x:c>
      <x:c r="C345" s="7" t="str">
        <x:v>intake</x:v>
      </x:c>
      <x:c r="D345" s="7" t="str">
        <x:v>입력 확정</x:v>
      </x:c>
      <x:c r="E345" s="7" t="str">
        <x:v>via</x:v>
      </x:c>
      <x:c r="F345" s="14" t="n">
        <x:v>0</x:v>
      </x:c>
      <x:c r="G345" s="14" t="n">
        <x:v>0.06</x:v>
      </x:c>
      <x:c r="H345" s="14" t="n">
        <x:v>0.06</x:v>
      </x:c>
      <x:c r="I345" s="14" t="n">
        <x:v>0</x:v>
      </x:c>
      <x:c r="J345" s="7" t="str">
        <x:v>input_end</x:v>
      </x:c>
      <x:c r="K345" s="7" t="str">
        <x:v>none</x:v>
      </x:c>
      <x:c r="L345" s="14" t="n">
        <x:f>IF(G345&lt;=I345,0,MAX(0,L344)+IF(E345="via",MAX(0,G345-MAX(F345,I345)),0))</x:f>
        <x:v>0.06</x:v>
      </x:c>
    </x:row>
    <x:row r="346" ht="42" customHeight="1">
      <x:c r="A346" s="12" t="str">
        <x:v>DP2-B</x:v>
      </x:c>
      <x:c r="B346" s="12" t="str">
        <x:v>U01</x:v>
      </x:c>
      <x:c r="C346" s="12" t="str">
        <x:v>read</x:v>
      </x:c>
      <x:c r="D346" s="12" t="str">
        <x:v>공통 허용 원본 조회</x:v>
      </x:c>
      <x:c r="E346" s="12" t="str">
        <x:v>via</x:v>
      </x:c>
      <x:c r="F346" s="13" t="n">
        <x:v>0.06</x:v>
      </x:c>
      <x:c r="G346" s="13" t="n">
        <x:v>0.14</x:v>
      </x:c>
      <x:c r="H346" s="13" t="n">
        <x:v>0.08</x:v>
      </x:c>
      <x:c r="I346" s="13" t="n">
        <x:v>0</x:v>
      </x:c>
      <x:c r="J346" s="12" t="str">
        <x:v>intake</x:v>
      </x:c>
      <x:c r="K346" s="12" t="str">
        <x:v>none</x:v>
      </x:c>
      <x:c r="L346" s="13" t="n">
        <x:f>IF(G346&lt;=I346,0,MAX(0,L345)+IF(E346="via",MAX(0,G346-MAX(F346,I346)),0))</x:f>
        <x:v>0.14</x:v>
      </x:c>
    </x:row>
    <x:row r="347" ht="42" customHeight="1">
      <x:c r="A347" s="7" t="str">
        <x:v>DP2-B</x:v>
      </x:c>
      <x:c r="B347" s="7" t="str">
        <x:v>U01</x:v>
      </x:c>
      <x:c r="C347" s="7" t="str">
        <x:v>meaning</x:v>
      </x:c>
      <x:c r="D347" s="7" t="str">
        <x:v>최초 요청 의미 채택 packet 생성</x:v>
      </x:c>
      <x:c r="E347" s="7" t="str">
        <x:v>via</x:v>
      </x:c>
      <x:c r="F347" s="14" t="n">
        <x:v>0.14</x:v>
      </x:c>
      <x:c r="G347" s="14" t="n">
        <x:v>1.2400000000000002</x:v>
      </x:c>
      <x:c r="H347" s="14" t="n">
        <x:v>1.1</x:v>
      </x:c>
      <x:c r="I347" s="14" t="n">
        <x:v>0</x:v>
      </x:c>
      <x:c r="J347" s="7" t="str">
        <x:v>read</x:v>
      </x:c>
      <x:c r="K347" s="7" t="str">
        <x:v>semantic</x:v>
      </x:c>
      <x:c r="L347" s="14" t="n">
        <x:f>IF(G347&lt;=I347,0,MAX(0,L346)+IF(E347="via",MAX(0,G347-MAX(F347,I347)),0))</x:f>
        <x:v>1.2400000000000002</x:v>
      </x:c>
    </x:row>
    <x:row r="348" ht="42" customHeight="1">
      <x:c r="A348" s="12" t="str">
        <x:v>DP2-B</x:v>
      </x:c>
      <x:c r="B348" s="12" t="str">
        <x:v>U01</x:v>
      </x:c>
      <x:c r="C348" s="12" t="str">
        <x:v>adopt</x:v>
      </x:c>
      <x:c r="D348" s="12" t="str">
        <x:v>현재 revision과 권한 검사 및 채택</x:v>
      </x:c>
      <x:c r="E348" s="12" t="str">
        <x:v>via</x:v>
      </x:c>
      <x:c r="F348" s="13" t="n">
        <x:v>1.2400000000000002</x:v>
      </x:c>
      <x:c r="G348" s="13" t="n">
        <x:v>1.2700000000000002</x:v>
      </x:c>
      <x:c r="H348" s="13" t="n">
        <x:v>0.03</x:v>
      </x:c>
      <x:c r="I348" s="13" t="n">
        <x:v>0</x:v>
      </x:c>
      <x:c r="J348" s="12" t="str">
        <x:v>meaning</x:v>
      </x:c>
      <x:c r="K348" s="12" t="str">
        <x:v>none</x:v>
      </x:c>
      <x:c r="L348" s="13" t="n">
        <x:f>IF(G348&lt;=I348,0,MAX(0,L347)+IF(E348="via",MAX(0,G348-MAX(F348,I348)),0))</x:f>
        <x:v>1.2700000000000002</x:v>
      </x:c>
    </x:row>
    <x:row r="349" ht="42" customHeight="1">
      <x:c r="A349" s="7" t="str">
        <x:v>DP2-B</x:v>
      </x:c>
      <x:c r="B349" s="7" t="str">
        <x:v>U01</x:v>
      </x:c>
      <x:c r="C349" s="7" t="str">
        <x:v>first_display</x:v>
      </x:c>
      <x:c r="D349" s="7" t="str">
        <x:v>첫 구체적 채택 내용 화면 표시</x:v>
      </x:c>
      <x:c r="E349" s="7" t="str">
        <x:v>via</x:v>
      </x:c>
      <x:c r="F349" s="14" t="n">
        <x:v>1.2700000000000002</x:v>
      </x:c>
      <x:c r="G349" s="14" t="n">
        <x:v>1.3100000000000003</x:v>
      </x:c>
      <x:c r="H349" s="14" t="n">
        <x:v>0.04</x:v>
      </x:c>
      <x:c r="I349" s="14" t="n">
        <x:v>0</x:v>
      </x:c>
      <x:c r="J349" s="7" t="str">
        <x:v>adopt</x:v>
      </x:c>
      <x:c r="K349" s="7" t="str">
        <x:v>none</x:v>
      </x:c>
      <x:c r="L349" s="14" t="n">
        <x:f>IF(G349&lt;=I349,0,MAX(0,L348)+IF(E349="via",MAX(0,G349-MAX(F349,I349)),0))</x:f>
        <x:v>1.3100000000000003</x:v>
      </x:c>
    </x:row>
    <x:row r="350" ht="42" customHeight="1">
      <x:c r="A350" s="12" t="str">
        <x:v>DP2-B</x:v>
      </x:c>
      <x:c r="B350" s="12" t="str">
        <x:v>U01</x:v>
      </x:c>
      <x:c r="C350" s="12" t="str">
        <x:v>response_audio</x:v>
      </x:c>
      <x:c r="D350" s="12" t="str">
        <x:v>선택한 응답 음성 생성</x:v>
      </x:c>
      <x:c r="E350" s="12" t="str">
        <x:v>via</x:v>
      </x:c>
      <x:c r="F350" s="13" t="n">
        <x:v>1.2700000000000002</x:v>
      </x:c>
      <x:c r="G350" s="13" t="n">
        <x:v>3.1580000000000004</x:v>
      </x:c>
      <x:c r="H350" s="13" t="n">
        <x:v>1.888</x:v>
      </x:c>
      <x:c r="I350" s="13" t="n">
        <x:v>0</x:v>
      </x:c>
      <x:c r="J350" s="12" t="str">
        <x:v>adopt</x:v>
      </x:c>
      <x:c r="K350" s="12" t="str">
        <x:v>speech</x:v>
      </x:c>
      <x:c r="L350" s="13" t="n">
        <x:f>IF(G350&lt;=I350,0,MAX(0,L348)+IF(E350="via",MAX(0,G350-MAX(F350,I350)),0))</x:f>
        <x:v>3.1580000000000004</x:v>
      </x:c>
    </x:row>
    <x:row r="351" ht="42" customHeight="1">
      <x:c r="A351" s="7" t="str">
        <x:v>DP2-B</x:v>
      </x:c>
      <x:c r="B351" s="7" t="str">
        <x:v>U01</x:v>
      </x:c>
      <x:c r="C351" s="7" t="str">
        <x:v>first_chunk</x:v>
      </x:c>
      <x:c r="D351" s="7" t="str">
        <x:v>같은 생성 job의 유효 첫 chunk 관측</x:v>
      </x:c>
      <x:c r="E351" s="7" t="str">
        <x:v>via</x:v>
      </x:c>
      <x:c r="F351" s="14" t="n">
        <x:v>1.2700000000000002</x:v>
      </x:c>
      <x:c r="G351" s="14" t="n">
        <x:v>1.7080000000000002</x:v>
      </x:c>
      <x:c r="H351" s="14" t="n">
        <x:v>0.438</x:v>
      </x:c>
      <x:c r="I351" s="14" t="n">
        <x:v>0</x:v>
      </x:c>
      <x:c r="J351" s="7" t="str">
        <x:v>adopt</x:v>
      </x:c>
      <x:c r="K351" s="7" t="str">
        <x:v>none</x:v>
      </x:c>
      <x:c r="L351" s="14" t="n">
        <x:f>IF(G351&lt;=I351,0,MAX(0,L348)+IF(E351="via",MAX(0,G351-MAX(F351,I351)),0))</x:f>
        <x:v>1.7080000000000002</x:v>
      </x:c>
    </x:row>
    <x:row r="352" ht="42" customHeight="1">
      <x:c r="A352" s="12" t="str">
        <x:v>DP2-B</x:v>
      </x:c>
      <x:c r="B352" s="12" t="str">
        <x:v>U01</x:v>
      </x:c>
      <x:c r="C352" s="12" t="str">
        <x:v>first_audio_output</x:v>
      </x:c>
      <x:c r="D352" s="12" t="str">
        <x:v>공통 장치의 첫 음성 출력</x:v>
      </x:c>
      <x:c r="E352" s="12" t="str">
        <x:v>via</x:v>
      </x:c>
      <x:c r="F352" s="13" t="n">
        <x:v>1.7080000000000002</x:v>
      </x:c>
      <x:c r="G352" s="13" t="n">
        <x:v>1.7480000000000002</x:v>
      </x:c>
      <x:c r="H352" s="13" t="n">
        <x:v>0.04</x:v>
      </x:c>
      <x:c r="I352" s="13" t="n">
        <x:v>0</x:v>
      </x:c>
      <x:c r="J352" s="12" t="str">
        <x:v>adopt, first_chunk</x:v>
      </x:c>
      <x:c r="K352" s="12" t="str">
        <x:v>none</x:v>
      </x:c>
      <x:c r="L352" s="13" t="n">
        <x:f>IF(G352&lt;=I352,0,MAX(0,L348,L351)+IF(E352="via",MAX(0,G352-MAX(F352,I352)),0))</x:f>
        <x:v>1.7480000000000002</x:v>
      </x:c>
    </x:row>
    <x:row r="353" ht="42" customHeight="1">
      <x:c r="A353" s="7" t="str">
        <x:v>DP2-B</x:v>
      </x:c>
      <x:c r="B353" s="7" t="str">
        <x:v>U01</x:v>
      </x:c>
      <x:c r="C353" s="7" t="str">
        <x:v>terminal</x:v>
      </x:c>
      <x:c r="D353" s="7" t="str">
        <x:v>공통 목표 최종 상태와 전체 음성 준비</x:v>
      </x:c>
      <x:c r="E353" s="7" t="str">
        <x:v>via</x:v>
      </x:c>
      <x:c r="F353" s="14" t="n">
        <x:v>3.1580000000000004</x:v>
      </x:c>
      <x:c r="G353" s="14" t="n">
        <x:v>3.1580000000000004</x:v>
      </x:c>
      <x:c r="H353" s="14" t="n">
        <x:v>0</x:v>
      </x:c>
      <x:c r="I353" s="14" t="n">
        <x:v>0</x:v>
      </x:c>
      <x:c r="J353" s="7" t="str">
        <x:v>first_display, response_audio, first_audio_output</x:v>
      </x:c>
      <x:c r="K353" s="7" t="str">
        <x:v>none</x:v>
      </x:c>
      <x:c r="L353" s="14" t="n">
        <x:f>IF(G353&lt;=I353,0,MAX(0,L349,L350,L352)+IF(E353="via",MAX(0,G353-MAX(F353,I353)),0))</x:f>
        <x:v>3.1580000000000004</x:v>
      </x:c>
    </x:row>
    <x:row r="354" ht="42" customHeight="1">
      <x:c r="A354" s="12" t="str">
        <x:v>DP2-B</x:v>
      </x:c>
      <x:c r="B354" s="12" t="str">
        <x:v>U02</x:v>
      </x:c>
      <x:c r="C354" s="12" t="str">
        <x:v>input_end</x:v>
      </x:c>
      <x:c r="D354" s="12" t="str">
        <x:v>사용자 입력 종료</x:v>
      </x:c>
      <x:c r="E354" s="12" t="str">
        <x:v>external</x:v>
      </x:c>
      <x:c r="F354" s="13" t="n">
        <x:v>0</x:v>
      </x:c>
      <x:c r="G354" s="13" t="n">
        <x:v>0</x:v>
      </x:c>
      <x:c r="H354" s="13" t="n">
        <x:v>0</x:v>
      </x:c>
      <x:c r="I354" s="13" t="n">
        <x:v>0</x:v>
      </x:c>
      <x:c r="J354" s="12" t="str"/>
      <x:c r="K354" s="12" t="str">
        <x:v>none</x:v>
      </x:c>
      <x:c r="L354" s="13" t="n">
        <x:f>IF(G354&lt;=I354,0,MAX(0)+IF(E354="via",MAX(0,G354-MAX(F354,I354)),0))</x:f>
        <x:v>0</x:v>
      </x:c>
    </x:row>
    <x:row r="355" ht="42" customHeight="1">
      <x:c r="A355" s="7" t="str">
        <x:v>DP2-B</x:v>
      </x:c>
      <x:c r="B355" s="7" t="str">
        <x:v>U02</x:v>
      </x:c>
      <x:c r="C355" s="7" t="str">
        <x:v>intake</x:v>
      </x:c>
      <x:c r="D355" s="7" t="str">
        <x:v>입력 확정</x:v>
      </x:c>
      <x:c r="E355" s="7" t="str">
        <x:v>via</x:v>
      </x:c>
      <x:c r="F355" s="14" t="n">
        <x:v>0</x:v>
      </x:c>
      <x:c r="G355" s="14" t="n">
        <x:v>0.3</x:v>
      </x:c>
      <x:c r="H355" s="14" t="n">
        <x:v>0.3</x:v>
      </x:c>
      <x:c r="I355" s="14" t="n">
        <x:v>0</x:v>
      </x:c>
      <x:c r="J355" s="7" t="str">
        <x:v>input_end</x:v>
      </x:c>
      <x:c r="K355" s="7" t="str">
        <x:v>none</x:v>
      </x:c>
      <x:c r="L355" s="14" t="n">
        <x:f>IF(G355&lt;=I355,0,MAX(0,L354)+IF(E355="via",MAX(0,G355-MAX(F355,I355)),0))</x:f>
        <x:v>0.3</x:v>
      </x:c>
    </x:row>
    <x:row r="356" ht="42" customHeight="1">
      <x:c r="A356" s="12" t="str">
        <x:v>DP2-B</x:v>
      </x:c>
      <x:c r="B356" s="12" t="str">
        <x:v>U02</x:v>
      </x:c>
      <x:c r="C356" s="12" t="str">
        <x:v>read</x:v>
      </x:c>
      <x:c r="D356" s="12" t="str">
        <x:v>공통 허용 원본 조회</x:v>
      </x:c>
      <x:c r="E356" s="12" t="str">
        <x:v>via</x:v>
      </x:c>
      <x:c r="F356" s="13" t="n">
        <x:v>0.3</x:v>
      </x:c>
      <x:c r="G356" s="13" t="n">
        <x:v>0.38</x:v>
      </x:c>
      <x:c r="H356" s="13" t="n">
        <x:v>0.08</x:v>
      </x:c>
      <x:c r="I356" s="13" t="n">
        <x:v>0</x:v>
      </x:c>
      <x:c r="J356" s="12" t="str">
        <x:v>intake</x:v>
      </x:c>
      <x:c r="K356" s="12" t="str">
        <x:v>none</x:v>
      </x:c>
      <x:c r="L356" s="13" t="n">
        <x:f>IF(G356&lt;=I356,0,MAX(0,L355)+IF(E356="via",MAX(0,G356-MAX(F356,I356)),0))</x:f>
        <x:v>0.38</x:v>
      </x:c>
    </x:row>
    <x:row r="357" ht="42" customHeight="1">
      <x:c r="A357" s="7" t="str">
        <x:v>DP2-B</x:v>
      </x:c>
      <x:c r="B357" s="7" t="str">
        <x:v>U02</x:v>
      </x:c>
      <x:c r="C357" s="7" t="str">
        <x:v>meaning</x:v>
      </x:c>
      <x:c r="D357" s="7" t="str">
        <x:v>최초 요청 의미 채택 packet 생성</x:v>
      </x:c>
      <x:c r="E357" s="7" t="str">
        <x:v>via</x:v>
      </x:c>
      <x:c r="F357" s="14" t="n">
        <x:v>0.38</x:v>
      </x:c>
      <x:c r="G357" s="14" t="n">
        <x:v>1.48</x:v>
      </x:c>
      <x:c r="H357" s="14" t="n">
        <x:v>1.1</x:v>
      </x:c>
      <x:c r="I357" s="14" t="n">
        <x:v>0</x:v>
      </x:c>
      <x:c r="J357" s="7" t="str">
        <x:v>read</x:v>
      </x:c>
      <x:c r="K357" s="7" t="str">
        <x:v>semantic</x:v>
      </x:c>
      <x:c r="L357" s="14" t="n">
        <x:f>IF(G357&lt;=I357,0,MAX(0,L356)+IF(E357="via",MAX(0,G357-MAX(F357,I357)),0))</x:f>
        <x:v>1.48</x:v>
      </x:c>
    </x:row>
    <x:row r="358" ht="42" customHeight="1">
      <x:c r="A358" s="12" t="str">
        <x:v>DP2-B</x:v>
      </x:c>
      <x:c r="B358" s="12" t="str">
        <x:v>U02</x:v>
      </x:c>
      <x:c r="C358" s="12" t="str">
        <x:v>adopt</x:v>
      </x:c>
      <x:c r="D358" s="12" t="str">
        <x:v>현재 revision과 권한 검사 및 채택</x:v>
      </x:c>
      <x:c r="E358" s="12" t="str">
        <x:v>via</x:v>
      </x:c>
      <x:c r="F358" s="13" t="n">
        <x:v>1.48</x:v>
      </x:c>
      <x:c r="G358" s="13" t="n">
        <x:v>1.51</x:v>
      </x:c>
      <x:c r="H358" s="13" t="n">
        <x:v>0.03</x:v>
      </x:c>
      <x:c r="I358" s="13" t="n">
        <x:v>0</x:v>
      </x:c>
      <x:c r="J358" s="12" t="str">
        <x:v>meaning</x:v>
      </x:c>
      <x:c r="K358" s="12" t="str">
        <x:v>none</x:v>
      </x:c>
      <x:c r="L358" s="13" t="n">
        <x:f>IF(G358&lt;=I358,0,MAX(0,L357)+IF(E358="via",MAX(0,G358-MAX(F358,I358)),0))</x:f>
        <x:v>1.51</x:v>
      </x:c>
    </x:row>
    <x:row r="359" ht="42" customHeight="1">
      <x:c r="A359" s="7" t="str">
        <x:v>DP2-B</x:v>
      </x:c>
      <x:c r="B359" s="7" t="str">
        <x:v>U02</x:v>
      </x:c>
      <x:c r="C359" s="7" t="str">
        <x:v>first_display</x:v>
      </x:c>
      <x:c r="D359" s="7" t="str">
        <x:v>첫 구체적 채택 내용 화면 표시</x:v>
      </x:c>
      <x:c r="E359" s="7" t="str">
        <x:v>via</x:v>
      </x:c>
      <x:c r="F359" s="14" t="n">
        <x:v>1.51</x:v>
      </x:c>
      <x:c r="G359" s="14" t="n">
        <x:v>1.55</x:v>
      </x:c>
      <x:c r="H359" s="14" t="n">
        <x:v>0.04</x:v>
      </x:c>
      <x:c r="I359" s="14" t="n">
        <x:v>0</x:v>
      </x:c>
      <x:c r="J359" s="7" t="str">
        <x:v>adopt</x:v>
      </x:c>
      <x:c r="K359" s="7" t="str">
        <x:v>none</x:v>
      </x:c>
      <x:c r="L359" s="14" t="n">
        <x:f>IF(G359&lt;=I359,0,MAX(0,L358)+IF(E359="via",MAX(0,G359-MAX(F359,I359)),0))</x:f>
        <x:v>1.55</x:v>
      </x:c>
    </x:row>
    <x:row r="360" ht="42" customHeight="1">
      <x:c r="A360" s="12" t="str">
        <x:v>DP2-B</x:v>
      </x:c>
      <x:c r="B360" s="12" t="str">
        <x:v>U02</x:v>
      </x:c>
      <x:c r="C360" s="12" t="str">
        <x:v>response_audio</x:v>
      </x:c>
      <x:c r="D360" s="12" t="str">
        <x:v>선택한 응답 음성 생성</x:v>
      </x:c>
      <x:c r="E360" s="12" t="str">
        <x:v>via</x:v>
      </x:c>
      <x:c r="F360" s="13" t="n">
        <x:v>1.51</x:v>
      </x:c>
      <x:c r="G360" s="13" t="n">
        <x:v>2.644</x:v>
      </x:c>
      <x:c r="H360" s="13" t="n">
        <x:v>1.134</x:v>
      </x:c>
      <x:c r="I360" s="13" t="n">
        <x:v>0</x:v>
      </x:c>
      <x:c r="J360" s="12" t="str">
        <x:v>adopt</x:v>
      </x:c>
      <x:c r="K360" s="12" t="str">
        <x:v>speech</x:v>
      </x:c>
      <x:c r="L360" s="13" t="n">
        <x:f>IF(G360&lt;=I360,0,MAX(0,L358)+IF(E360="via",MAX(0,G360-MAX(F360,I360)),0))</x:f>
        <x:v>2.644</x:v>
      </x:c>
    </x:row>
    <x:row r="361" ht="42" customHeight="1">
      <x:c r="A361" s="7" t="str">
        <x:v>DP2-B</x:v>
      </x:c>
      <x:c r="B361" s="7" t="str">
        <x:v>U02</x:v>
      </x:c>
      <x:c r="C361" s="7" t="str">
        <x:v>first_chunk</x:v>
      </x:c>
      <x:c r="D361" s="7" t="str">
        <x:v>같은 생성 job의 유효 첫 chunk 관측</x:v>
      </x:c>
      <x:c r="E361" s="7" t="str">
        <x:v>via</x:v>
      </x:c>
      <x:c r="F361" s="14" t="n">
        <x:v>1.51</x:v>
      </x:c>
      <x:c r="G361" s="14" t="n">
        <x:v>1.944</x:v>
      </x:c>
      <x:c r="H361" s="14" t="n">
        <x:v>0.434</x:v>
      </x:c>
      <x:c r="I361" s="14" t="n">
        <x:v>0</x:v>
      </x:c>
      <x:c r="J361" s="7" t="str">
        <x:v>adopt</x:v>
      </x:c>
      <x:c r="K361" s="7" t="str">
        <x:v>none</x:v>
      </x:c>
      <x:c r="L361" s="14" t="n">
        <x:f>IF(G361&lt;=I361,0,MAX(0,L358)+IF(E361="via",MAX(0,G361-MAX(F361,I361)),0))</x:f>
        <x:v>1.944</x:v>
      </x:c>
    </x:row>
    <x:row r="362" ht="42" customHeight="1">
      <x:c r="A362" s="12" t="str">
        <x:v>DP2-B</x:v>
      </x:c>
      <x:c r="B362" s="12" t="str">
        <x:v>U02</x:v>
      </x:c>
      <x:c r="C362" s="12" t="str">
        <x:v>first_audio_output</x:v>
      </x:c>
      <x:c r="D362" s="12" t="str">
        <x:v>공통 장치의 첫 음성 출력</x:v>
      </x:c>
      <x:c r="E362" s="12" t="str">
        <x:v>via</x:v>
      </x:c>
      <x:c r="F362" s="13" t="n">
        <x:v>1.944</x:v>
      </x:c>
      <x:c r="G362" s="13" t="n">
        <x:v>1.984</x:v>
      </x:c>
      <x:c r="H362" s="13" t="n">
        <x:v>0.04</x:v>
      </x:c>
      <x:c r="I362" s="13" t="n">
        <x:v>0</x:v>
      </x:c>
      <x:c r="J362" s="12" t="str">
        <x:v>adopt, first_chunk</x:v>
      </x:c>
      <x:c r="K362" s="12" t="str">
        <x:v>none</x:v>
      </x:c>
      <x:c r="L362" s="13" t="n">
        <x:f>IF(G362&lt;=I362,0,MAX(0,L358,L361)+IF(E362="via",MAX(0,G362-MAX(F362,I362)),0))</x:f>
        <x:v>1.984</x:v>
      </x:c>
    </x:row>
    <x:row r="363" ht="42" customHeight="1">
      <x:c r="A363" s="7" t="str">
        <x:v>DP2-B</x:v>
      </x:c>
      <x:c r="B363" s="7" t="str">
        <x:v>U02</x:v>
      </x:c>
      <x:c r="C363" s="7" t="str">
        <x:v>terminal</x:v>
      </x:c>
      <x:c r="D363" s="7" t="str">
        <x:v>공통 목표 최종 상태와 전체 음성 준비</x:v>
      </x:c>
      <x:c r="E363" s="7" t="str">
        <x:v>via</x:v>
      </x:c>
      <x:c r="F363" s="14" t="n">
        <x:v>2.644</x:v>
      </x:c>
      <x:c r="G363" s="14" t="n">
        <x:v>2.644</x:v>
      </x:c>
      <x:c r="H363" s="14" t="n">
        <x:v>0</x:v>
      </x:c>
      <x:c r="I363" s="14" t="n">
        <x:v>0</x:v>
      </x:c>
      <x:c r="J363" s="7" t="str">
        <x:v>first_display, response_audio, first_audio_output</x:v>
      </x:c>
      <x:c r="K363" s="7" t="str">
        <x:v>none</x:v>
      </x:c>
      <x:c r="L363" s="14" t="n">
        <x:f>IF(G363&lt;=I363,0,MAX(0,L359,L360,L362)+IF(E363="via",MAX(0,G363-MAX(F363,I363)),0))</x:f>
        <x:v>2.644</x:v>
      </x:c>
    </x:row>
    <x:row r="364" ht="42" customHeight="1">
      <x:c r="A364" s="12" t="str">
        <x:v>DP2-B</x:v>
      </x:c>
      <x:c r="B364" s="12" t="str">
        <x:v>U03</x:v>
      </x:c>
      <x:c r="C364" s="12" t="str">
        <x:v>input_end</x:v>
      </x:c>
      <x:c r="D364" s="12" t="str">
        <x:v>사용자 입력 종료</x:v>
      </x:c>
      <x:c r="E364" s="12" t="str">
        <x:v>external</x:v>
      </x:c>
      <x:c r="F364" s="13" t="n">
        <x:v>0</x:v>
      </x:c>
      <x:c r="G364" s="13" t="n">
        <x:v>0</x:v>
      </x:c>
      <x:c r="H364" s="13" t="n">
        <x:v>0</x:v>
      </x:c>
      <x:c r="I364" s="13" t="n">
        <x:v>0</x:v>
      </x:c>
      <x:c r="J364" s="12" t="str"/>
      <x:c r="K364" s="12" t="str">
        <x:v>none</x:v>
      </x:c>
      <x:c r="L364" s="13" t="n">
        <x:f>IF(G364&lt;=I364,0,MAX(0)+IF(E364="via",MAX(0,G364-MAX(F364,I364)),0))</x:f>
        <x:v>0</x:v>
      </x:c>
    </x:row>
    <x:row r="365" ht="42" customHeight="1">
      <x:c r="A365" s="7" t="str">
        <x:v>DP2-B</x:v>
      </x:c>
      <x:c r="B365" s="7" t="str">
        <x:v>U03</x:v>
      </x:c>
      <x:c r="C365" s="7" t="str">
        <x:v>intake</x:v>
      </x:c>
      <x:c r="D365" s="7" t="str">
        <x:v>입력 확정</x:v>
      </x:c>
      <x:c r="E365" s="7" t="str">
        <x:v>via</x:v>
      </x:c>
      <x:c r="F365" s="14" t="n">
        <x:v>0</x:v>
      </x:c>
      <x:c r="G365" s="14" t="n">
        <x:v>0.06</x:v>
      </x:c>
      <x:c r="H365" s="14" t="n">
        <x:v>0.06</x:v>
      </x:c>
      <x:c r="I365" s="14" t="n">
        <x:v>0</x:v>
      </x:c>
      <x:c r="J365" s="7" t="str">
        <x:v>input_end</x:v>
      </x:c>
      <x:c r="K365" s="7" t="str">
        <x:v>none</x:v>
      </x:c>
      <x:c r="L365" s="14" t="n">
        <x:f>IF(G365&lt;=I365,0,MAX(0,L364)+IF(E365="via",MAX(0,G365-MAX(F365,I365)),0))</x:f>
        <x:v>0.06</x:v>
      </x:c>
    </x:row>
    <x:row r="366" ht="42" customHeight="1">
      <x:c r="A366" s="12" t="str">
        <x:v>DP2-B</x:v>
      </x:c>
      <x:c r="B366" s="12" t="str">
        <x:v>U03</x:v>
      </x:c>
      <x:c r="C366" s="12" t="str">
        <x:v>read</x:v>
      </x:c>
      <x:c r="D366" s="12" t="str">
        <x:v>공통 허용 원본 조회</x:v>
      </x:c>
      <x:c r="E366" s="12" t="str">
        <x:v>via</x:v>
      </x:c>
      <x:c r="F366" s="13" t="n">
        <x:v>0.06</x:v>
      </x:c>
      <x:c r="G366" s="13" t="n">
        <x:v>0.14</x:v>
      </x:c>
      <x:c r="H366" s="13" t="n">
        <x:v>0.08</x:v>
      </x:c>
      <x:c r="I366" s="13" t="n">
        <x:v>0</x:v>
      </x:c>
      <x:c r="J366" s="12" t="str">
        <x:v>intake</x:v>
      </x:c>
      <x:c r="K366" s="12" t="str">
        <x:v>none</x:v>
      </x:c>
      <x:c r="L366" s="13" t="n">
        <x:f>IF(G366&lt;=I366,0,MAX(0,L365)+IF(E366="via",MAX(0,G366-MAX(F366,I366)),0))</x:f>
        <x:v>0.14</x:v>
      </x:c>
    </x:row>
    <x:row r="367" ht="42" customHeight="1">
      <x:c r="A367" s="7" t="str">
        <x:v>DP2-B</x:v>
      </x:c>
      <x:c r="B367" s="7" t="str">
        <x:v>U03</x:v>
      </x:c>
      <x:c r="C367" s="7" t="str">
        <x:v>meaning</x:v>
      </x:c>
      <x:c r="D367" s="7" t="str">
        <x:v>최초 요청 의미 채택 packet 생성</x:v>
      </x:c>
      <x:c r="E367" s="7" t="str">
        <x:v>via</x:v>
      </x:c>
      <x:c r="F367" s="14" t="n">
        <x:v>0.14</x:v>
      </x:c>
      <x:c r="G367" s="14" t="n">
        <x:v>1.27</x:v>
      </x:c>
      <x:c r="H367" s="14" t="n">
        <x:v>1.1300000000000001</x:v>
      </x:c>
      <x:c r="I367" s="14" t="n">
        <x:v>0</x:v>
      </x:c>
      <x:c r="J367" s="7" t="str">
        <x:v>read</x:v>
      </x:c>
      <x:c r="K367" s="7" t="str">
        <x:v>semantic</x:v>
      </x:c>
      <x:c r="L367" s="14" t="n">
        <x:f>IF(G367&lt;=I367,0,MAX(0,L366)+IF(E367="via",MAX(0,G367-MAX(F367,I367)),0))</x:f>
        <x:v>1.27</x:v>
      </x:c>
    </x:row>
    <x:row r="368" ht="42" customHeight="1">
      <x:c r="A368" s="12" t="str">
        <x:v>DP2-B</x:v>
      </x:c>
      <x:c r="B368" s="12" t="str">
        <x:v>U03</x:v>
      </x:c>
      <x:c r="C368" s="12" t="str">
        <x:v>adopt</x:v>
      </x:c>
      <x:c r="D368" s="12" t="str">
        <x:v>현재 revision과 권한 검사 및 채택</x:v>
      </x:c>
      <x:c r="E368" s="12" t="str">
        <x:v>via</x:v>
      </x:c>
      <x:c r="F368" s="13" t="n">
        <x:v>1.27</x:v>
      </x:c>
      <x:c r="G368" s="13" t="n">
        <x:v>1.3</x:v>
      </x:c>
      <x:c r="H368" s="13" t="n">
        <x:v>0.03</x:v>
      </x:c>
      <x:c r="I368" s="13" t="n">
        <x:v>0</x:v>
      </x:c>
      <x:c r="J368" s="12" t="str">
        <x:v>meaning</x:v>
      </x:c>
      <x:c r="K368" s="12" t="str">
        <x:v>none</x:v>
      </x:c>
      <x:c r="L368" s="13" t="n">
        <x:f>IF(G368&lt;=I368,0,MAX(0,L367)+IF(E368="via",MAX(0,G368-MAX(F368,I368)),0))</x:f>
        <x:v>1.3</x:v>
      </x:c>
    </x:row>
    <x:row r="369" ht="42" customHeight="1">
      <x:c r="A369" s="7" t="str">
        <x:v>DP2-B</x:v>
      </x:c>
      <x:c r="B369" s="7" t="str">
        <x:v>U03</x:v>
      </x:c>
      <x:c r="C369" s="7" t="str">
        <x:v>first_display</x:v>
      </x:c>
      <x:c r="D369" s="7" t="str">
        <x:v>첫 구체적 채택 내용 화면 표시</x:v>
      </x:c>
      <x:c r="E369" s="7" t="str">
        <x:v>via</x:v>
      </x:c>
      <x:c r="F369" s="14" t="n">
        <x:v>1.3</x:v>
      </x:c>
      <x:c r="G369" s="14" t="n">
        <x:v>1.34</x:v>
      </x:c>
      <x:c r="H369" s="14" t="n">
        <x:v>0.04</x:v>
      </x:c>
      <x:c r="I369" s="14" t="n">
        <x:v>0</x:v>
      </x:c>
      <x:c r="J369" s="7" t="str">
        <x:v>adopt</x:v>
      </x:c>
      <x:c r="K369" s="7" t="str">
        <x:v>none</x:v>
      </x:c>
      <x:c r="L369" s="14" t="n">
        <x:f>IF(G369&lt;=I369,0,MAX(0,L368)+IF(E369="via",MAX(0,G369-MAX(F369,I369)),0))</x:f>
        <x:v>1.34</x:v>
      </x:c>
    </x:row>
    <x:row r="370" ht="42" customHeight="1">
      <x:c r="A370" s="12" t="str">
        <x:v>DP2-B</x:v>
      </x:c>
      <x:c r="B370" s="12" t="str">
        <x:v>U03</x:v>
      </x:c>
      <x:c r="C370" s="12" t="str">
        <x:v>long_work</x:v>
      </x:c>
      <x:c r="D370" s="12" t="str">
        <x:v>요청의 남은 VIA 판단</x:v>
      </x:c>
      <x:c r="E370" s="12" t="str">
        <x:v>via</x:v>
      </x:c>
      <x:c r="F370" s="13" t="n">
        <x:v>1.3</x:v>
      </x:c>
      <x:c r="G370" s="13" t="n">
        <x:v>2.9299999999999997</x:v>
      </x:c>
      <x:c r="H370" s="13" t="n">
        <x:v>1.63</x:v>
      </x:c>
      <x:c r="I370" s="13" t="n">
        <x:v>0</x:v>
      </x:c>
      <x:c r="J370" s="12" t="str">
        <x:v>adopt</x:v>
      </x:c>
      <x:c r="K370" s="12" t="str">
        <x:v>semantic</x:v>
      </x:c>
      <x:c r="L370" s="13" t="n">
        <x:f>IF(G370&lt;=I370,0,MAX(0,L368)+IF(E370="via",MAX(0,G370-MAX(F370,I370)),0))</x:f>
        <x:v>2.9299999999999997</x:v>
      </x:c>
    </x:row>
    <x:row r="371" ht="42" customHeight="1">
      <x:c r="A371" s="7" t="str">
        <x:v>DP2-B</x:v>
      </x:c>
      <x:c r="B371" s="7" t="str">
        <x:v>U03</x:v>
      </x:c>
      <x:c r="C371" s="7" t="str">
        <x:v>result_display</x:v>
      </x:c>
      <x:c r="D371" s="7" t="str">
        <x:v>최종 설명 상세 표시</x:v>
      </x:c>
      <x:c r="E371" s="7" t="str">
        <x:v>via</x:v>
      </x:c>
      <x:c r="F371" s="14" t="n">
        <x:v>2.9299999999999997</x:v>
      </x:c>
      <x:c r="G371" s="14" t="n">
        <x:v>2.9699999999999998</x:v>
      </x:c>
      <x:c r="H371" s="14" t="n">
        <x:v>0.04</x:v>
      </x:c>
      <x:c r="I371" s="14" t="n">
        <x:v>0</x:v>
      </x:c>
      <x:c r="J371" s="7" t="str">
        <x:v>long_work</x:v>
      </x:c>
      <x:c r="K371" s="7" t="str">
        <x:v>none</x:v>
      </x:c>
      <x:c r="L371" s="14" t="n">
        <x:f>IF(G371&lt;=I371,0,MAX(0,L370)+IF(E371="via",MAX(0,G371-MAX(F371,I371)),0))</x:f>
        <x:v>2.9699999999999998</x:v>
      </x:c>
    </x:row>
    <x:row r="372" ht="42" customHeight="1">
      <x:c r="A372" s="12" t="str">
        <x:v>DP2-B</x:v>
      </x:c>
      <x:c r="B372" s="12" t="str">
        <x:v>U03</x:v>
      </x:c>
      <x:c r="C372" s="12" t="str">
        <x:v>response_audio</x:v>
      </x:c>
      <x:c r="D372" s="12" t="str">
        <x:v>선택한 응답 음성 생성</x:v>
      </x:c>
      <x:c r="E372" s="12" t="str">
        <x:v>via</x:v>
      </x:c>
      <x:c r="F372" s="13" t="n">
        <x:v>2.9299999999999997</x:v>
      </x:c>
      <x:c r="G372" s="13" t="n">
        <x:v>4.818</x:v>
      </x:c>
      <x:c r="H372" s="13" t="n">
        <x:v>1.888</x:v>
      </x:c>
      <x:c r="I372" s="13" t="n">
        <x:v>0</x:v>
      </x:c>
      <x:c r="J372" s="12" t="str">
        <x:v>long_work</x:v>
      </x:c>
      <x:c r="K372" s="12" t="str">
        <x:v>speech</x:v>
      </x:c>
      <x:c r="L372" s="13" t="n">
        <x:f>IF(G372&lt;=I372,0,MAX(0,L370)+IF(E372="via",MAX(0,G372-MAX(F372,I372)),0))</x:f>
        <x:v>4.818</x:v>
      </x:c>
    </x:row>
    <x:row r="373" ht="42" customHeight="1">
      <x:c r="A373" s="7" t="str">
        <x:v>DP2-B</x:v>
      </x:c>
      <x:c r="B373" s="7" t="str">
        <x:v>U03</x:v>
      </x:c>
      <x:c r="C373" s="7" t="str">
        <x:v>intent_audio</x:v>
      </x:c>
      <x:c r="D373" s="7" t="str">
        <x:v>채택한 구체적 수행 의도의 짧은 음성</x:v>
      </x:c>
      <x:c r="E373" s="7" t="str">
        <x:v>via</x:v>
      </x:c>
      <x:c r="F373" s="14" t="n">
        <x:v>1.3</x:v>
      </x:c>
      <x:c r="G373" s="14" t="n">
        <x:v>2.434</x:v>
      </x:c>
      <x:c r="H373" s="14" t="n">
        <x:v>1.134</x:v>
      </x:c>
      <x:c r="I373" s="14" t="n">
        <x:v>0</x:v>
      </x:c>
      <x:c r="J373" s="7" t="str">
        <x:v>adopt</x:v>
      </x:c>
      <x:c r="K373" s="7" t="str">
        <x:v>speech</x:v>
      </x:c>
      <x:c r="L373" s="14" t="n">
        <x:f>IF(G373&lt;=I373,0,MAX(0,L368)+IF(E373="via",MAX(0,G373-MAX(F373,I373)),0))</x:f>
        <x:v>2.434</x:v>
      </x:c>
    </x:row>
    <x:row r="374" ht="42" customHeight="1">
      <x:c r="A374" s="12" t="str">
        <x:v>DP2-B</x:v>
      </x:c>
      <x:c r="B374" s="12" t="str">
        <x:v>U03</x:v>
      </x:c>
      <x:c r="C374" s="12" t="str">
        <x:v>first_chunk</x:v>
      </x:c>
      <x:c r="D374" s="12" t="str">
        <x:v>같은 생성 job의 유효 첫 chunk 관측</x:v>
      </x:c>
      <x:c r="E374" s="12" t="str">
        <x:v>via</x:v>
      </x:c>
      <x:c r="F374" s="13" t="n">
        <x:v>1.3</x:v>
      </x:c>
      <x:c r="G374" s="13" t="n">
        <x:v>1.734</x:v>
      </x:c>
      <x:c r="H374" s="13" t="n">
        <x:v>0.434</x:v>
      </x:c>
      <x:c r="I374" s="13" t="n">
        <x:v>0</x:v>
      </x:c>
      <x:c r="J374" s="12" t="str">
        <x:v>adopt</x:v>
      </x:c>
      <x:c r="K374" s="12" t="str">
        <x:v>none</x:v>
      </x:c>
      <x:c r="L374" s="13" t="n">
        <x:f>IF(G374&lt;=I374,0,MAX(0,L368)+IF(E374="via",MAX(0,G374-MAX(F374,I374)),0))</x:f>
        <x:v>1.734</x:v>
      </x:c>
    </x:row>
    <x:row r="375" ht="42" customHeight="1">
      <x:c r="A375" s="7" t="str">
        <x:v>DP2-B</x:v>
      </x:c>
      <x:c r="B375" s="7" t="str">
        <x:v>U03</x:v>
      </x:c>
      <x:c r="C375" s="7" t="str">
        <x:v>first_audio_output</x:v>
      </x:c>
      <x:c r="D375" s="7" t="str">
        <x:v>공통 장치의 첫 음성 출력</x:v>
      </x:c>
      <x:c r="E375" s="7" t="str">
        <x:v>via</x:v>
      </x:c>
      <x:c r="F375" s="14" t="n">
        <x:v>1.734</x:v>
      </x:c>
      <x:c r="G375" s="14" t="n">
        <x:v>1.774</x:v>
      </x:c>
      <x:c r="H375" s="14" t="n">
        <x:v>0.04</x:v>
      </x:c>
      <x:c r="I375" s="14" t="n">
        <x:v>0</x:v>
      </x:c>
      <x:c r="J375" s="7" t="str">
        <x:v>adopt, first_chunk</x:v>
      </x:c>
      <x:c r="K375" s="7" t="str">
        <x:v>none</x:v>
      </x:c>
      <x:c r="L375" s="14" t="n">
        <x:f>IF(G375&lt;=I375,0,MAX(0,L368,L374)+IF(E375="via",MAX(0,G375-MAX(F375,I375)),0))</x:f>
        <x:v>1.774</x:v>
      </x:c>
    </x:row>
    <x:row r="376" ht="42" customHeight="1">
      <x:c r="A376" s="12" t="str">
        <x:v>DP2-B</x:v>
      </x:c>
      <x:c r="B376" s="12" t="str">
        <x:v>U03</x:v>
      </x:c>
      <x:c r="C376" s="12" t="str">
        <x:v>next_speech_selection</x:v>
      </x:c>
      <x:c r="D376" s="12" t="str">
        <x:v>현재 발화 재생 후 다음 응답 선택</x:v>
      </x:c>
      <x:c r="E376" s="12" t="str">
        <x:v>external</x:v>
      </x:c>
      <x:c r="F376" s="13" t="n">
        <x:v>1.774</x:v>
      </x:c>
      <x:c r="G376" s="13" t="n">
        <x:v>4.774</x:v>
      </x:c>
      <x:c r="H376" s="13" t="n">
        <x:v>3</x:v>
      </x:c>
      <x:c r="I376" s="13" t="n">
        <x:v>0</x:v>
      </x:c>
      <x:c r="J376" s="12" t="str">
        <x:v>first_audio_output</x:v>
      </x:c>
      <x:c r="K376" s="12" t="str">
        <x:v>none</x:v>
      </x:c>
      <x:c r="L376" s="13" t="n">
        <x:f>IF(G376&lt;=I376,0,MAX(0,L375)+IF(E376="via",MAX(0,G376-MAX(F376,I376)),0))</x:f>
        <x:v>1.774</x:v>
      </x:c>
    </x:row>
    <x:row r="377" ht="42" customHeight="1">
      <x:c r="A377" s="7" t="str">
        <x:v>DP2-B</x:v>
      </x:c>
      <x:c r="B377" s="7" t="str">
        <x:v>U03</x:v>
      </x:c>
      <x:c r="C377" s="7" t="str">
        <x:v>terminal</x:v>
      </x:c>
      <x:c r="D377" s="7" t="str">
        <x:v>공통 목표 최종 상태와 전체 음성 준비</x:v>
      </x:c>
      <x:c r="E377" s="7" t="str">
        <x:v>via</x:v>
      </x:c>
      <x:c r="F377" s="14" t="n">
        <x:v>4.818</x:v>
      </x:c>
      <x:c r="G377" s="14" t="n">
        <x:v>4.818</x:v>
      </x:c>
      <x:c r="H377" s="14" t="n">
        <x:v>0</x:v>
      </x:c>
      <x:c r="I377" s="14" t="n">
        <x:v>0</x:v>
      </x:c>
      <x:c r="J377" s="7" t="str">
        <x:v>result_display, response_audio, intent_audio, first_audio_output</x:v>
      </x:c>
      <x:c r="K377" s="7" t="str">
        <x:v>none</x:v>
      </x:c>
      <x:c r="L377" s="14" t="n">
        <x:f>IF(G377&lt;=I377,0,MAX(0,L371,L372,L373,L375)+IF(E377="via",MAX(0,G377-MAX(F377,I377)),0))</x:f>
        <x:v>4.818</x:v>
      </x:c>
    </x:row>
    <x:row r="378" ht="42" customHeight="1">
      <x:c r="A378" s="12" t="str">
        <x:v>DP2-B</x:v>
      </x:c>
      <x:c r="B378" s="12" t="str">
        <x:v>U04</x:v>
      </x:c>
      <x:c r="C378" s="12" t="str">
        <x:v>input_end</x:v>
      </x:c>
      <x:c r="D378" s="12" t="str">
        <x:v>사용자 입력 종료</x:v>
      </x:c>
      <x:c r="E378" s="12" t="str">
        <x:v>external</x:v>
      </x:c>
      <x:c r="F378" s="13" t="n">
        <x:v>0</x:v>
      </x:c>
      <x:c r="G378" s="13" t="n">
        <x:v>0</x:v>
      </x:c>
      <x:c r="H378" s="13" t="n">
        <x:v>0</x:v>
      </x:c>
      <x:c r="I378" s="13" t="n">
        <x:v>0</x:v>
      </x:c>
      <x:c r="J378" s="12" t="str"/>
      <x:c r="K378" s="12" t="str">
        <x:v>none</x:v>
      </x:c>
      <x:c r="L378" s="13" t="n">
        <x:f>IF(G378&lt;=I378,0,MAX(0)+IF(E378="via",MAX(0,G378-MAX(F378,I378)),0))</x:f>
        <x:v>0</x:v>
      </x:c>
    </x:row>
    <x:row r="379" ht="42" customHeight="1">
      <x:c r="A379" s="7" t="str">
        <x:v>DP2-B</x:v>
      </x:c>
      <x:c r="B379" s="7" t="str">
        <x:v>U04</x:v>
      </x:c>
      <x:c r="C379" s="7" t="str">
        <x:v>intake</x:v>
      </x:c>
      <x:c r="D379" s="7" t="str">
        <x:v>입력 확정</x:v>
      </x:c>
      <x:c r="E379" s="7" t="str">
        <x:v>via</x:v>
      </x:c>
      <x:c r="F379" s="14" t="n">
        <x:v>0</x:v>
      </x:c>
      <x:c r="G379" s="14" t="n">
        <x:v>0.3</x:v>
      </x:c>
      <x:c r="H379" s="14" t="n">
        <x:v>0.3</x:v>
      </x:c>
      <x:c r="I379" s="14" t="n">
        <x:v>0</x:v>
      </x:c>
      <x:c r="J379" s="7" t="str">
        <x:v>input_end</x:v>
      </x:c>
      <x:c r="K379" s="7" t="str">
        <x:v>none</x:v>
      </x:c>
      <x:c r="L379" s="14" t="n">
        <x:f>IF(G379&lt;=I379,0,MAX(0,L378)+IF(E379="via",MAX(0,G379-MAX(F379,I379)),0))</x:f>
        <x:v>0.3</x:v>
      </x:c>
    </x:row>
    <x:row r="380" ht="42" customHeight="1">
      <x:c r="A380" s="12" t="str">
        <x:v>DP2-B</x:v>
      </x:c>
      <x:c r="B380" s="12" t="str">
        <x:v>U04</x:v>
      </x:c>
      <x:c r="C380" s="12" t="str">
        <x:v>read</x:v>
      </x:c>
      <x:c r="D380" s="12" t="str">
        <x:v>공통 허용 원본 조회</x:v>
      </x:c>
      <x:c r="E380" s="12" t="str">
        <x:v>via</x:v>
      </x:c>
      <x:c r="F380" s="13" t="n">
        <x:v>0.3</x:v>
      </x:c>
      <x:c r="G380" s="13" t="n">
        <x:v>0.38</x:v>
      </x:c>
      <x:c r="H380" s="13" t="n">
        <x:v>0.08</x:v>
      </x:c>
      <x:c r="I380" s="13" t="n">
        <x:v>0</x:v>
      </x:c>
      <x:c r="J380" s="12" t="str">
        <x:v>intake</x:v>
      </x:c>
      <x:c r="K380" s="12" t="str">
        <x:v>none</x:v>
      </x:c>
      <x:c r="L380" s="13" t="n">
        <x:f>IF(G380&lt;=I380,0,MAX(0,L379)+IF(E380="via",MAX(0,G380-MAX(F380,I380)),0))</x:f>
        <x:v>0.38</x:v>
      </x:c>
    </x:row>
    <x:row r="381" ht="42" customHeight="1">
      <x:c r="A381" s="7" t="str">
        <x:v>DP2-B</x:v>
      </x:c>
      <x:c r="B381" s="7" t="str">
        <x:v>U04</x:v>
      </x:c>
      <x:c r="C381" s="7" t="str">
        <x:v>meaning</x:v>
      </x:c>
      <x:c r="D381" s="7" t="str">
        <x:v>최초 요청 의미 채택 packet 생성</x:v>
      </x:c>
      <x:c r="E381" s="7" t="str">
        <x:v>via</x:v>
      </x:c>
      <x:c r="F381" s="14" t="n">
        <x:v>0.38</x:v>
      </x:c>
      <x:c r="G381" s="14" t="n">
        <x:v>1.48</x:v>
      </x:c>
      <x:c r="H381" s="14" t="n">
        <x:v>1.1</x:v>
      </x:c>
      <x:c r="I381" s="14" t="n">
        <x:v>0</x:v>
      </x:c>
      <x:c r="J381" s="7" t="str">
        <x:v>read</x:v>
      </x:c>
      <x:c r="K381" s="7" t="str">
        <x:v>semantic</x:v>
      </x:c>
      <x:c r="L381" s="14" t="n">
        <x:f>IF(G381&lt;=I381,0,MAX(0,L380)+IF(E381="via",MAX(0,G381-MAX(F381,I381)),0))</x:f>
        <x:v>1.48</x:v>
      </x:c>
    </x:row>
    <x:row r="382" ht="42" customHeight="1">
      <x:c r="A382" s="12" t="str">
        <x:v>DP2-B</x:v>
      </x:c>
      <x:c r="B382" s="12" t="str">
        <x:v>U04</x:v>
      </x:c>
      <x:c r="C382" s="12" t="str">
        <x:v>adopt</x:v>
      </x:c>
      <x:c r="D382" s="12" t="str">
        <x:v>현재 revision과 권한 검사 및 채택</x:v>
      </x:c>
      <x:c r="E382" s="12" t="str">
        <x:v>via</x:v>
      </x:c>
      <x:c r="F382" s="13" t="n">
        <x:v>1.48</x:v>
      </x:c>
      <x:c r="G382" s="13" t="n">
        <x:v>1.51</x:v>
      </x:c>
      <x:c r="H382" s="13" t="n">
        <x:v>0.03</x:v>
      </x:c>
      <x:c r="I382" s="13" t="n">
        <x:v>0</x:v>
      </x:c>
      <x:c r="J382" s="12" t="str">
        <x:v>meaning</x:v>
      </x:c>
      <x:c r="K382" s="12" t="str">
        <x:v>none</x:v>
      </x:c>
      <x:c r="L382" s="13" t="n">
        <x:f>IF(G382&lt;=I382,0,MAX(0,L381)+IF(E382="via",MAX(0,G382-MAX(F382,I382)),0))</x:f>
        <x:v>1.51</x:v>
      </x:c>
    </x:row>
    <x:row r="383" ht="42" customHeight="1">
      <x:c r="A383" s="7" t="str">
        <x:v>DP2-B</x:v>
      </x:c>
      <x:c r="B383" s="7" t="str">
        <x:v>U04</x:v>
      </x:c>
      <x:c r="C383" s="7" t="str">
        <x:v>first_display</x:v>
      </x:c>
      <x:c r="D383" s="7" t="str">
        <x:v>첫 구체적 채택 내용 화면 표시</x:v>
      </x:c>
      <x:c r="E383" s="7" t="str">
        <x:v>via</x:v>
      </x:c>
      <x:c r="F383" s="14" t="n">
        <x:v>1.51</x:v>
      </x:c>
      <x:c r="G383" s="14" t="n">
        <x:v>1.55</x:v>
      </x:c>
      <x:c r="H383" s="14" t="n">
        <x:v>0.04</x:v>
      </x:c>
      <x:c r="I383" s="14" t="n">
        <x:v>0</x:v>
      </x:c>
      <x:c r="J383" s="7" t="str">
        <x:v>adopt</x:v>
      </x:c>
      <x:c r="K383" s="7" t="str">
        <x:v>none</x:v>
      </x:c>
      <x:c r="L383" s="14" t="n">
        <x:f>IF(G383&lt;=I383,0,MAX(0,L382)+IF(E383="via",MAX(0,G383-MAX(F383,I383)),0))</x:f>
        <x:v>1.55</x:v>
      </x:c>
    </x:row>
    <x:row r="384" ht="42" customHeight="1">
      <x:c r="A384" s="12" t="str">
        <x:v>DP2-B</x:v>
      </x:c>
      <x:c r="B384" s="12" t="str">
        <x:v>U04</x:v>
      </x:c>
      <x:c r="C384" s="12" t="str">
        <x:v>response_audio</x:v>
      </x:c>
      <x:c r="D384" s="12" t="str">
        <x:v>선택한 응답 음성 생성</x:v>
      </x:c>
      <x:c r="E384" s="12" t="str">
        <x:v>via</x:v>
      </x:c>
      <x:c r="F384" s="13" t="n">
        <x:v>1.51</x:v>
      </x:c>
      <x:c r="G384" s="13" t="n">
        <x:v>3.3979999999999997</x:v>
      </x:c>
      <x:c r="H384" s="13" t="n">
        <x:v>1.888</x:v>
      </x:c>
      <x:c r="I384" s="13" t="n">
        <x:v>0</x:v>
      </x:c>
      <x:c r="J384" s="12" t="str">
        <x:v>adopt</x:v>
      </x:c>
      <x:c r="K384" s="12" t="str">
        <x:v>speech</x:v>
      </x:c>
      <x:c r="L384" s="13" t="n">
        <x:f>IF(G384&lt;=I384,0,MAX(0,L382)+IF(E384="via",MAX(0,G384-MAX(F384,I384)),0))</x:f>
        <x:v>3.3979999999999997</x:v>
      </x:c>
    </x:row>
    <x:row r="385" ht="42" customHeight="1">
      <x:c r="A385" s="7" t="str">
        <x:v>DP2-B</x:v>
      </x:c>
      <x:c r="B385" s="7" t="str">
        <x:v>U04</x:v>
      </x:c>
      <x:c r="C385" s="7" t="str">
        <x:v>first_chunk</x:v>
      </x:c>
      <x:c r="D385" s="7" t="str">
        <x:v>같은 생성 job의 유효 첫 chunk 관측</x:v>
      </x:c>
      <x:c r="E385" s="7" t="str">
        <x:v>via</x:v>
      </x:c>
      <x:c r="F385" s="14" t="n">
        <x:v>1.51</x:v>
      </x:c>
      <x:c r="G385" s="14" t="n">
        <x:v>1.948</x:v>
      </x:c>
      <x:c r="H385" s="14" t="n">
        <x:v>0.438</x:v>
      </x:c>
      <x:c r="I385" s="14" t="n">
        <x:v>0</x:v>
      </x:c>
      <x:c r="J385" s="7" t="str">
        <x:v>adopt</x:v>
      </x:c>
      <x:c r="K385" s="7" t="str">
        <x:v>none</x:v>
      </x:c>
      <x:c r="L385" s="14" t="n">
        <x:f>IF(G385&lt;=I385,0,MAX(0,L382)+IF(E385="via",MAX(0,G385-MAX(F385,I385)),0))</x:f>
        <x:v>1.948</x:v>
      </x:c>
    </x:row>
    <x:row r="386" ht="42" customHeight="1">
      <x:c r="A386" s="12" t="str">
        <x:v>DP2-B</x:v>
      </x:c>
      <x:c r="B386" s="12" t="str">
        <x:v>U04</x:v>
      </x:c>
      <x:c r="C386" s="12" t="str">
        <x:v>first_audio_output</x:v>
      </x:c>
      <x:c r="D386" s="12" t="str">
        <x:v>공통 장치의 첫 음성 출력</x:v>
      </x:c>
      <x:c r="E386" s="12" t="str">
        <x:v>via</x:v>
      </x:c>
      <x:c r="F386" s="13" t="n">
        <x:v>1.948</x:v>
      </x:c>
      <x:c r="G386" s="13" t="n">
        <x:v>1.988</x:v>
      </x:c>
      <x:c r="H386" s="13" t="n">
        <x:v>0.04</x:v>
      </x:c>
      <x:c r="I386" s="13" t="n">
        <x:v>0</x:v>
      </x:c>
      <x:c r="J386" s="12" t="str">
        <x:v>adopt, first_chunk</x:v>
      </x:c>
      <x:c r="K386" s="12" t="str">
        <x:v>none</x:v>
      </x:c>
      <x:c r="L386" s="13" t="n">
        <x:f>IF(G386&lt;=I386,0,MAX(0,L382,L385)+IF(E386="via",MAX(0,G386-MAX(F386,I386)),0))</x:f>
        <x:v>1.988</x:v>
      </x:c>
    </x:row>
    <x:row r="387" ht="42" customHeight="1">
      <x:c r="A387" s="7" t="str">
        <x:v>DP2-B</x:v>
      </x:c>
      <x:c r="B387" s="7" t="str">
        <x:v>U04</x:v>
      </x:c>
      <x:c r="C387" s="7" t="str">
        <x:v>terminal</x:v>
      </x:c>
      <x:c r="D387" s="7" t="str">
        <x:v>공통 목표 최종 상태와 전체 음성 준비</x:v>
      </x:c>
      <x:c r="E387" s="7" t="str">
        <x:v>via</x:v>
      </x:c>
      <x:c r="F387" s="14" t="n">
        <x:v>3.3979999999999997</x:v>
      </x:c>
      <x:c r="G387" s="14" t="n">
        <x:v>3.3979999999999997</x:v>
      </x:c>
      <x:c r="H387" s="14" t="n">
        <x:v>0</x:v>
      </x:c>
      <x:c r="I387" s="14" t="n">
        <x:v>0</x:v>
      </x:c>
      <x:c r="J387" s="7" t="str">
        <x:v>first_display, response_audio, first_audio_output</x:v>
      </x:c>
      <x:c r="K387" s="7" t="str">
        <x:v>none</x:v>
      </x:c>
      <x:c r="L387" s="14" t="n">
        <x:f>IF(G387&lt;=I387,0,MAX(0,L383,L384,L386)+IF(E387="via",MAX(0,G387-MAX(F387,I387)),0))</x:f>
        <x:v>3.3979999999999997</x:v>
      </x:c>
    </x:row>
    <x:row r="388" ht="42" customHeight="1">
      <x:c r="A388" s="12" t="str">
        <x:v>DP2-B</x:v>
      </x:c>
      <x:c r="B388" s="12" t="str">
        <x:v>U05</x:v>
      </x:c>
      <x:c r="C388" s="12" t="str">
        <x:v>bg1</x:v>
      </x:c>
      <x:c r="D388" s="12" t="str">
        <x:v>진행 중인 현재 대화의 의미 step</x:v>
      </x:c>
      <x:c r="E388" s="12" t="str">
        <x:v>via</x:v>
      </x:c>
      <x:c r="F388" s="13" t="n">
        <x:v>-1</x:v>
      </x:c>
      <x:c r="G388" s="13" t="n">
        <x:v>2.4</x:v>
      </x:c>
      <x:c r="H388" s="13" t="n">
        <x:v>3.4</x:v>
      </x:c>
      <x:c r="I388" s="13" t="n">
        <x:v>0</x:v>
      </x:c>
      <x:c r="J388" s="12" t="str"/>
      <x:c r="K388" s="12" t="str">
        <x:v>semantic</x:v>
      </x:c>
      <x:c r="L388" s="13" t="n">
        <x:f>IF(G388&lt;=I388,0,MAX(0)+IF(E388="via",MAX(0,G388-MAX(F388,I388)),0))</x:f>
        <x:v>2.4</x:v>
      </x:c>
    </x:row>
    <x:row r="389" ht="42" customHeight="1">
      <x:c r="A389" s="7" t="str">
        <x:v>DP2-B</x:v>
      </x:c>
      <x:c r="B389" s="7" t="str">
        <x:v>U05</x:v>
      </x:c>
      <x:c r="C389" s="7" t="str">
        <x:v>input_end</x:v>
      </x:c>
      <x:c r="D389" s="7" t="str">
        <x:v>사용자 입력 종료</x:v>
      </x:c>
      <x:c r="E389" s="7" t="str">
        <x:v>external</x:v>
      </x:c>
      <x:c r="F389" s="14" t="n">
        <x:v>0</x:v>
      </x:c>
      <x:c r="G389" s="14" t="n">
        <x:v>0</x:v>
      </x:c>
      <x:c r="H389" s="14" t="n">
        <x:v>0</x:v>
      </x:c>
      <x:c r="I389" s="14" t="n">
        <x:v>0</x:v>
      </x:c>
      <x:c r="J389" s="7" t="str"/>
      <x:c r="K389" s="7" t="str">
        <x:v>none</x:v>
      </x:c>
      <x:c r="L389" s="14" t="n">
        <x:f>IF(G389&lt;=I389,0,MAX(0)+IF(E389="via",MAX(0,G389-MAX(F389,I389)),0))</x:f>
        <x:v>0</x:v>
      </x:c>
    </x:row>
    <x:row r="390" ht="42" customHeight="1">
      <x:c r="A390" s="12" t="str">
        <x:v>DP2-B</x:v>
      </x:c>
      <x:c r="B390" s="12" t="str">
        <x:v>U05</x:v>
      </x:c>
      <x:c r="C390" s="12" t="str">
        <x:v>intake</x:v>
      </x:c>
      <x:c r="D390" s="12" t="str">
        <x:v>입력 확정</x:v>
      </x:c>
      <x:c r="E390" s="12" t="str">
        <x:v>via</x:v>
      </x:c>
      <x:c r="F390" s="13" t="n">
        <x:v>0</x:v>
      </x:c>
      <x:c r="G390" s="13" t="n">
        <x:v>0.3</x:v>
      </x:c>
      <x:c r="H390" s="13" t="n">
        <x:v>0.3</x:v>
      </x:c>
      <x:c r="I390" s="13" t="n">
        <x:v>0</x:v>
      </x:c>
      <x:c r="J390" s="12" t="str">
        <x:v>input_end</x:v>
      </x:c>
      <x:c r="K390" s="12" t="str">
        <x:v>none</x:v>
      </x:c>
      <x:c r="L390" s="13" t="n">
        <x:f>IF(G390&lt;=I390,0,MAX(0,L389)+IF(E390="via",MAX(0,G390-MAX(F390,I390)),0))</x:f>
        <x:v>0.3</x:v>
      </x:c>
    </x:row>
    <x:row r="391" ht="42" customHeight="1">
      <x:c r="A391" s="7" t="str">
        <x:v>DP2-B</x:v>
      </x:c>
      <x:c r="B391" s="7" t="str">
        <x:v>U05</x:v>
      </x:c>
      <x:c r="C391" s="7" t="str">
        <x:v>read</x:v>
      </x:c>
      <x:c r="D391" s="7" t="str">
        <x:v>공통 허용 원본 조회</x:v>
      </x:c>
      <x:c r="E391" s="7" t="str">
        <x:v>via</x:v>
      </x:c>
      <x:c r="F391" s="14" t="n">
        <x:v>0.3</x:v>
      </x:c>
      <x:c r="G391" s="14" t="n">
        <x:v>0.38</x:v>
      </x:c>
      <x:c r="H391" s="14" t="n">
        <x:v>0.08</x:v>
      </x:c>
      <x:c r="I391" s="14" t="n">
        <x:v>0</x:v>
      </x:c>
      <x:c r="J391" s="7" t="str">
        <x:v>intake</x:v>
      </x:c>
      <x:c r="K391" s="7" t="str">
        <x:v>none</x:v>
      </x:c>
      <x:c r="L391" s="14" t="n">
        <x:f>IF(G391&lt;=I391,0,MAX(0,L390)+IF(E391="via",MAX(0,G391-MAX(F391,I391)),0))</x:f>
        <x:v>0.38</x:v>
      </x:c>
    </x:row>
    <x:row r="392" ht="42" customHeight="1">
      <x:c r="A392" s="12" t="str">
        <x:v>DP2-B</x:v>
      </x:c>
      <x:c r="B392" s="12" t="str">
        <x:v>U05</x:v>
      </x:c>
      <x:c r="C392" s="12" t="str">
        <x:v>meaning</x:v>
      </x:c>
      <x:c r="D392" s="12" t="str">
        <x:v>최초 요청 의미 채택 packet 생성</x:v>
      </x:c>
      <x:c r="E392" s="12" t="str">
        <x:v>via</x:v>
      </x:c>
      <x:c r="F392" s="13" t="n">
        <x:v>0.38</x:v>
      </x:c>
      <x:c r="G392" s="13" t="n">
        <x:v>1.5100000000000002</x:v>
      </x:c>
      <x:c r="H392" s="13" t="n">
        <x:v>1.1300000000000001</x:v>
      </x:c>
      <x:c r="I392" s="13" t="n">
        <x:v>0</x:v>
      </x:c>
      <x:c r="J392" s="12" t="str">
        <x:v>read</x:v>
      </x:c>
      <x:c r="K392" s="12" t="str">
        <x:v>semantic</x:v>
      </x:c>
      <x:c r="L392" s="13" t="n">
        <x:f>IF(G392&lt;=I392,0,MAX(0,L391)+IF(E392="via",MAX(0,G392-MAX(F392,I392)),0))</x:f>
        <x:v>1.5100000000000002</x:v>
      </x:c>
    </x:row>
    <x:row r="393" ht="42" customHeight="1">
      <x:c r="A393" s="7" t="str">
        <x:v>DP2-B</x:v>
      </x:c>
      <x:c r="B393" s="7" t="str">
        <x:v>U05</x:v>
      </x:c>
      <x:c r="C393" s="7" t="str">
        <x:v>adopt</x:v>
      </x:c>
      <x:c r="D393" s="7" t="str">
        <x:v>현재 revision과 권한 검사 및 채택</x:v>
      </x:c>
      <x:c r="E393" s="7" t="str">
        <x:v>via</x:v>
      </x:c>
      <x:c r="F393" s="14" t="n">
        <x:v>1.5100000000000002</x:v>
      </x:c>
      <x:c r="G393" s="14" t="n">
        <x:v>1.5400000000000003</x:v>
      </x:c>
      <x:c r="H393" s="14" t="n">
        <x:v>0.03</x:v>
      </x:c>
      <x:c r="I393" s="14" t="n">
        <x:v>0</x:v>
      </x:c>
      <x:c r="J393" s="7" t="str">
        <x:v>meaning</x:v>
      </x:c>
      <x:c r="K393" s="7" t="str">
        <x:v>none</x:v>
      </x:c>
      <x:c r="L393" s="14" t="n">
        <x:f>IF(G393&lt;=I393,0,MAX(0,L392)+IF(E393="via",MAX(0,G393-MAX(F393,I393)),0))</x:f>
        <x:v>1.5400000000000003</x:v>
      </x:c>
    </x:row>
    <x:row r="394" ht="42" customHeight="1">
      <x:c r="A394" s="12" t="str">
        <x:v>DP2-B</x:v>
      </x:c>
      <x:c r="B394" s="12" t="str">
        <x:v>U05</x:v>
      </x:c>
      <x:c r="C394" s="12" t="str">
        <x:v>first_display</x:v>
      </x:c>
      <x:c r="D394" s="12" t="str">
        <x:v>첫 구체적 채택 내용 화면 표시</x:v>
      </x:c>
      <x:c r="E394" s="12" t="str">
        <x:v>via</x:v>
      </x:c>
      <x:c r="F394" s="13" t="n">
        <x:v>1.5400000000000003</x:v>
      </x:c>
      <x:c r="G394" s="13" t="n">
        <x:v>1.5800000000000003</x:v>
      </x:c>
      <x:c r="H394" s="13" t="n">
        <x:v>0.04</x:v>
      </x:c>
      <x:c r="I394" s="13" t="n">
        <x:v>0</x:v>
      </x:c>
      <x:c r="J394" s="12" t="str">
        <x:v>adopt</x:v>
      </x:c>
      <x:c r="K394" s="12" t="str">
        <x:v>none</x:v>
      </x:c>
      <x:c r="L394" s="13" t="n">
        <x:f>IF(G394&lt;=I394,0,MAX(0,L393)+IF(E394="via",MAX(0,G394-MAX(F394,I394)),0))</x:f>
        <x:v>1.5800000000000003</x:v>
      </x:c>
    </x:row>
    <x:row r="395" ht="42" customHeight="1">
      <x:c r="A395" s="7" t="str">
        <x:v>DP2-B</x:v>
      </x:c>
      <x:c r="B395" s="7" t="str">
        <x:v>U05</x:v>
      </x:c>
      <x:c r="C395" s="7" t="str">
        <x:v>response_audio</x:v>
      </x:c>
      <x:c r="D395" s="7" t="str">
        <x:v>선택한 응답 음성 생성</x:v>
      </x:c>
      <x:c r="E395" s="7" t="str">
        <x:v>via</x:v>
      </x:c>
      <x:c r="F395" s="14" t="n">
        <x:v>1.5400000000000003</x:v>
      </x:c>
      <x:c r="G395" s="14" t="n">
        <x:v>3.428</x:v>
      </x:c>
      <x:c r="H395" s="14" t="n">
        <x:v>1.888</x:v>
      </x:c>
      <x:c r="I395" s="14" t="n">
        <x:v>0</x:v>
      </x:c>
      <x:c r="J395" s="7" t="str">
        <x:v>adopt</x:v>
      </x:c>
      <x:c r="K395" s="7" t="str">
        <x:v>speech</x:v>
      </x:c>
      <x:c r="L395" s="14" t="n">
        <x:f>IF(G395&lt;=I395,0,MAX(0,L393)+IF(E395="via",MAX(0,G395-MAX(F395,I395)),0))</x:f>
        <x:v>3.428</x:v>
      </x:c>
    </x:row>
    <x:row r="396" ht="42" customHeight="1">
      <x:c r="A396" s="12" t="str">
        <x:v>DP2-B</x:v>
      </x:c>
      <x:c r="B396" s="12" t="str">
        <x:v>U05</x:v>
      </x:c>
      <x:c r="C396" s="12" t="str">
        <x:v>first_chunk</x:v>
      </x:c>
      <x:c r="D396" s="12" t="str">
        <x:v>같은 생성 job의 유효 첫 chunk 관측</x:v>
      </x:c>
      <x:c r="E396" s="12" t="str">
        <x:v>via</x:v>
      </x:c>
      <x:c r="F396" s="13" t="n">
        <x:v>1.5400000000000003</x:v>
      </x:c>
      <x:c r="G396" s="13" t="n">
        <x:v>1.9780000000000002</x:v>
      </x:c>
      <x:c r="H396" s="13" t="n">
        <x:v>0.438</x:v>
      </x:c>
      <x:c r="I396" s="13" t="n">
        <x:v>0</x:v>
      </x:c>
      <x:c r="J396" s="12" t="str">
        <x:v>adopt</x:v>
      </x:c>
      <x:c r="K396" s="12" t="str">
        <x:v>none</x:v>
      </x:c>
      <x:c r="L396" s="13" t="n">
        <x:f>IF(G396&lt;=I396,0,MAX(0,L393)+IF(E396="via",MAX(0,G396-MAX(F396,I396)),0))</x:f>
        <x:v>1.9780000000000002</x:v>
      </x:c>
    </x:row>
    <x:row r="397" ht="42" customHeight="1">
      <x:c r="A397" s="7" t="str">
        <x:v>DP2-B</x:v>
      </x:c>
      <x:c r="B397" s="7" t="str">
        <x:v>U05</x:v>
      </x:c>
      <x:c r="C397" s="7" t="str">
        <x:v>first_audio_output</x:v>
      </x:c>
      <x:c r="D397" s="7" t="str">
        <x:v>공통 장치의 첫 음성 출력</x:v>
      </x:c>
      <x:c r="E397" s="7" t="str">
        <x:v>via</x:v>
      </x:c>
      <x:c r="F397" s="14" t="n">
        <x:v>1.9780000000000002</x:v>
      </x:c>
      <x:c r="G397" s="14" t="n">
        <x:v>2.0180000000000002</x:v>
      </x:c>
      <x:c r="H397" s="14" t="n">
        <x:v>0.04</x:v>
      </x:c>
      <x:c r="I397" s="14" t="n">
        <x:v>0</x:v>
      </x:c>
      <x:c r="J397" s="7" t="str">
        <x:v>adopt, first_chunk</x:v>
      </x:c>
      <x:c r="K397" s="7" t="str">
        <x:v>none</x:v>
      </x:c>
      <x:c r="L397" s="14" t="n">
        <x:f>IF(G397&lt;=I397,0,MAX(0,L393,L396)+IF(E397="via",MAX(0,G397-MAX(F397,I397)),0))</x:f>
        <x:v>2.0180000000000002</x:v>
      </x:c>
    </x:row>
    <x:row r="398" ht="42" customHeight="1">
      <x:c r="A398" s="12" t="str">
        <x:v>DP2-B</x:v>
      </x:c>
      <x:c r="B398" s="12" t="str">
        <x:v>U05</x:v>
      </x:c>
      <x:c r="C398" s="12" t="str">
        <x:v>terminal</x:v>
      </x:c>
      <x:c r="D398" s="12" t="str">
        <x:v>공통 목표 최종 상태와 전체 음성 준비</x:v>
      </x:c>
      <x:c r="E398" s="12" t="str">
        <x:v>via</x:v>
      </x:c>
      <x:c r="F398" s="13" t="n">
        <x:v>3.428</x:v>
      </x:c>
      <x:c r="G398" s="13" t="n">
        <x:v>3.428</x:v>
      </x:c>
      <x:c r="H398" s="13" t="n">
        <x:v>0</x:v>
      </x:c>
      <x:c r="I398" s="13" t="n">
        <x:v>0</x:v>
      </x:c>
      <x:c r="J398" s="12" t="str">
        <x:v>first_display, response_audio, first_audio_output</x:v>
      </x:c>
      <x:c r="K398" s="12" t="str">
        <x:v>none</x:v>
      </x:c>
      <x:c r="L398" s="13" t="n">
        <x:f>IF(G398&lt;=I398,0,MAX(0,L394,L395,L397)+IF(E398="via",MAX(0,G398-MAX(F398,I398)),0))</x:f>
        <x:v>3.428</x:v>
      </x:c>
    </x:row>
    <x:row r="399" ht="42" customHeight="1">
      <x:c r="A399" s="7" t="str">
        <x:v>DP2-B</x:v>
      </x:c>
      <x:c r="B399" s="7" t="str">
        <x:v>U06</x:v>
      </x:c>
      <x:c r="C399" s="7" t="str">
        <x:v>bg1</x:v>
      </x:c>
      <x:c r="D399" s="7" t="str">
        <x:v>진행 중인 현재 대화의 의미 step</x:v>
      </x:c>
      <x:c r="E399" s="7" t="str">
        <x:v>via</x:v>
      </x:c>
      <x:c r="F399" s="14" t="n">
        <x:v>-1</x:v>
      </x:c>
      <x:c r="G399" s="14" t="n">
        <x:v>2.4</x:v>
      </x:c>
      <x:c r="H399" s="14" t="n">
        <x:v>3.4</x:v>
      </x:c>
      <x:c r="I399" s="14" t="n">
        <x:v>0</x:v>
      </x:c>
      <x:c r="J399" s="7" t="str"/>
      <x:c r="K399" s="7" t="str">
        <x:v>semantic</x:v>
      </x:c>
      <x:c r="L399" s="14" t="n">
        <x:f>IF(G399&lt;=I399,0,MAX(0)+IF(E399="via",MAX(0,G399-MAX(F399,I399)),0))</x:f>
        <x:v>2.4</x:v>
      </x:c>
    </x:row>
    <x:row r="400" ht="42" customHeight="1">
      <x:c r="A400" s="12" t="str">
        <x:v>DP2-B</x:v>
      </x:c>
      <x:c r="B400" s="12" t="str">
        <x:v>U06</x:v>
      </x:c>
      <x:c r="C400" s="12" t="str">
        <x:v>input_end</x:v>
      </x:c>
      <x:c r="D400" s="12" t="str">
        <x:v>사용자 입력 종료</x:v>
      </x:c>
      <x:c r="E400" s="12" t="str">
        <x:v>external</x:v>
      </x:c>
      <x:c r="F400" s="13" t="n">
        <x:v>0</x:v>
      </x:c>
      <x:c r="G400" s="13" t="n">
        <x:v>0</x:v>
      </x:c>
      <x:c r="H400" s="13" t="n">
        <x:v>0</x:v>
      </x:c>
      <x:c r="I400" s="13" t="n">
        <x:v>0</x:v>
      </x:c>
      <x:c r="J400" s="12" t="str"/>
      <x:c r="K400" s="12" t="str">
        <x:v>none</x:v>
      </x:c>
      <x:c r="L400" s="13" t="n">
        <x:f>IF(G400&lt;=I400,0,MAX(0)+IF(E400="via",MAX(0,G400-MAX(F400,I400)),0))</x:f>
        <x:v>0</x:v>
      </x:c>
    </x:row>
    <x:row r="401" ht="42" customHeight="1">
      <x:c r="A401" s="7" t="str">
        <x:v>DP2-B</x:v>
      </x:c>
      <x:c r="B401" s="7" t="str">
        <x:v>U06</x:v>
      </x:c>
      <x:c r="C401" s="7" t="str">
        <x:v>intake</x:v>
      </x:c>
      <x:c r="D401" s="7" t="str">
        <x:v>입력 확정</x:v>
      </x:c>
      <x:c r="E401" s="7" t="str">
        <x:v>via</x:v>
      </x:c>
      <x:c r="F401" s="14" t="n">
        <x:v>0</x:v>
      </x:c>
      <x:c r="G401" s="14" t="n">
        <x:v>0.06</x:v>
      </x:c>
      <x:c r="H401" s="14" t="n">
        <x:v>0.06</x:v>
      </x:c>
      <x:c r="I401" s="14" t="n">
        <x:v>0</x:v>
      </x:c>
      <x:c r="J401" s="7" t="str">
        <x:v>input_end</x:v>
      </x:c>
      <x:c r="K401" s="7" t="str">
        <x:v>none</x:v>
      </x:c>
      <x:c r="L401" s="14" t="n">
        <x:f>IF(G401&lt;=I401,0,MAX(0,L400)+IF(E401="via",MAX(0,G401-MAX(F401,I401)),0))</x:f>
        <x:v>0.06</x:v>
      </x:c>
    </x:row>
    <x:row r="402" ht="42" customHeight="1">
      <x:c r="A402" s="12" t="str">
        <x:v>DP2-B</x:v>
      </x:c>
      <x:c r="B402" s="12" t="str">
        <x:v>U06</x:v>
      </x:c>
      <x:c r="C402" s="12" t="str">
        <x:v>read</x:v>
      </x:c>
      <x:c r="D402" s="12" t="str">
        <x:v>공통 허용 원본 조회</x:v>
      </x:c>
      <x:c r="E402" s="12" t="str">
        <x:v>via</x:v>
      </x:c>
      <x:c r="F402" s="13" t="n">
        <x:v>0.06</x:v>
      </x:c>
      <x:c r="G402" s="13" t="n">
        <x:v>0.14</x:v>
      </x:c>
      <x:c r="H402" s="13" t="n">
        <x:v>0.08</x:v>
      </x:c>
      <x:c r="I402" s="13" t="n">
        <x:v>0</x:v>
      </x:c>
      <x:c r="J402" s="12" t="str">
        <x:v>intake</x:v>
      </x:c>
      <x:c r="K402" s="12" t="str">
        <x:v>none</x:v>
      </x:c>
      <x:c r="L402" s="13" t="n">
        <x:f>IF(G402&lt;=I402,0,MAX(0,L401)+IF(E402="via",MAX(0,G402-MAX(F402,I402)),0))</x:f>
        <x:v>0.14</x:v>
      </x:c>
    </x:row>
    <x:row r="403" ht="42" customHeight="1">
      <x:c r="A403" s="7" t="str">
        <x:v>DP2-B</x:v>
      </x:c>
      <x:c r="B403" s="7" t="str">
        <x:v>U06</x:v>
      </x:c>
      <x:c r="C403" s="7" t="str">
        <x:v>meaning</x:v>
      </x:c>
      <x:c r="D403" s="7" t="str">
        <x:v>최초 요청 의미 채택 packet 생성</x:v>
      </x:c>
      <x:c r="E403" s="7" t="str">
        <x:v>via</x:v>
      </x:c>
      <x:c r="F403" s="14" t="n">
        <x:v>0.14</x:v>
      </x:c>
      <x:c r="G403" s="14" t="n">
        <x:v>1.27</x:v>
      </x:c>
      <x:c r="H403" s="14" t="n">
        <x:v>1.1300000000000001</x:v>
      </x:c>
      <x:c r="I403" s="14" t="n">
        <x:v>0</x:v>
      </x:c>
      <x:c r="J403" s="7" t="str">
        <x:v>read</x:v>
      </x:c>
      <x:c r="K403" s="7" t="str">
        <x:v>semantic</x:v>
      </x:c>
      <x:c r="L403" s="14" t="n">
        <x:f>IF(G403&lt;=I403,0,MAX(0,L402)+IF(E403="via",MAX(0,G403-MAX(F403,I403)),0))</x:f>
        <x:v>1.27</x:v>
      </x:c>
    </x:row>
    <x:row r="404" ht="42" customHeight="1">
      <x:c r="A404" s="12" t="str">
        <x:v>DP2-B</x:v>
      </x:c>
      <x:c r="B404" s="12" t="str">
        <x:v>U06</x:v>
      </x:c>
      <x:c r="C404" s="12" t="str">
        <x:v>adopt</x:v>
      </x:c>
      <x:c r="D404" s="12" t="str">
        <x:v>현재 revision과 권한 검사 및 채택</x:v>
      </x:c>
      <x:c r="E404" s="12" t="str">
        <x:v>via</x:v>
      </x:c>
      <x:c r="F404" s="13" t="n">
        <x:v>1.27</x:v>
      </x:c>
      <x:c r="G404" s="13" t="n">
        <x:v>1.3</x:v>
      </x:c>
      <x:c r="H404" s="13" t="n">
        <x:v>0.03</x:v>
      </x:c>
      <x:c r="I404" s="13" t="n">
        <x:v>0</x:v>
      </x:c>
      <x:c r="J404" s="12" t="str">
        <x:v>meaning</x:v>
      </x:c>
      <x:c r="K404" s="12" t="str">
        <x:v>none</x:v>
      </x:c>
      <x:c r="L404" s="13" t="n">
        <x:f>IF(G404&lt;=I404,0,MAX(0,L403)+IF(E404="via",MAX(0,G404-MAX(F404,I404)),0))</x:f>
        <x:v>1.3</x:v>
      </x:c>
    </x:row>
    <x:row r="405" ht="42" customHeight="1">
      <x:c r="A405" s="7" t="str">
        <x:v>DP2-B</x:v>
      </x:c>
      <x:c r="B405" s="7" t="str">
        <x:v>U06</x:v>
      </x:c>
      <x:c r="C405" s="7" t="str">
        <x:v>first_display</x:v>
      </x:c>
      <x:c r="D405" s="7" t="str">
        <x:v>첫 구체적 채택 내용 화면 표시</x:v>
      </x:c>
      <x:c r="E405" s="7" t="str">
        <x:v>via</x:v>
      </x:c>
      <x:c r="F405" s="14" t="n">
        <x:v>1.3</x:v>
      </x:c>
      <x:c r="G405" s="14" t="n">
        <x:v>1.34</x:v>
      </x:c>
      <x:c r="H405" s="14" t="n">
        <x:v>0.04</x:v>
      </x:c>
      <x:c r="I405" s="14" t="n">
        <x:v>0</x:v>
      </x:c>
      <x:c r="J405" s="7" t="str">
        <x:v>adopt</x:v>
      </x:c>
      <x:c r="K405" s="7" t="str">
        <x:v>none</x:v>
      </x:c>
      <x:c r="L405" s="14" t="n">
        <x:f>IF(G405&lt;=I405,0,MAX(0,L404)+IF(E405="via",MAX(0,G405-MAX(F405,I405)),0))</x:f>
        <x:v>1.34</x:v>
      </x:c>
    </x:row>
    <x:row r="406" ht="42" customHeight="1">
      <x:c r="A406" s="12" t="str">
        <x:v>DP2-B</x:v>
      </x:c>
      <x:c r="B406" s="12" t="str">
        <x:v>U06</x:v>
      </x:c>
      <x:c r="C406" s="12" t="str">
        <x:v>long_work</x:v>
      </x:c>
      <x:c r="D406" s="12" t="str">
        <x:v>요청의 남은 VIA 판단</x:v>
      </x:c>
      <x:c r="E406" s="12" t="str">
        <x:v>via</x:v>
      </x:c>
      <x:c r="F406" s="13" t="n">
        <x:v>1.3</x:v>
      </x:c>
      <x:c r="G406" s="13" t="n">
        <x:v>2.9299999999999997</x:v>
      </x:c>
      <x:c r="H406" s="13" t="n">
        <x:v>1.63</x:v>
      </x:c>
      <x:c r="I406" s="13" t="n">
        <x:v>0</x:v>
      </x:c>
      <x:c r="J406" s="12" t="str">
        <x:v>adopt</x:v>
      </x:c>
      <x:c r="K406" s="12" t="str">
        <x:v>semantic</x:v>
      </x:c>
      <x:c r="L406" s="13" t="n">
        <x:f>IF(G406&lt;=I406,0,MAX(0,L404)+IF(E406="via",MAX(0,G406-MAX(F406,I406)),0))</x:f>
        <x:v>2.9299999999999997</x:v>
      </x:c>
    </x:row>
    <x:row r="407" ht="42" customHeight="1">
      <x:c r="A407" s="7" t="str">
        <x:v>DP2-B</x:v>
      </x:c>
      <x:c r="B407" s="7" t="str">
        <x:v>U06</x:v>
      </x:c>
      <x:c r="C407" s="7" t="str">
        <x:v>result_display</x:v>
      </x:c>
      <x:c r="D407" s="7" t="str">
        <x:v>최종 설명 상세 표시</x:v>
      </x:c>
      <x:c r="E407" s="7" t="str">
        <x:v>via</x:v>
      </x:c>
      <x:c r="F407" s="14" t="n">
        <x:v>2.9299999999999997</x:v>
      </x:c>
      <x:c r="G407" s="14" t="n">
        <x:v>2.9699999999999998</x:v>
      </x:c>
      <x:c r="H407" s="14" t="n">
        <x:v>0.04</x:v>
      </x:c>
      <x:c r="I407" s="14" t="n">
        <x:v>0</x:v>
      </x:c>
      <x:c r="J407" s="7" t="str">
        <x:v>long_work</x:v>
      </x:c>
      <x:c r="K407" s="7" t="str">
        <x:v>none</x:v>
      </x:c>
      <x:c r="L407" s="14" t="n">
        <x:f>IF(G407&lt;=I407,0,MAX(0,L406)+IF(E407="via",MAX(0,G407-MAX(F407,I407)),0))</x:f>
        <x:v>2.9699999999999998</x:v>
      </x:c>
    </x:row>
    <x:row r="408" ht="42" customHeight="1">
      <x:c r="A408" s="12" t="str">
        <x:v>DP2-B</x:v>
      </x:c>
      <x:c r="B408" s="12" t="str">
        <x:v>U06</x:v>
      </x:c>
      <x:c r="C408" s="12" t="str">
        <x:v>response_audio</x:v>
      </x:c>
      <x:c r="D408" s="12" t="str">
        <x:v>선택한 응답 음성 생성</x:v>
      </x:c>
      <x:c r="E408" s="12" t="str">
        <x:v>via</x:v>
      </x:c>
      <x:c r="F408" s="13" t="n">
        <x:v>2.9299999999999997</x:v>
      </x:c>
      <x:c r="G408" s="13" t="n">
        <x:v>4.818</x:v>
      </x:c>
      <x:c r="H408" s="13" t="n">
        <x:v>1.888</x:v>
      </x:c>
      <x:c r="I408" s="13" t="n">
        <x:v>0</x:v>
      </x:c>
      <x:c r="J408" s="12" t="str">
        <x:v>long_work</x:v>
      </x:c>
      <x:c r="K408" s="12" t="str">
        <x:v>speech</x:v>
      </x:c>
      <x:c r="L408" s="13" t="n">
        <x:f>IF(G408&lt;=I408,0,MAX(0,L406)+IF(E408="via",MAX(0,G408-MAX(F408,I408)),0))</x:f>
        <x:v>4.818</x:v>
      </x:c>
    </x:row>
    <x:row r="409" ht="42" customHeight="1">
      <x:c r="A409" s="7" t="str">
        <x:v>DP2-B</x:v>
      </x:c>
      <x:c r="B409" s="7" t="str">
        <x:v>U06</x:v>
      </x:c>
      <x:c r="C409" s="7" t="str">
        <x:v>intent_audio</x:v>
      </x:c>
      <x:c r="D409" s="7" t="str">
        <x:v>채택한 구체적 수행 의도의 짧은 음성</x:v>
      </x:c>
      <x:c r="E409" s="7" t="str">
        <x:v>via</x:v>
      </x:c>
      <x:c r="F409" s="14" t="n">
        <x:v>1.3</x:v>
      </x:c>
      <x:c r="G409" s="14" t="n">
        <x:v>2.434</x:v>
      </x:c>
      <x:c r="H409" s="14" t="n">
        <x:v>1.134</x:v>
      </x:c>
      <x:c r="I409" s="14" t="n">
        <x:v>0</x:v>
      </x:c>
      <x:c r="J409" s="7" t="str">
        <x:v>adopt</x:v>
      </x:c>
      <x:c r="K409" s="7" t="str">
        <x:v>speech</x:v>
      </x:c>
      <x:c r="L409" s="14" t="n">
        <x:f>IF(G409&lt;=I409,0,MAX(0,L404)+IF(E409="via",MAX(0,G409-MAX(F409,I409)),0))</x:f>
        <x:v>2.434</x:v>
      </x:c>
    </x:row>
    <x:row r="410" ht="42" customHeight="1">
      <x:c r="A410" s="12" t="str">
        <x:v>DP2-B</x:v>
      </x:c>
      <x:c r="B410" s="12" t="str">
        <x:v>U06</x:v>
      </x:c>
      <x:c r="C410" s="12" t="str">
        <x:v>first_chunk</x:v>
      </x:c>
      <x:c r="D410" s="12" t="str">
        <x:v>같은 생성 job의 유효 첫 chunk 관측</x:v>
      </x:c>
      <x:c r="E410" s="12" t="str">
        <x:v>via</x:v>
      </x:c>
      <x:c r="F410" s="13" t="n">
        <x:v>1.3</x:v>
      </x:c>
      <x:c r="G410" s="13" t="n">
        <x:v>1.734</x:v>
      </x:c>
      <x:c r="H410" s="13" t="n">
        <x:v>0.434</x:v>
      </x:c>
      <x:c r="I410" s="13" t="n">
        <x:v>0</x:v>
      </x:c>
      <x:c r="J410" s="12" t="str">
        <x:v>adopt</x:v>
      </x:c>
      <x:c r="K410" s="12" t="str">
        <x:v>none</x:v>
      </x:c>
      <x:c r="L410" s="13" t="n">
        <x:f>IF(G410&lt;=I410,0,MAX(0,L404)+IF(E410="via",MAX(0,G410-MAX(F410,I410)),0))</x:f>
        <x:v>1.734</x:v>
      </x:c>
    </x:row>
    <x:row r="411" ht="42" customHeight="1">
      <x:c r="A411" s="7" t="str">
        <x:v>DP2-B</x:v>
      </x:c>
      <x:c r="B411" s="7" t="str">
        <x:v>U06</x:v>
      </x:c>
      <x:c r="C411" s="7" t="str">
        <x:v>first_audio_output</x:v>
      </x:c>
      <x:c r="D411" s="7" t="str">
        <x:v>공통 장치의 첫 음성 출력</x:v>
      </x:c>
      <x:c r="E411" s="7" t="str">
        <x:v>via</x:v>
      </x:c>
      <x:c r="F411" s="14" t="n">
        <x:v>1.734</x:v>
      </x:c>
      <x:c r="G411" s="14" t="n">
        <x:v>1.774</x:v>
      </x:c>
      <x:c r="H411" s="14" t="n">
        <x:v>0.04</x:v>
      </x:c>
      <x:c r="I411" s="14" t="n">
        <x:v>0</x:v>
      </x:c>
      <x:c r="J411" s="7" t="str">
        <x:v>adopt, first_chunk</x:v>
      </x:c>
      <x:c r="K411" s="7" t="str">
        <x:v>none</x:v>
      </x:c>
      <x:c r="L411" s="14" t="n">
        <x:f>IF(G411&lt;=I411,0,MAX(0,L404,L410)+IF(E411="via",MAX(0,G411-MAX(F411,I411)),0))</x:f>
        <x:v>1.774</x:v>
      </x:c>
    </x:row>
    <x:row r="412" ht="42" customHeight="1">
      <x:c r="A412" s="12" t="str">
        <x:v>DP2-B</x:v>
      </x:c>
      <x:c r="B412" s="12" t="str">
        <x:v>U06</x:v>
      </x:c>
      <x:c r="C412" s="12" t="str">
        <x:v>next_speech_selection</x:v>
      </x:c>
      <x:c r="D412" s="12" t="str">
        <x:v>현재 발화 재생 후 다음 응답 선택</x:v>
      </x:c>
      <x:c r="E412" s="12" t="str">
        <x:v>external</x:v>
      </x:c>
      <x:c r="F412" s="13" t="n">
        <x:v>1.774</x:v>
      </x:c>
      <x:c r="G412" s="13" t="n">
        <x:v>4.774</x:v>
      </x:c>
      <x:c r="H412" s="13" t="n">
        <x:v>3</x:v>
      </x:c>
      <x:c r="I412" s="13" t="n">
        <x:v>0</x:v>
      </x:c>
      <x:c r="J412" s="12" t="str">
        <x:v>first_audio_output</x:v>
      </x:c>
      <x:c r="K412" s="12" t="str">
        <x:v>none</x:v>
      </x:c>
      <x:c r="L412" s="13" t="n">
        <x:f>IF(G412&lt;=I412,0,MAX(0,L411)+IF(E412="via",MAX(0,G412-MAX(F412,I412)),0))</x:f>
        <x:v>1.774</x:v>
      </x:c>
    </x:row>
    <x:row r="413" ht="42" customHeight="1">
      <x:c r="A413" s="7" t="str">
        <x:v>DP2-B</x:v>
      </x:c>
      <x:c r="B413" s="7" t="str">
        <x:v>U06</x:v>
      </x:c>
      <x:c r="C413" s="7" t="str">
        <x:v>terminal</x:v>
      </x:c>
      <x:c r="D413" s="7" t="str">
        <x:v>공통 목표 최종 상태와 전체 음성 준비</x:v>
      </x:c>
      <x:c r="E413" s="7" t="str">
        <x:v>via</x:v>
      </x:c>
      <x:c r="F413" s="14" t="n">
        <x:v>4.818</x:v>
      </x:c>
      <x:c r="G413" s="14" t="n">
        <x:v>4.818</x:v>
      </x:c>
      <x:c r="H413" s="14" t="n">
        <x:v>0</x:v>
      </x:c>
      <x:c r="I413" s="14" t="n">
        <x:v>0</x:v>
      </x:c>
      <x:c r="J413" s="7" t="str">
        <x:v>result_display, response_audio, intent_audio, first_audio_output</x:v>
      </x:c>
      <x:c r="K413" s="7" t="str">
        <x:v>none</x:v>
      </x:c>
      <x:c r="L413" s="14" t="n">
        <x:f>IF(G413&lt;=I413,0,MAX(0,L407,L408,L409,L411)+IF(E413="via",MAX(0,G413-MAX(F413,I413)),0))</x:f>
        <x:v>4.818</x:v>
      </x:c>
    </x:row>
    <x:row r="414" ht="42" customHeight="1">
      <x:c r="A414" s="12" t="str">
        <x:v>DP2-B</x:v>
      </x:c>
      <x:c r="B414" s="12" t="str">
        <x:v>U07</x:v>
      </x:c>
      <x:c r="C414" s="12" t="str">
        <x:v>bg1</x:v>
      </x:c>
      <x:c r="D414" s="12" t="str">
        <x:v>진행 중인 현재 대화의 의미 step</x:v>
      </x:c>
      <x:c r="E414" s="12" t="str">
        <x:v>via</x:v>
      </x:c>
      <x:c r="F414" s="13" t="n">
        <x:v>-1</x:v>
      </x:c>
      <x:c r="G414" s="13" t="n">
        <x:v>2.4</x:v>
      </x:c>
      <x:c r="H414" s="13" t="n">
        <x:v>3.4</x:v>
      </x:c>
      <x:c r="I414" s="13" t="n">
        <x:v>0</x:v>
      </x:c>
      <x:c r="J414" s="12" t="str"/>
      <x:c r="K414" s="12" t="str">
        <x:v>semantic</x:v>
      </x:c>
      <x:c r="L414" s="13" t="n">
        <x:f>IF(G414&lt;=I414,0,MAX(0)+IF(E414="via",MAX(0,G414-MAX(F414,I414)),0))</x:f>
        <x:v>2.4</x:v>
      </x:c>
    </x:row>
    <x:row r="415" ht="42" customHeight="1">
      <x:c r="A415" s="7" t="str">
        <x:v>DP2-B</x:v>
      </x:c>
      <x:c r="B415" s="7" t="str">
        <x:v>U07</x:v>
      </x:c>
      <x:c r="C415" s="7" t="str">
        <x:v>bg2</x:v>
      </x:c>
      <x:c r="D415" s="7" t="str">
        <x:v>다른 대화의 의미 step</x:v>
      </x:c>
      <x:c r="E415" s="7" t="str">
        <x:v>via</x:v>
      </x:c>
      <x:c r="F415" s="14" t="n">
        <x:v>-1</x:v>
      </x:c>
      <x:c r="G415" s="14" t="n">
        <x:v>2.4</x:v>
      </x:c>
      <x:c r="H415" s="14" t="n">
        <x:v>3.4</x:v>
      </x:c>
      <x:c r="I415" s="14" t="n">
        <x:v>0</x:v>
      </x:c>
      <x:c r="J415" s="7" t="str"/>
      <x:c r="K415" s="7" t="str">
        <x:v>semantic</x:v>
      </x:c>
      <x:c r="L415" s="14" t="n">
        <x:f>IF(G415&lt;=I415,0,MAX(0)+IF(E415="via",MAX(0,G415-MAX(F415,I415)),0))</x:f>
        <x:v>2.4</x:v>
      </x:c>
    </x:row>
    <x:row r="416" ht="42" customHeight="1">
      <x:c r="A416" s="12" t="str">
        <x:v>DP2-B</x:v>
      </x:c>
      <x:c r="B416" s="12" t="str">
        <x:v>U07</x:v>
      </x:c>
      <x:c r="C416" s="12" t="str">
        <x:v>input_end</x:v>
      </x:c>
      <x:c r="D416" s="12" t="str">
        <x:v>사용자 입력 종료</x:v>
      </x:c>
      <x:c r="E416" s="12" t="str">
        <x:v>external</x:v>
      </x:c>
      <x:c r="F416" s="13" t="n">
        <x:v>0</x:v>
      </x:c>
      <x:c r="G416" s="13" t="n">
        <x:v>0</x:v>
      </x:c>
      <x:c r="H416" s="13" t="n">
        <x:v>0</x:v>
      </x:c>
      <x:c r="I416" s="13" t="n">
        <x:v>0</x:v>
      </x:c>
      <x:c r="J416" s="12" t="str"/>
      <x:c r="K416" s="12" t="str">
        <x:v>none</x:v>
      </x:c>
      <x:c r="L416" s="13" t="n">
        <x:f>IF(G416&lt;=I416,0,MAX(0)+IF(E416="via",MAX(0,G416-MAX(F416,I416)),0))</x:f>
        <x:v>0</x:v>
      </x:c>
    </x:row>
    <x:row r="417" ht="42" customHeight="1">
      <x:c r="A417" s="7" t="str">
        <x:v>DP2-B</x:v>
      </x:c>
      <x:c r="B417" s="7" t="str">
        <x:v>U07</x:v>
      </x:c>
      <x:c r="C417" s="7" t="str">
        <x:v>intake</x:v>
      </x:c>
      <x:c r="D417" s="7" t="str">
        <x:v>입력 확정</x:v>
      </x:c>
      <x:c r="E417" s="7" t="str">
        <x:v>via</x:v>
      </x:c>
      <x:c r="F417" s="14" t="n">
        <x:v>0</x:v>
      </x:c>
      <x:c r="G417" s="14" t="n">
        <x:v>0.3</x:v>
      </x:c>
      <x:c r="H417" s="14" t="n">
        <x:v>0.3</x:v>
      </x:c>
      <x:c r="I417" s="14" t="n">
        <x:v>0</x:v>
      </x:c>
      <x:c r="J417" s="7" t="str">
        <x:v>input_end</x:v>
      </x:c>
      <x:c r="K417" s="7" t="str">
        <x:v>none</x:v>
      </x:c>
      <x:c r="L417" s="14" t="n">
        <x:f>IF(G417&lt;=I417,0,MAX(0,L416)+IF(E417="via",MAX(0,G417-MAX(F417,I417)),0))</x:f>
        <x:v>0.3</x:v>
      </x:c>
    </x:row>
    <x:row r="418" ht="42" customHeight="1">
      <x:c r="A418" s="12" t="str">
        <x:v>DP2-B</x:v>
      </x:c>
      <x:c r="B418" s="12" t="str">
        <x:v>U07</x:v>
      </x:c>
      <x:c r="C418" s="12" t="str">
        <x:v>read</x:v>
      </x:c>
      <x:c r="D418" s="12" t="str">
        <x:v>공통 허용 원본 조회</x:v>
      </x:c>
      <x:c r="E418" s="12" t="str">
        <x:v>via</x:v>
      </x:c>
      <x:c r="F418" s="13" t="n">
        <x:v>0.3</x:v>
      </x:c>
      <x:c r="G418" s="13" t="n">
        <x:v>0.38</x:v>
      </x:c>
      <x:c r="H418" s="13" t="n">
        <x:v>0.08</x:v>
      </x:c>
      <x:c r="I418" s="13" t="n">
        <x:v>0</x:v>
      </x:c>
      <x:c r="J418" s="12" t="str">
        <x:v>intake</x:v>
      </x:c>
      <x:c r="K418" s="12" t="str">
        <x:v>none</x:v>
      </x:c>
      <x:c r="L418" s="13" t="n">
        <x:f>IF(G418&lt;=I418,0,MAX(0,L417)+IF(E418="via",MAX(0,G418-MAX(F418,I418)),0))</x:f>
        <x:v>0.38</x:v>
      </x:c>
    </x:row>
    <x:row r="419" ht="42" customHeight="1">
      <x:c r="A419" s="7" t="str">
        <x:v>DP2-B</x:v>
      </x:c>
      <x:c r="B419" s="7" t="str">
        <x:v>U07</x:v>
      </x:c>
      <x:c r="C419" s="7" t="str">
        <x:v>meaning</x:v>
      </x:c>
      <x:c r="D419" s="7" t="str">
        <x:v>최초 요청 의미 채택 packet 생성</x:v>
      </x:c>
      <x:c r="E419" s="7" t="str">
        <x:v>via</x:v>
      </x:c>
      <x:c r="F419" s="14" t="n">
        <x:v>2.4</x:v>
      </x:c>
      <x:c r="G419" s="14" t="n">
        <x:v>3.5300000000000002</x:v>
      </x:c>
      <x:c r="H419" s="14" t="n">
        <x:v>1.1300000000000001</x:v>
      </x:c>
      <x:c r="I419" s="14" t="n">
        <x:v>0</x:v>
      </x:c>
      <x:c r="J419" s="7" t="str">
        <x:v>read, bg1</x:v>
      </x:c>
      <x:c r="K419" s="7" t="str">
        <x:v>semantic</x:v>
      </x:c>
      <x:c r="L419" s="14" t="n">
        <x:f>IF(G419&lt;=I419,0,MAX(0,L418,L414)+IF(E419="via",MAX(0,G419-MAX(F419,I419)),0))</x:f>
        <x:v>3.5300000000000002</x:v>
      </x:c>
    </x:row>
    <x:row r="420" ht="42" customHeight="1">
      <x:c r="A420" s="12" t="str">
        <x:v>DP2-B</x:v>
      </x:c>
      <x:c r="B420" s="12" t="str">
        <x:v>U07</x:v>
      </x:c>
      <x:c r="C420" s="12" t="str">
        <x:v>adopt</x:v>
      </x:c>
      <x:c r="D420" s="12" t="str">
        <x:v>현재 revision과 권한 검사 및 채택</x:v>
      </x:c>
      <x:c r="E420" s="12" t="str">
        <x:v>via</x:v>
      </x:c>
      <x:c r="F420" s="13" t="n">
        <x:v>3.5300000000000002</x:v>
      </x:c>
      <x:c r="G420" s="13" t="n">
        <x:v>3.56</x:v>
      </x:c>
      <x:c r="H420" s="13" t="n">
        <x:v>0.03</x:v>
      </x:c>
      <x:c r="I420" s="13" t="n">
        <x:v>0</x:v>
      </x:c>
      <x:c r="J420" s="12" t="str">
        <x:v>meaning</x:v>
      </x:c>
      <x:c r="K420" s="12" t="str">
        <x:v>none</x:v>
      </x:c>
      <x:c r="L420" s="13" t="n">
        <x:f>IF(G420&lt;=I420,0,MAX(0,L419)+IF(E420="via",MAX(0,G420-MAX(F420,I420)),0))</x:f>
        <x:v>3.56</x:v>
      </x:c>
    </x:row>
    <x:row r="421" ht="42" customHeight="1">
      <x:c r="A421" s="7" t="str">
        <x:v>DP2-B</x:v>
      </x:c>
      <x:c r="B421" s="7" t="str">
        <x:v>U07</x:v>
      </x:c>
      <x:c r="C421" s="7" t="str">
        <x:v>first_display</x:v>
      </x:c>
      <x:c r="D421" s="7" t="str">
        <x:v>첫 구체적 채택 내용 화면 표시</x:v>
      </x:c>
      <x:c r="E421" s="7" t="str">
        <x:v>via</x:v>
      </x:c>
      <x:c r="F421" s="14" t="n">
        <x:v>3.56</x:v>
      </x:c>
      <x:c r="G421" s="14" t="n">
        <x:v>3.6</x:v>
      </x:c>
      <x:c r="H421" s="14" t="n">
        <x:v>0.04</x:v>
      </x:c>
      <x:c r="I421" s="14" t="n">
        <x:v>0</x:v>
      </x:c>
      <x:c r="J421" s="7" t="str">
        <x:v>adopt</x:v>
      </x:c>
      <x:c r="K421" s="7" t="str">
        <x:v>none</x:v>
      </x:c>
      <x:c r="L421" s="14" t="n">
        <x:f>IF(G421&lt;=I421,0,MAX(0,L420)+IF(E421="via",MAX(0,G421-MAX(F421,I421)),0))</x:f>
        <x:v>3.6</x:v>
      </x:c>
    </x:row>
    <x:row r="422" ht="42" customHeight="1">
      <x:c r="A422" s="12" t="str">
        <x:v>DP2-B</x:v>
      </x:c>
      <x:c r="B422" s="12" t="str">
        <x:v>U07</x:v>
      </x:c>
      <x:c r="C422" s="12" t="str">
        <x:v>long_work</x:v>
      </x:c>
      <x:c r="D422" s="12" t="str">
        <x:v>요청의 남은 VIA 판단</x:v>
      </x:c>
      <x:c r="E422" s="12" t="str">
        <x:v>via</x:v>
      </x:c>
      <x:c r="F422" s="13" t="n">
        <x:v>3.56</x:v>
      </x:c>
      <x:c r="G422" s="13" t="n">
        <x:v>5.1899999999999995</x:v>
      </x:c>
      <x:c r="H422" s="13" t="n">
        <x:v>1.63</x:v>
      </x:c>
      <x:c r="I422" s="13" t="n">
        <x:v>0</x:v>
      </x:c>
      <x:c r="J422" s="12" t="str">
        <x:v>adopt</x:v>
      </x:c>
      <x:c r="K422" s="12" t="str">
        <x:v>semantic</x:v>
      </x:c>
      <x:c r="L422" s="13" t="n">
        <x:f>IF(G422&lt;=I422,0,MAX(0,L420)+IF(E422="via",MAX(0,G422-MAX(F422,I422)),0))</x:f>
        <x:v>5.1899999999999995</x:v>
      </x:c>
    </x:row>
    <x:row r="423" ht="42" customHeight="1">
      <x:c r="A423" s="7" t="str">
        <x:v>DP2-B</x:v>
      </x:c>
      <x:c r="B423" s="7" t="str">
        <x:v>U07</x:v>
      </x:c>
      <x:c r="C423" s="7" t="str">
        <x:v>result_display</x:v>
      </x:c>
      <x:c r="D423" s="7" t="str">
        <x:v>최종 설명 상세 표시</x:v>
      </x:c>
      <x:c r="E423" s="7" t="str">
        <x:v>via</x:v>
      </x:c>
      <x:c r="F423" s="14" t="n">
        <x:v>5.1899999999999995</x:v>
      </x:c>
      <x:c r="G423" s="14" t="n">
        <x:v>5.2299999999999995</x:v>
      </x:c>
      <x:c r="H423" s="14" t="n">
        <x:v>0.04</x:v>
      </x:c>
      <x:c r="I423" s="14" t="n">
        <x:v>0</x:v>
      </x:c>
      <x:c r="J423" s="7" t="str">
        <x:v>long_work</x:v>
      </x:c>
      <x:c r="K423" s="7" t="str">
        <x:v>none</x:v>
      </x:c>
      <x:c r="L423" s="14" t="n">
        <x:f>IF(G423&lt;=I423,0,MAX(0,L422)+IF(E423="via",MAX(0,G423-MAX(F423,I423)),0))</x:f>
        <x:v>5.2299999999999995</x:v>
      </x:c>
    </x:row>
    <x:row r="424" ht="42" customHeight="1">
      <x:c r="A424" s="12" t="str">
        <x:v>DP2-B</x:v>
      </x:c>
      <x:c r="B424" s="12" t="str">
        <x:v>U07</x:v>
      </x:c>
      <x:c r="C424" s="12" t="str">
        <x:v>response_audio</x:v>
      </x:c>
      <x:c r="D424" s="12" t="str">
        <x:v>선택한 응답 음성 생성</x:v>
      </x:c>
      <x:c r="E424" s="12" t="str">
        <x:v>via</x:v>
      </x:c>
      <x:c r="F424" s="13" t="n">
        <x:v>5.1899999999999995</x:v>
      </x:c>
      <x:c r="G424" s="13" t="n">
        <x:v>7.077999999999999</x:v>
      </x:c>
      <x:c r="H424" s="13" t="n">
        <x:v>1.888</x:v>
      </x:c>
      <x:c r="I424" s="13" t="n">
        <x:v>0</x:v>
      </x:c>
      <x:c r="J424" s="12" t="str">
        <x:v>long_work</x:v>
      </x:c>
      <x:c r="K424" s="12" t="str">
        <x:v>speech</x:v>
      </x:c>
      <x:c r="L424" s="13" t="n">
        <x:f>IF(G424&lt;=I424,0,MAX(0,L422)+IF(E424="via",MAX(0,G424-MAX(F424,I424)),0))</x:f>
        <x:v>7.077999999999999</x:v>
      </x:c>
    </x:row>
    <x:row r="425" ht="42" customHeight="1">
      <x:c r="A425" s="7" t="str">
        <x:v>DP2-B</x:v>
      </x:c>
      <x:c r="B425" s="7" t="str">
        <x:v>U07</x:v>
      </x:c>
      <x:c r="C425" s="7" t="str">
        <x:v>intent_audio</x:v>
      </x:c>
      <x:c r="D425" s="7" t="str">
        <x:v>채택한 구체적 수행 의도의 짧은 음성</x:v>
      </x:c>
      <x:c r="E425" s="7" t="str">
        <x:v>via</x:v>
      </x:c>
      <x:c r="F425" s="14" t="n">
        <x:v>3.56</x:v>
      </x:c>
      <x:c r="G425" s="14" t="n">
        <x:v>4.694</x:v>
      </x:c>
      <x:c r="H425" s="14" t="n">
        <x:v>1.134</x:v>
      </x:c>
      <x:c r="I425" s="14" t="n">
        <x:v>0</x:v>
      </x:c>
      <x:c r="J425" s="7" t="str">
        <x:v>adopt</x:v>
      </x:c>
      <x:c r="K425" s="7" t="str">
        <x:v>speech</x:v>
      </x:c>
      <x:c r="L425" s="14" t="n">
        <x:f>IF(G425&lt;=I425,0,MAX(0,L420)+IF(E425="via",MAX(0,G425-MAX(F425,I425)),0))</x:f>
        <x:v>4.694</x:v>
      </x:c>
    </x:row>
    <x:row r="426" ht="42" customHeight="1">
      <x:c r="A426" s="12" t="str">
        <x:v>DP2-B</x:v>
      </x:c>
      <x:c r="B426" s="12" t="str">
        <x:v>U07</x:v>
      </x:c>
      <x:c r="C426" s="12" t="str">
        <x:v>first_chunk</x:v>
      </x:c>
      <x:c r="D426" s="12" t="str">
        <x:v>같은 생성 job의 유효 첫 chunk 관측</x:v>
      </x:c>
      <x:c r="E426" s="12" t="str">
        <x:v>via</x:v>
      </x:c>
      <x:c r="F426" s="13" t="n">
        <x:v>3.56</x:v>
      </x:c>
      <x:c r="G426" s="13" t="n">
        <x:v>3.994</x:v>
      </x:c>
      <x:c r="H426" s="13" t="n">
        <x:v>0.434</x:v>
      </x:c>
      <x:c r="I426" s="13" t="n">
        <x:v>0</x:v>
      </x:c>
      <x:c r="J426" s="12" t="str">
        <x:v>adopt</x:v>
      </x:c>
      <x:c r="K426" s="12" t="str">
        <x:v>none</x:v>
      </x:c>
      <x:c r="L426" s="13" t="n">
        <x:f>IF(G426&lt;=I426,0,MAX(0,L420)+IF(E426="via",MAX(0,G426-MAX(F426,I426)),0))</x:f>
        <x:v>3.994</x:v>
      </x:c>
    </x:row>
    <x:row r="427" ht="42" customHeight="1">
      <x:c r="A427" s="7" t="str">
        <x:v>DP2-B</x:v>
      </x:c>
      <x:c r="B427" s="7" t="str">
        <x:v>U07</x:v>
      </x:c>
      <x:c r="C427" s="7" t="str">
        <x:v>first_audio_output</x:v>
      </x:c>
      <x:c r="D427" s="7" t="str">
        <x:v>공통 장치의 첫 음성 출력</x:v>
      </x:c>
      <x:c r="E427" s="7" t="str">
        <x:v>via</x:v>
      </x:c>
      <x:c r="F427" s="14" t="n">
        <x:v>3.994</x:v>
      </x:c>
      <x:c r="G427" s="14" t="n">
        <x:v>4.034</x:v>
      </x:c>
      <x:c r="H427" s="14" t="n">
        <x:v>0.04</x:v>
      </x:c>
      <x:c r="I427" s="14" t="n">
        <x:v>0</x:v>
      </x:c>
      <x:c r="J427" s="7" t="str">
        <x:v>adopt, first_chunk</x:v>
      </x:c>
      <x:c r="K427" s="7" t="str">
        <x:v>none</x:v>
      </x:c>
      <x:c r="L427" s="14" t="n">
        <x:f>IF(G427&lt;=I427,0,MAX(0,L420,L426)+IF(E427="via",MAX(0,G427-MAX(F427,I427)),0))</x:f>
        <x:v>4.034</x:v>
      </x:c>
    </x:row>
    <x:row r="428" ht="42" customHeight="1">
      <x:c r="A428" s="12" t="str">
        <x:v>DP2-B</x:v>
      </x:c>
      <x:c r="B428" s="12" t="str">
        <x:v>U07</x:v>
      </x:c>
      <x:c r="C428" s="12" t="str">
        <x:v>next_speech_selection</x:v>
      </x:c>
      <x:c r="D428" s="12" t="str">
        <x:v>현재 발화 재생 후 다음 응답 선택</x:v>
      </x:c>
      <x:c r="E428" s="12" t="str">
        <x:v>external</x:v>
      </x:c>
      <x:c r="F428" s="13" t="n">
        <x:v>4.034</x:v>
      </x:c>
      <x:c r="G428" s="13" t="n">
        <x:v>7.034</x:v>
      </x:c>
      <x:c r="H428" s="13" t="n">
        <x:v>3</x:v>
      </x:c>
      <x:c r="I428" s="13" t="n">
        <x:v>0</x:v>
      </x:c>
      <x:c r="J428" s="12" t="str">
        <x:v>first_audio_output</x:v>
      </x:c>
      <x:c r="K428" s="12" t="str">
        <x:v>none</x:v>
      </x:c>
      <x:c r="L428" s="13" t="n">
        <x:f>IF(G428&lt;=I428,0,MAX(0,L427)+IF(E428="via",MAX(0,G428-MAX(F428,I428)),0))</x:f>
        <x:v>4.034</x:v>
      </x:c>
    </x:row>
    <x:row r="429" ht="42" customHeight="1">
      <x:c r="A429" s="7" t="str">
        <x:v>DP2-B</x:v>
      </x:c>
      <x:c r="B429" s="7" t="str">
        <x:v>U07</x:v>
      </x:c>
      <x:c r="C429" s="7" t="str">
        <x:v>terminal</x:v>
      </x:c>
      <x:c r="D429" s="7" t="str">
        <x:v>공통 목표 최종 상태와 전체 음성 준비</x:v>
      </x:c>
      <x:c r="E429" s="7" t="str">
        <x:v>via</x:v>
      </x:c>
      <x:c r="F429" s="14" t="n">
        <x:v>7.077999999999999</x:v>
      </x:c>
      <x:c r="G429" s="14" t="n">
        <x:v>7.077999999999999</x:v>
      </x:c>
      <x:c r="H429" s="14" t="n">
        <x:v>0</x:v>
      </x:c>
      <x:c r="I429" s="14" t="n">
        <x:v>0</x:v>
      </x:c>
      <x:c r="J429" s="7" t="str">
        <x:v>result_display, response_audio, intent_audio, first_audio_output</x:v>
      </x:c>
      <x:c r="K429" s="7" t="str">
        <x:v>none</x:v>
      </x:c>
      <x:c r="L429" s="14" t="n">
        <x:f>IF(G429&lt;=I429,0,MAX(0,L423,L424,L425,L427)+IF(E429="via",MAX(0,G429-MAX(F429,I429)),0))</x:f>
        <x:v>7.077999999999999</x:v>
      </x:c>
    </x:row>
    <x:row r="430" ht="42" customHeight="1">
      <x:c r="A430" s="12" t="str">
        <x:v>DP2-B</x:v>
      </x:c>
      <x:c r="B430" s="12" t="str">
        <x:v>U08</x:v>
      </x:c>
      <x:c r="C430" s="12" t="str">
        <x:v>bg1</x:v>
      </x:c>
      <x:c r="D430" s="12" t="str">
        <x:v>진행 중인 현재 대화의 의미 step</x:v>
      </x:c>
      <x:c r="E430" s="12" t="str">
        <x:v>via</x:v>
      </x:c>
      <x:c r="F430" s="13" t="n">
        <x:v>-1</x:v>
      </x:c>
      <x:c r="G430" s="13" t="n">
        <x:v>2.4</x:v>
      </x:c>
      <x:c r="H430" s="13" t="n">
        <x:v>3.4</x:v>
      </x:c>
      <x:c r="I430" s="13" t="n">
        <x:v>-6</x:v>
      </x:c>
      <x:c r="J430" s="12" t="str">
        <x:v>original_work</x:v>
      </x:c>
      <x:c r="K430" s="12" t="str">
        <x:v>semantic</x:v>
      </x:c>
      <x:c r="L430" s="13" t="n">
        <x:f>IF(G430&lt;=I430,0,MAX(0,L431)+IF(E430="via",MAX(0,G430-MAX(F430,I430)),0))</x:f>
        <x:v>5.4</x:v>
      </x:c>
    </x:row>
    <x:row r="431" ht="42" customHeight="1">
      <x:c r="A431" s="7" t="str">
        <x:v>DP2-B</x:v>
      </x:c>
      <x:c r="B431" s="7" t="str">
        <x:v>U08</x:v>
      </x:c>
      <x:c r="C431" s="7" t="str">
        <x:v>original_work</x:v>
      </x:c>
      <x:c r="D431" s="7" t="str">
        <x:v>원래 목표의 최초 VIA 처리</x:v>
      </x:c>
      <x:c r="E431" s="7" t="str">
        <x:v>via</x:v>
      </x:c>
      <x:c r="F431" s="14" t="n">
        <x:v>-6</x:v>
      </x:c>
      <x:c r="G431" s="14" t="n">
        <x:v>-4</x:v>
      </x:c>
      <x:c r="H431" s="14" t="n">
        <x:v>2</x:v>
      </x:c>
      <x:c r="I431" s="14" t="n">
        <x:v>-6</x:v>
      </x:c>
      <x:c r="J431" s="7" t="str"/>
      <x:c r="K431" s="7" t="str">
        <x:v>none</x:v>
      </x:c>
      <x:c r="L431" s="14" t="n">
        <x:f>IF(G431&lt;=I431,0,MAX(0)+IF(E431="via",MAX(0,G431-MAX(F431,I431)),0))</x:f>
        <x:v>2</x:v>
      </x:c>
    </x:row>
    <x:row r="432" ht="42" customHeight="1">
      <x:c r="A432" s="12" t="str">
        <x:v>DP2-B</x:v>
      </x:c>
      <x:c r="B432" s="12" t="str">
        <x:v>U08</x:v>
      </x:c>
      <x:c r="C432" s="12" t="str">
        <x:v>input_end</x:v>
      </x:c>
      <x:c r="D432" s="12" t="str">
        <x:v>사용자 입력 종료</x:v>
      </x:c>
      <x:c r="E432" s="12" t="str">
        <x:v>external</x:v>
      </x:c>
      <x:c r="F432" s="13" t="n">
        <x:v>0</x:v>
      </x:c>
      <x:c r="G432" s="13" t="n">
        <x:v>0</x:v>
      </x:c>
      <x:c r="H432" s="13" t="n">
        <x:v>0</x:v>
      </x:c>
      <x:c r="I432" s="13" t="n">
        <x:v>-6</x:v>
      </x:c>
      <x:c r="J432" s="12" t="str">
        <x:v>original_work</x:v>
      </x:c>
      <x:c r="K432" s="12" t="str">
        <x:v>none</x:v>
      </x:c>
      <x:c r="L432" s="13" t="n">
        <x:f>IF(G432&lt;=I432,0,MAX(0,L431)+IF(E432="via",MAX(0,G432-MAX(F432,I432)),0))</x:f>
        <x:v>2</x:v>
      </x:c>
    </x:row>
    <x:row r="433" ht="42" customHeight="1">
      <x:c r="A433" s="7" t="str">
        <x:v>DP2-B</x:v>
      </x:c>
      <x:c r="B433" s="7" t="str">
        <x:v>U08</x:v>
      </x:c>
      <x:c r="C433" s="7" t="str">
        <x:v>intake</x:v>
      </x:c>
      <x:c r="D433" s="7" t="str">
        <x:v>입력 확정</x:v>
      </x:c>
      <x:c r="E433" s="7" t="str">
        <x:v>via</x:v>
      </x:c>
      <x:c r="F433" s="14" t="n">
        <x:v>0</x:v>
      </x:c>
      <x:c r="G433" s="14" t="n">
        <x:v>0.06</x:v>
      </x:c>
      <x:c r="H433" s="14" t="n">
        <x:v>0.06</x:v>
      </x:c>
      <x:c r="I433" s="14" t="n">
        <x:v>-6</x:v>
      </x:c>
      <x:c r="J433" s="7" t="str">
        <x:v>input_end</x:v>
      </x:c>
      <x:c r="K433" s="7" t="str">
        <x:v>none</x:v>
      </x:c>
      <x:c r="L433" s="14" t="n">
        <x:f>IF(G433&lt;=I433,0,MAX(0,L432)+IF(E433="via",MAX(0,G433-MAX(F433,I433)),0))</x:f>
        <x:v>2.06</x:v>
      </x:c>
    </x:row>
    <x:row r="434" ht="42" customHeight="1">
      <x:c r="A434" s="12" t="str">
        <x:v>DP2-B</x:v>
      </x:c>
      <x:c r="B434" s="12" t="str">
        <x:v>U08</x:v>
      </x:c>
      <x:c r="C434" s="12" t="str">
        <x:v>read</x:v>
      </x:c>
      <x:c r="D434" s="12" t="str">
        <x:v>공통 허용 원본 조회</x:v>
      </x:c>
      <x:c r="E434" s="12" t="str">
        <x:v>via</x:v>
      </x:c>
      <x:c r="F434" s="13" t="n">
        <x:v>0.06</x:v>
      </x:c>
      <x:c r="G434" s="13" t="n">
        <x:v>0.14</x:v>
      </x:c>
      <x:c r="H434" s="13" t="n">
        <x:v>0.08</x:v>
      </x:c>
      <x:c r="I434" s="13" t="n">
        <x:v>-6</x:v>
      </x:c>
      <x:c r="J434" s="12" t="str">
        <x:v>intake</x:v>
      </x:c>
      <x:c r="K434" s="12" t="str">
        <x:v>none</x:v>
      </x:c>
      <x:c r="L434" s="13" t="n">
        <x:f>IF(G434&lt;=I434,0,MAX(0,L433)+IF(E434="via",MAX(0,G434-MAX(F434,I434)),0))</x:f>
        <x:v>2.14</x:v>
      </x:c>
    </x:row>
    <x:row r="435" ht="42" customHeight="1">
      <x:c r="A435" s="7" t="str">
        <x:v>DP2-B</x:v>
      </x:c>
      <x:c r="B435" s="7" t="str">
        <x:v>U08</x:v>
      </x:c>
      <x:c r="C435" s="7" t="str">
        <x:v>meaning</x:v>
      </x:c>
      <x:c r="D435" s="7" t="str">
        <x:v>최초 요청 의미 채택 packet 생성</x:v>
      </x:c>
      <x:c r="E435" s="7" t="str">
        <x:v>via</x:v>
      </x:c>
      <x:c r="F435" s="14" t="n">
        <x:v>2.4</x:v>
      </x:c>
      <x:c r="G435" s="14" t="n">
        <x:v>3.5300000000000002</x:v>
      </x:c>
      <x:c r="H435" s="14" t="n">
        <x:v>1.1300000000000001</x:v>
      </x:c>
      <x:c r="I435" s="14" t="n">
        <x:v>-6</x:v>
      </x:c>
      <x:c r="J435" s="7" t="str">
        <x:v>read, bg1</x:v>
      </x:c>
      <x:c r="K435" s="7" t="str">
        <x:v>semantic</x:v>
      </x:c>
      <x:c r="L435" s="14" t="n">
        <x:f>IF(G435&lt;=I435,0,MAX(0,L434,L430)+IF(E435="via",MAX(0,G435-MAX(F435,I435)),0))</x:f>
        <x:v>6.530000000000001</x:v>
      </x:c>
    </x:row>
    <x:row r="436" ht="42" customHeight="1">
      <x:c r="A436" s="12" t="str">
        <x:v>DP2-B</x:v>
      </x:c>
      <x:c r="B436" s="12" t="str">
        <x:v>U08</x:v>
      </x:c>
      <x:c r="C436" s="12" t="str">
        <x:v>adopt</x:v>
      </x:c>
      <x:c r="D436" s="12" t="str">
        <x:v>현재 revision과 권한 검사 및 채택</x:v>
      </x:c>
      <x:c r="E436" s="12" t="str">
        <x:v>via</x:v>
      </x:c>
      <x:c r="F436" s="13" t="n">
        <x:v>3.5300000000000002</x:v>
      </x:c>
      <x:c r="G436" s="13" t="n">
        <x:v>3.56</x:v>
      </x:c>
      <x:c r="H436" s="13" t="n">
        <x:v>0.03</x:v>
      </x:c>
      <x:c r="I436" s="13" t="n">
        <x:v>-6</x:v>
      </x:c>
      <x:c r="J436" s="12" t="str">
        <x:v>meaning</x:v>
      </x:c>
      <x:c r="K436" s="12" t="str">
        <x:v>none</x:v>
      </x:c>
      <x:c r="L436" s="13" t="n">
        <x:f>IF(G436&lt;=I436,0,MAX(0,L435)+IF(E436="via",MAX(0,G436-MAX(F436,I436)),0))</x:f>
        <x:v>6.5600000000000005</x:v>
      </x:c>
    </x:row>
    <x:row r="437" ht="42" customHeight="1">
      <x:c r="A437" s="7" t="str">
        <x:v>DP2-B</x:v>
      </x:c>
      <x:c r="B437" s="7" t="str">
        <x:v>U08</x:v>
      </x:c>
      <x:c r="C437" s="7" t="str">
        <x:v>first_display</x:v>
      </x:c>
      <x:c r="D437" s="7" t="str">
        <x:v>첫 구체적 채택 내용 화면 표시</x:v>
      </x:c>
      <x:c r="E437" s="7" t="str">
        <x:v>via</x:v>
      </x:c>
      <x:c r="F437" s="14" t="n">
        <x:v>3.56</x:v>
      </x:c>
      <x:c r="G437" s="14" t="n">
        <x:v>3.6</x:v>
      </x:c>
      <x:c r="H437" s="14" t="n">
        <x:v>0.04</x:v>
      </x:c>
      <x:c r="I437" s="14" t="n">
        <x:v>-6</x:v>
      </x:c>
      <x:c r="J437" s="7" t="str">
        <x:v>adopt</x:v>
      </x:c>
      <x:c r="K437" s="7" t="str">
        <x:v>none</x:v>
      </x:c>
      <x:c r="L437" s="14" t="n">
        <x:f>IF(G437&lt;=I437,0,MAX(0,L436)+IF(E437="via",MAX(0,G437-MAX(F437,I437)),0))</x:f>
        <x:v>6.6000000000000005</x:v>
      </x:c>
    </x:row>
    <x:row r="438" ht="42" customHeight="1">
      <x:c r="A438" s="12" t="str">
        <x:v>DP2-B</x:v>
      </x:c>
      <x:c r="B438" s="12" t="str">
        <x:v>U08</x:v>
      </x:c>
      <x:c r="C438" s="12" t="str">
        <x:v>long_work</x:v>
      </x:c>
      <x:c r="D438" s="12" t="str">
        <x:v>요청의 남은 VIA 판단</x:v>
      </x:c>
      <x:c r="E438" s="12" t="str">
        <x:v>via</x:v>
      </x:c>
      <x:c r="F438" s="13" t="n">
        <x:v>3.56</x:v>
      </x:c>
      <x:c r="G438" s="13" t="n">
        <x:v>5.1899999999999995</x:v>
      </x:c>
      <x:c r="H438" s="13" t="n">
        <x:v>1.63</x:v>
      </x:c>
      <x:c r="I438" s="13" t="n">
        <x:v>-6</x:v>
      </x:c>
      <x:c r="J438" s="12" t="str">
        <x:v>adopt</x:v>
      </x:c>
      <x:c r="K438" s="12" t="str">
        <x:v>semantic</x:v>
      </x:c>
      <x:c r="L438" s="13" t="n">
        <x:f>IF(G438&lt;=I438,0,MAX(0,L436)+IF(E438="via",MAX(0,G438-MAX(F438,I438)),0))</x:f>
        <x:v>8.19</x:v>
      </x:c>
    </x:row>
    <x:row r="439" ht="42" customHeight="1">
      <x:c r="A439" s="7" t="str">
        <x:v>DP2-B</x:v>
      </x:c>
      <x:c r="B439" s="7" t="str">
        <x:v>U08</x:v>
      </x:c>
      <x:c r="C439" s="7" t="str">
        <x:v>result_display</x:v>
      </x:c>
      <x:c r="D439" s="7" t="str">
        <x:v>최종 설명 상세 표시</x:v>
      </x:c>
      <x:c r="E439" s="7" t="str">
        <x:v>via</x:v>
      </x:c>
      <x:c r="F439" s="14" t="n">
        <x:v>5.1899999999999995</x:v>
      </x:c>
      <x:c r="G439" s="14" t="n">
        <x:v>5.2299999999999995</x:v>
      </x:c>
      <x:c r="H439" s="14" t="n">
        <x:v>0.04</x:v>
      </x:c>
      <x:c r="I439" s="14" t="n">
        <x:v>-6</x:v>
      </x:c>
      <x:c r="J439" s="7" t="str">
        <x:v>long_work</x:v>
      </x:c>
      <x:c r="K439" s="7" t="str">
        <x:v>none</x:v>
      </x:c>
      <x:c r="L439" s="14" t="n">
        <x:f>IF(G439&lt;=I439,0,MAX(0,L438)+IF(E439="via",MAX(0,G439-MAX(F439,I439)),0))</x:f>
        <x:v>8.23</x:v>
      </x:c>
    </x:row>
    <x:row r="440" ht="42" customHeight="1">
      <x:c r="A440" s="12" t="str">
        <x:v>DP2-B</x:v>
      </x:c>
      <x:c r="B440" s="12" t="str">
        <x:v>U08</x:v>
      </x:c>
      <x:c r="C440" s="12" t="str">
        <x:v>response_audio</x:v>
      </x:c>
      <x:c r="D440" s="12" t="str">
        <x:v>선택한 응답 음성 생성</x:v>
      </x:c>
      <x:c r="E440" s="12" t="str">
        <x:v>via</x:v>
      </x:c>
      <x:c r="F440" s="13" t="n">
        <x:v>5.1899999999999995</x:v>
      </x:c>
      <x:c r="G440" s="13" t="n">
        <x:v>7.077999999999999</x:v>
      </x:c>
      <x:c r="H440" s="13" t="n">
        <x:v>1.888</x:v>
      </x:c>
      <x:c r="I440" s="13" t="n">
        <x:v>-6</x:v>
      </x:c>
      <x:c r="J440" s="12" t="str">
        <x:v>long_work</x:v>
      </x:c>
      <x:c r="K440" s="12" t="str">
        <x:v>speech</x:v>
      </x:c>
      <x:c r="L440" s="13" t="n">
        <x:f>IF(G440&lt;=I440,0,MAX(0,L438)+IF(E440="via",MAX(0,G440-MAX(F440,I440)),0))</x:f>
        <x:v>10.078</x:v>
      </x:c>
    </x:row>
    <x:row r="441" ht="42" customHeight="1">
      <x:c r="A441" s="7" t="str">
        <x:v>DP2-B</x:v>
      </x:c>
      <x:c r="B441" s="7" t="str">
        <x:v>U08</x:v>
      </x:c>
      <x:c r="C441" s="7" t="str">
        <x:v>intent_audio</x:v>
      </x:c>
      <x:c r="D441" s="7" t="str">
        <x:v>채택한 구체적 수행 의도의 짧은 음성</x:v>
      </x:c>
      <x:c r="E441" s="7" t="str">
        <x:v>via</x:v>
      </x:c>
      <x:c r="F441" s="14" t="n">
        <x:v>3.56</x:v>
      </x:c>
      <x:c r="G441" s="14" t="n">
        <x:v>4.694</x:v>
      </x:c>
      <x:c r="H441" s="14" t="n">
        <x:v>1.134</x:v>
      </x:c>
      <x:c r="I441" s="14" t="n">
        <x:v>-6</x:v>
      </x:c>
      <x:c r="J441" s="7" t="str">
        <x:v>adopt</x:v>
      </x:c>
      <x:c r="K441" s="7" t="str">
        <x:v>speech</x:v>
      </x:c>
      <x:c r="L441" s="14" t="n">
        <x:f>IF(G441&lt;=I441,0,MAX(0,L436)+IF(E441="via",MAX(0,G441-MAX(F441,I441)),0))</x:f>
        <x:v>7.694000000000001</x:v>
      </x:c>
    </x:row>
    <x:row r="442" ht="42" customHeight="1">
      <x:c r="A442" s="12" t="str">
        <x:v>DP2-B</x:v>
      </x:c>
      <x:c r="B442" s="12" t="str">
        <x:v>U08</x:v>
      </x:c>
      <x:c r="C442" s="12" t="str">
        <x:v>first_chunk</x:v>
      </x:c>
      <x:c r="D442" s="12" t="str">
        <x:v>같은 생성 job의 유효 첫 chunk 관측</x:v>
      </x:c>
      <x:c r="E442" s="12" t="str">
        <x:v>via</x:v>
      </x:c>
      <x:c r="F442" s="13" t="n">
        <x:v>3.56</x:v>
      </x:c>
      <x:c r="G442" s="13" t="n">
        <x:v>3.994</x:v>
      </x:c>
      <x:c r="H442" s="13" t="n">
        <x:v>0.434</x:v>
      </x:c>
      <x:c r="I442" s="13" t="n">
        <x:v>-6</x:v>
      </x:c>
      <x:c r="J442" s="12" t="str">
        <x:v>adopt</x:v>
      </x:c>
      <x:c r="K442" s="12" t="str">
        <x:v>none</x:v>
      </x:c>
      <x:c r="L442" s="13" t="n">
        <x:f>IF(G442&lt;=I442,0,MAX(0,L436)+IF(E442="via",MAX(0,G442-MAX(F442,I442)),0))</x:f>
        <x:v>6.994000000000001</x:v>
      </x:c>
    </x:row>
    <x:row r="443" ht="42" customHeight="1">
      <x:c r="A443" s="7" t="str">
        <x:v>DP2-B</x:v>
      </x:c>
      <x:c r="B443" s="7" t="str">
        <x:v>U08</x:v>
      </x:c>
      <x:c r="C443" s="7" t="str">
        <x:v>first_audio_output</x:v>
      </x:c>
      <x:c r="D443" s="7" t="str">
        <x:v>공통 장치의 첫 음성 출력</x:v>
      </x:c>
      <x:c r="E443" s="7" t="str">
        <x:v>via</x:v>
      </x:c>
      <x:c r="F443" s="14" t="n">
        <x:v>3.994</x:v>
      </x:c>
      <x:c r="G443" s="14" t="n">
        <x:v>4.034</x:v>
      </x:c>
      <x:c r="H443" s="14" t="n">
        <x:v>0.04</x:v>
      </x:c>
      <x:c r="I443" s="14" t="n">
        <x:v>-6</x:v>
      </x:c>
      <x:c r="J443" s="7" t="str">
        <x:v>adopt, first_chunk</x:v>
      </x:c>
      <x:c r="K443" s="7" t="str">
        <x:v>none</x:v>
      </x:c>
      <x:c r="L443" s="14" t="n">
        <x:f>IF(G443&lt;=I443,0,MAX(0,L436,L442)+IF(E443="via",MAX(0,G443-MAX(F443,I443)),0))</x:f>
        <x:v>7.034000000000001</x:v>
      </x:c>
    </x:row>
    <x:row r="444" ht="42" customHeight="1">
      <x:c r="A444" s="12" t="str">
        <x:v>DP2-B</x:v>
      </x:c>
      <x:c r="B444" s="12" t="str">
        <x:v>U08</x:v>
      </x:c>
      <x:c r="C444" s="12" t="str">
        <x:v>next_speech_selection</x:v>
      </x:c>
      <x:c r="D444" s="12" t="str">
        <x:v>현재 발화 재생 후 다음 응답 선택</x:v>
      </x:c>
      <x:c r="E444" s="12" t="str">
        <x:v>external</x:v>
      </x:c>
      <x:c r="F444" s="13" t="n">
        <x:v>4.034</x:v>
      </x:c>
      <x:c r="G444" s="13" t="n">
        <x:v>7.034</x:v>
      </x:c>
      <x:c r="H444" s="13" t="n">
        <x:v>3</x:v>
      </x:c>
      <x:c r="I444" s="13" t="n">
        <x:v>-6</x:v>
      </x:c>
      <x:c r="J444" s="12" t="str">
        <x:v>first_audio_output</x:v>
      </x:c>
      <x:c r="K444" s="12" t="str">
        <x:v>none</x:v>
      </x:c>
      <x:c r="L444" s="13" t="n">
        <x:f>IF(G444&lt;=I444,0,MAX(0,L443)+IF(E444="via",MAX(0,G444-MAX(F444,I444)),0))</x:f>
        <x:v>7.034000000000001</x:v>
      </x:c>
    </x:row>
    <x:row r="445" ht="42" customHeight="1">
      <x:c r="A445" s="7" t="str">
        <x:v>DP2-B</x:v>
      </x:c>
      <x:c r="B445" s="7" t="str">
        <x:v>U08</x:v>
      </x:c>
      <x:c r="C445" s="7" t="str">
        <x:v>terminal</x:v>
      </x:c>
      <x:c r="D445" s="7" t="str">
        <x:v>공통 목표 최종 상태와 전체 음성 준비</x:v>
      </x:c>
      <x:c r="E445" s="7" t="str">
        <x:v>via</x:v>
      </x:c>
      <x:c r="F445" s="14" t="n">
        <x:v>7.077999999999999</x:v>
      </x:c>
      <x:c r="G445" s="14" t="n">
        <x:v>7.077999999999999</x:v>
      </x:c>
      <x:c r="H445" s="14" t="n">
        <x:v>0</x:v>
      </x:c>
      <x:c r="I445" s="14" t="n">
        <x:v>-6</x:v>
      </x:c>
      <x:c r="J445" s="7" t="str">
        <x:v>result_display, response_audio, intent_audio, first_audio_output</x:v>
      </x:c>
      <x:c r="K445" s="7" t="str">
        <x:v>none</x:v>
      </x:c>
      <x:c r="L445" s="14" t="n">
        <x:f>IF(G445&lt;=I445,0,MAX(0,L439,L440,L441,L443)+IF(E445="via",MAX(0,G445-MAX(F445,I445)),0))</x:f>
        <x:v>10.078</x:v>
      </x:c>
    </x:row>
    <x:row r="446" ht="42" customHeight="1">
      <x:c r="A446" s="12" t="str">
        <x:v>DP2-B</x:v>
      </x:c>
      <x:c r="B446" s="12" t="str">
        <x:v>U09</x:v>
      </x:c>
      <x:c r="C446" s="12" t="str">
        <x:v>input_end</x:v>
      </x:c>
      <x:c r="D446" s="12" t="str">
        <x:v>사용자 입력 종료</x:v>
      </x:c>
      <x:c r="E446" s="12" t="str">
        <x:v>external</x:v>
      </x:c>
      <x:c r="F446" s="13" t="n">
        <x:v>0</x:v>
      </x:c>
      <x:c r="G446" s="13" t="n">
        <x:v>0</x:v>
      </x:c>
      <x:c r="H446" s="13" t="n">
        <x:v>0</x:v>
      </x:c>
      <x:c r="I446" s="13" t="n">
        <x:v>0</x:v>
      </x:c>
      <x:c r="J446" s="12" t="str"/>
      <x:c r="K446" s="12" t="str">
        <x:v>none</x:v>
      </x:c>
      <x:c r="L446" s="13" t="n">
        <x:f>IF(G446&lt;=I446,0,MAX(0)+IF(E446="via",MAX(0,G446-MAX(F446,I446)),0))</x:f>
        <x:v>0</x:v>
      </x:c>
    </x:row>
    <x:row r="447" ht="42" customHeight="1">
      <x:c r="A447" s="7" t="str">
        <x:v>DP2-B</x:v>
      </x:c>
      <x:c r="B447" s="7" t="str">
        <x:v>U09</x:v>
      </x:c>
      <x:c r="C447" s="7" t="str">
        <x:v>intake</x:v>
      </x:c>
      <x:c r="D447" s="7" t="str">
        <x:v>입력 확정</x:v>
      </x:c>
      <x:c r="E447" s="7" t="str">
        <x:v>via</x:v>
      </x:c>
      <x:c r="F447" s="14" t="n">
        <x:v>0</x:v>
      </x:c>
      <x:c r="G447" s="14" t="n">
        <x:v>0.3</x:v>
      </x:c>
      <x:c r="H447" s="14" t="n">
        <x:v>0.3</x:v>
      </x:c>
      <x:c r="I447" s="14" t="n">
        <x:v>0</x:v>
      </x:c>
      <x:c r="J447" s="7" t="str">
        <x:v>input_end</x:v>
      </x:c>
      <x:c r="K447" s="7" t="str">
        <x:v>none</x:v>
      </x:c>
      <x:c r="L447" s="14" t="n">
        <x:f>IF(G447&lt;=I447,0,MAX(0,L446)+IF(E447="via",MAX(0,G447-MAX(F447,I447)),0))</x:f>
        <x:v>0.3</x:v>
      </x:c>
    </x:row>
    <x:row r="448" ht="42" customHeight="1">
      <x:c r="A448" s="12" t="str">
        <x:v>DP2-B</x:v>
      </x:c>
      <x:c r="B448" s="12" t="str">
        <x:v>U09</x:v>
      </x:c>
      <x:c r="C448" s="12" t="str">
        <x:v>read</x:v>
      </x:c>
      <x:c r="D448" s="12" t="str">
        <x:v>공통 허용 원본 조회</x:v>
      </x:c>
      <x:c r="E448" s="12" t="str">
        <x:v>via</x:v>
      </x:c>
      <x:c r="F448" s="13" t="n">
        <x:v>0.3</x:v>
      </x:c>
      <x:c r="G448" s="13" t="n">
        <x:v>0.38</x:v>
      </x:c>
      <x:c r="H448" s="13" t="n">
        <x:v>0.08</x:v>
      </x:c>
      <x:c r="I448" s="13" t="n">
        <x:v>0</x:v>
      </x:c>
      <x:c r="J448" s="12" t="str">
        <x:v>intake</x:v>
      </x:c>
      <x:c r="K448" s="12" t="str">
        <x:v>none</x:v>
      </x:c>
      <x:c r="L448" s="13" t="n">
        <x:f>IF(G448&lt;=I448,0,MAX(0,L447)+IF(E448="via",MAX(0,G448-MAX(F448,I448)),0))</x:f>
        <x:v>0.38</x:v>
      </x:c>
    </x:row>
    <x:row r="449" ht="42" customHeight="1">
      <x:c r="A449" s="7" t="str">
        <x:v>DP2-B</x:v>
      </x:c>
      <x:c r="B449" s="7" t="str">
        <x:v>U09</x:v>
      </x:c>
      <x:c r="C449" s="7" t="str">
        <x:v>native_selection</x:v>
      </x:c>
      <x:c r="D449" s="7" t="str">
        <x:v>Native 선택 사실 조회</x:v>
      </x:c>
      <x:c r="E449" s="7" t="str">
        <x:v>via</x:v>
      </x:c>
      <x:c r="F449" s="14" t="n">
        <x:v>0.38</x:v>
      </x:c>
      <x:c r="G449" s="14" t="n">
        <x:v>0.46</x:v>
      </x:c>
      <x:c r="H449" s="14" t="n">
        <x:v>0.08</x:v>
      </x:c>
      <x:c r="I449" s="14" t="n">
        <x:v>0</x:v>
      </x:c>
      <x:c r="J449" s="7" t="str">
        <x:v>read</x:v>
      </x:c>
      <x:c r="K449" s="7" t="str">
        <x:v>none</x:v>
      </x:c>
      <x:c r="L449" s="14" t="n">
        <x:f>IF(G449&lt;=I449,0,MAX(0,L448)+IF(E449="via",MAX(0,G449-MAX(F449,I449)),0))</x:f>
        <x:v>0.46</x:v>
      </x:c>
    </x:row>
    <x:row r="450" ht="42" customHeight="1">
      <x:c r="A450" s="12" t="str">
        <x:v>DP2-B</x:v>
      </x:c>
      <x:c r="B450" s="12" t="str">
        <x:v>U09</x:v>
      </x:c>
      <x:c r="C450" s="12" t="str">
        <x:v>meaning</x:v>
      </x:c>
      <x:c r="D450" s="12" t="str">
        <x:v>최초 요청 의미 채택 packet 생성</x:v>
      </x:c>
      <x:c r="E450" s="12" t="str">
        <x:v>via</x:v>
      </x:c>
      <x:c r="F450" s="13" t="n">
        <x:v>0.46</x:v>
      </x:c>
      <x:c r="G450" s="13" t="n">
        <x:v>1.56</x:v>
      </x:c>
      <x:c r="H450" s="13" t="n">
        <x:v>1.1</x:v>
      </x:c>
      <x:c r="I450" s="13" t="n">
        <x:v>0</x:v>
      </x:c>
      <x:c r="J450" s="12" t="str">
        <x:v>native_selection</x:v>
      </x:c>
      <x:c r="K450" s="12" t="str">
        <x:v>semantic</x:v>
      </x:c>
      <x:c r="L450" s="13" t="n">
        <x:f>IF(G450&lt;=I450,0,MAX(0,L449)+IF(E450="via",MAX(0,G450-MAX(F450,I450)),0))</x:f>
        <x:v>1.56</x:v>
      </x:c>
    </x:row>
    <x:row r="451" ht="42" customHeight="1">
      <x:c r="A451" s="7" t="str">
        <x:v>DP2-B</x:v>
      </x:c>
      <x:c r="B451" s="7" t="str">
        <x:v>U09</x:v>
      </x:c>
      <x:c r="C451" s="7" t="str">
        <x:v>adopt</x:v>
      </x:c>
      <x:c r="D451" s="7" t="str">
        <x:v>현재 revision과 권한 검사 및 채택</x:v>
      </x:c>
      <x:c r="E451" s="7" t="str">
        <x:v>via</x:v>
      </x:c>
      <x:c r="F451" s="14" t="n">
        <x:v>1.56</x:v>
      </x:c>
      <x:c r="G451" s="14" t="n">
        <x:v>1.59</x:v>
      </x:c>
      <x:c r="H451" s="14" t="n">
        <x:v>0.03</x:v>
      </x:c>
      <x:c r="I451" s="14" t="n">
        <x:v>0</x:v>
      </x:c>
      <x:c r="J451" s="7" t="str">
        <x:v>meaning</x:v>
      </x:c>
      <x:c r="K451" s="7" t="str">
        <x:v>none</x:v>
      </x:c>
      <x:c r="L451" s="14" t="n">
        <x:f>IF(G451&lt;=I451,0,MAX(0,L450)+IF(E451="via",MAX(0,G451-MAX(F451,I451)),0))</x:f>
        <x:v>1.59</x:v>
      </x:c>
    </x:row>
    <x:row r="452" ht="42" customHeight="1">
      <x:c r="A452" s="12" t="str">
        <x:v>DP2-B</x:v>
      </x:c>
      <x:c r="B452" s="12" t="str">
        <x:v>U09</x:v>
      </x:c>
      <x:c r="C452" s="12" t="str">
        <x:v>first_display</x:v>
      </x:c>
      <x:c r="D452" s="12" t="str">
        <x:v>첫 구체적 채택 내용 화면 표시</x:v>
      </x:c>
      <x:c r="E452" s="12" t="str">
        <x:v>via</x:v>
      </x:c>
      <x:c r="F452" s="13" t="n">
        <x:v>1.59</x:v>
      </x:c>
      <x:c r="G452" s="13" t="n">
        <x:v>1.6300000000000001</x:v>
      </x:c>
      <x:c r="H452" s="13" t="n">
        <x:v>0.04</x:v>
      </x:c>
      <x:c r="I452" s="13" t="n">
        <x:v>0</x:v>
      </x:c>
      <x:c r="J452" s="12" t="str">
        <x:v>adopt</x:v>
      </x:c>
      <x:c r="K452" s="12" t="str">
        <x:v>none</x:v>
      </x:c>
      <x:c r="L452" s="13" t="n">
        <x:f>IF(G452&lt;=I452,0,MAX(0,L451)+IF(E452="via",MAX(0,G452-MAX(F452,I452)),0))</x:f>
        <x:v>1.6300000000000001</x:v>
      </x:c>
    </x:row>
    <x:row r="453" ht="42" customHeight="1">
      <x:c r="A453" s="7" t="str">
        <x:v>DP2-B</x:v>
      </x:c>
      <x:c r="B453" s="7" t="str">
        <x:v>U09</x:v>
      </x:c>
      <x:c r="C453" s="7" t="str">
        <x:v>agent_ingress</x:v>
      </x:c>
      <x:c r="D453" s="7" t="str">
        <x:v>Agent 요청 전송</x:v>
      </x:c>
      <x:c r="E453" s="7" t="str">
        <x:v>via</x:v>
      </x:c>
      <x:c r="F453" s="14" t="n">
        <x:v>1.59</x:v>
      </x:c>
      <x:c r="G453" s="14" t="n">
        <x:v>1.6300000000000001</x:v>
      </x:c>
      <x:c r="H453" s="14" t="n">
        <x:v>0.04</x:v>
      </x:c>
      <x:c r="I453" s="14" t="n">
        <x:v>0</x:v>
      </x:c>
      <x:c r="J453" s="7" t="str">
        <x:v>adopt</x:v>
      </x:c>
      <x:c r="K453" s="7" t="str">
        <x:v>none</x:v>
      </x:c>
      <x:c r="L453" s="14" t="n">
        <x:f>IF(G453&lt;=I453,0,MAX(0,L451)+IF(E453="via",MAX(0,G453-MAX(F453,I453)),0))</x:f>
        <x:v>1.6300000000000001</x:v>
      </x:c>
    </x:row>
    <x:row r="454" ht="42" customHeight="1">
      <x:c r="A454" s="12" t="str">
        <x:v>DP2-B</x:v>
      </x:c>
      <x:c r="B454" s="12" t="str">
        <x:v>U09</x:v>
      </x:c>
      <x:c r="C454" s="12" t="str">
        <x:v>agent_result</x:v>
      </x:c>
      <x:c r="D454" s="12" t="str">
        <x:v>외부 Agent 업무</x:v>
      </x:c>
      <x:c r="E454" s="12" t="str">
        <x:v>external</x:v>
      </x:c>
      <x:c r="F454" s="13" t="n">
        <x:v>1.6300000000000001</x:v>
      </x:c>
      <x:c r="G454" s="13" t="n">
        <x:v>9.63</x:v>
      </x:c>
      <x:c r="H454" s="13" t="n">
        <x:v>8</x:v>
      </x:c>
      <x:c r="I454" s="13" t="n">
        <x:v>0</x:v>
      </x:c>
      <x:c r="J454" s="12" t="str">
        <x:v>agent_ingress</x:v>
      </x:c>
      <x:c r="K454" s="12" t="str">
        <x:v>none</x:v>
      </x:c>
      <x:c r="L454" s="13" t="n">
        <x:f>IF(G454&lt;=I454,0,MAX(0,L453)+IF(E454="via",MAX(0,G454-MAX(F454,I454)),0))</x:f>
        <x:v>1.6300000000000001</x:v>
      </x:c>
    </x:row>
    <x:row r="455" ht="42" customHeight="1">
      <x:c r="A455" s="7" t="str">
        <x:v>DP2-B</x:v>
      </x:c>
      <x:c r="B455" s="7" t="str">
        <x:v>U09</x:v>
      </x:c>
      <x:c r="C455" s="7" t="str">
        <x:v>result_display</x:v>
      </x:c>
      <x:c r="D455" s="7" t="str">
        <x:v>최종 결과 상세 표시</x:v>
      </x:c>
      <x:c r="E455" s="7" t="str">
        <x:v>via</x:v>
      </x:c>
      <x:c r="F455" s="14" t="n">
        <x:v>9.63</x:v>
      </x:c>
      <x:c r="G455" s="14" t="n">
        <x:v>9.67</x:v>
      </x:c>
      <x:c r="H455" s="14" t="n">
        <x:v>0.04</x:v>
      </x:c>
      <x:c r="I455" s="14" t="n">
        <x:v>0</x:v>
      </x:c>
      <x:c r="J455" s="7" t="str">
        <x:v>agent_result</x:v>
      </x:c>
      <x:c r="K455" s="7" t="str">
        <x:v>none</x:v>
      </x:c>
      <x:c r="L455" s="14" t="n">
        <x:f>IF(G455&lt;=I455,0,MAX(0,L454)+IF(E455="via",MAX(0,G455-MAX(F455,I455)),0))</x:f>
        <x:v>1.6699999999999993</x:v>
      </x:c>
    </x:row>
    <x:row r="456" ht="42" customHeight="1">
      <x:c r="A456" s="12" t="str">
        <x:v>DP2-B</x:v>
      </x:c>
      <x:c r="B456" s="12" t="str">
        <x:v>U09</x:v>
      </x:c>
      <x:c r="C456" s="12" t="str">
        <x:v>response_audio</x:v>
      </x:c>
      <x:c r="D456" s="12" t="str">
        <x:v>선택한 응답 음성 생성</x:v>
      </x:c>
      <x:c r="E456" s="12" t="str">
        <x:v>via</x:v>
      </x:c>
      <x:c r="F456" s="13" t="n">
        <x:v>9.63</x:v>
      </x:c>
      <x:c r="G456" s="13" t="n">
        <x:v>11.518</x:v>
      </x:c>
      <x:c r="H456" s="13" t="n">
        <x:v>1.888</x:v>
      </x:c>
      <x:c r="I456" s="13" t="n">
        <x:v>0</x:v>
      </x:c>
      <x:c r="J456" s="12" t="str">
        <x:v>agent_result</x:v>
      </x:c>
      <x:c r="K456" s="12" t="str">
        <x:v>speech</x:v>
      </x:c>
      <x:c r="L456" s="13" t="n">
        <x:f>IF(G456&lt;=I456,0,MAX(0,L454)+IF(E456="via",MAX(0,G456-MAX(F456,I456)),0))</x:f>
        <x:v>3.518</x:v>
      </x:c>
    </x:row>
    <x:row r="457" ht="42" customHeight="1">
      <x:c r="A457" s="7" t="str">
        <x:v>DP2-B</x:v>
      </x:c>
      <x:c r="B457" s="7" t="str">
        <x:v>U09</x:v>
      </x:c>
      <x:c r="C457" s="7" t="str">
        <x:v>intent_audio</x:v>
      </x:c>
      <x:c r="D457" s="7" t="str">
        <x:v>채택한 구체적 수행 의도의 짧은 음성</x:v>
      </x:c>
      <x:c r="E457" s="7" t="str">
        <x:v>via</x:v>
      </x:c>
      <x:c r="F457" s="14" t="n">
        <x:v>1.59</x:v>
      </x:c>
      <x:c r="G457" s="14" t="n">
        <x:v>2.724</x:v>
      </x:c>
      <x:c r="H457" s="14" t="n">
        <x:v>1.134</x:v>
      </x:c>
      <x:c r="I457" s="14" t="n">
        <x:v>0</x:v>
      </x:c>
      <x:c r="J457" s="7" t="str">
        <x:v>adopt</x:v>
      </x:c>
      <x:c r="K457" s="7" t="str">
        <x:v>speech</x:v>
      </x:c>
      <x:c r="L457" s="14" t="n">
        <x:f>IF(G457&lt;=I457,0,MAX(0,L451)+IF(E457="via",MAX(0,G457-MAX(F457,I457)),0))</x:f>
        <x:v>2.724</x:v>
      </x:c>
    </x:row>
    <x:row r="458" ht="42" customHeight="1">
      <x:c r="A458" s="12" t="str">
        <x:v>DP2-B</x:v>
      </x:c>
      <x:c r="B458" s="12" t="str">
        <x:v>U09</x:v>
      </x:c>
      <x:c r="C458" s="12" t="str">
        <x:v>first_chunk</x:v>
      </x:c>
      <x:c r="D458" s="12" t="str">
        <x:v>같은 생성 job의 유효 첫 chunk 관측</x:v>
      </x:c>
      <x:c r="E458" s="12" t="str">
        <x:v>via</x:v>
      </x:c>
      <x:c r="F458" s="13" t="n">
        <x:v>1.59</x:v>
      </x:c>
      <x:c r="G458" s="13" t="n">
        <x:v>2.024</x:v>
      </x:c>
      <x:c r="H458" s="13" t="n">
        <x:v>0.434</x:v>
      </x:c>
      <x:c r="I458" s="13" t="n">
        <x:v>0</x:v>
      </x:c>
      <x:c r="J458" s="12" t="str">
        <x:v>adopt</x:v>
      </x:c>
      <x:c r="K458" s="12" t="str">
        <x:v>none</x:v>
      </x:c>
      <x:c r="L458" s="13" t="n">
        <x:f>IF(G458&lt;=I458,0,MAX(0,L451)+IF(E458="via",MAX(0,G458-MAX(F458,I458)),0))</x:f>
        <x:v>2.024</x:v>
      </x:c>
    </x:row>
    <x:row r="459" ht="42" customHeight="1">
      <x:c r="A459" s="7" t="str">
        <x:v>DP2-B</x:v>
      </x:c>
      <x:c r="B459" s="7" t="str">
        <x:v>U09</x:v>
      </x:c>
      <x:c r="C459" s="7" t="str">
        <x:v>first_audio_output</x:v>
      </x:c>
      <x:c r="D459" s="7" t="str">
        <x:v>공통 장치의 첫 음성 출력</x:v>
      </x:c>
      <x:c r="E459" s="7" t="str">
        <x:v>via</x:v>
      </x:c>
      <x:c r="F459" s="14" t="n">
        <x:v>2.024</x:v>
      </x:c>
      <x:c r="G459" s="14" t="n">
        <x:v>2.064</x:v>
      </x:c>
      <x:c r="H459" s="14" t="n">
        <x:v>0.04</x:v>
      </x:c>
      <x:c r="I459" s="14" t="n">
        <x:v>0</x:v>
      </x:c>
      <x:c r="J459" s="7" t="str">
        <x:v>adopt, first_chunk</x:v>
      </x:c>
      <x:c r="K459" s="7" t="str">
        <x:v>none</x:v>
      </x:c>
      <x:c r="L459" s="14" t="n">
        <x:f>IF(G459&lt;=I459,0,MAX(0,L451,L458)+IF(E459="via",MAX(0,G459-MAX(F459,I459)),0))</x:f>
        <x:v>2.064</x:v>
      </x:c>
    </x:row>
    <x:row r="460" ht="42" customHeight="1">
      <x:c r="A460" s="12" t="str">
        <x:v>DP2-B</x:v>
      </x:c>
      <x:c r="B460" s="12" t="str">
        <x:v>U09</x:v>
      </x:c>
      <x:c r="C460" s="12" t="str">
        <x:v>next_speech_selection</x:v>
      </x:c>
      <x:c r="D460" s="12" t="str">
        <x:v>현재 발화 재생 후 다음 응답 선택</x:v>
      </x:c>
      <x:c r="E460" s="12" t="str">
        <x:v>external</x:v>
      </x:c>
      <x:c r="F460" s="13" t="n">
        <x:v>2.064</x:v>
      </x:c>
      <x:c r="G460" s="13" t="n">
        <x:v>5.064</x:v>
      </x:c>
      <x:c r="H460" s="13" t="n">
        <x:v>3</x:v>
      </x:c>
      <x:c r="I460" s="13" t="n">
        <x:v>0</x:v>
      </x:c>
      <x:c r="J460" s="12" t="str">
        <x:v>first_audio_output</x:v>
      </x:c>
      <x:c r="K460" s="12" t="str">
        <x:v>none</x:v>
      </x:c>
      <x:c r="L460" s="13" t="n">
        <x:f>IF(G460&lt;=I460,0,MAX(0,L459)+IF(E460="via",MAX(0,G460-MAX(F460,I460)),0))</x:f>
        <x:v>2.064</x:v>
      </x:c>
    </x:row>
    <x:row r="461" ht="42" customHeight="1">
      <x:c r="A461" s="7" t="str">
        <x:v>DP2-B</x:v>
      </x:c>
      <x:c r="B461" s="7" t="str">
        <x:v>U09</x:v>
      </x:c>
      <x:c r="C461" s="7" t="str">
        <x:v>terminal</x:v>
      </x:c>
      <x:c r="D461" s="7" t="str">
        <x:v>공통 목표 최종 상태와 전체 음성 준비</x:v>
      </x:c>
      <x:c r="E461" s="7" t="str">
        <x:v>via</x:v>
      </x:c>
      <x:c r="F461" s="14" t="n">
        <x:v>11.518</x:v>
      </x:c>
      <x:c r="G461" s="14" t="n">
        <x:v>11.518</x:v>
      </x:c>
      <x:c r="H461" s="14" t="n">
        <x:v>0</x:v>
      </x:c>
      <x:c r="I461" s="14" t="n">
        <x:v>0</x:v>
      </x:c>
      <x:c r="J461" s="7" t="str">
        <x:v>result_display, response_audio, intent_audio, first_audio_output</x:v>
      </x:c>
      <x:c r="K461" s="7" t="str">
        <x:v>none</x:v>
      </x:c>
      <x:c r="L461" s="14" t="n">
        <x:f>IF(G461&lt;=I461,0,MAX(0,L455,L456,L457,L459)+IF(E461="via",MAX(0,G461-MAX(F461,I461)),0))</x:f>
        <x:v>3.518</x:v>
      </x:c>
    </x:row>
    <x:row r="462" ht="42" customHeight="1">
      <x:c r="A462" s="12" t="str">
        <x:v>DP2-B</x:v>
      </x:c>
      <x:c r="B462" s="12" t="str">
        <x:v>U10</x:v>
      </x:c>
      <x:c r="C462" s="12" t="str">
        <x:v>input_end</x:v>
      </x:c>
      <x:c r="D462" s="12" t="str">
        <x:v>사용자 입력 종료</x:v>
      </x:c>
      <x:c r="E462" s="12" t="str">
        <x:v>external</x:v>
      </x:c>
      <x:c r="F462" s="13" t="n">
        <x:v>0</x:v>
      </x:c>
      <x:c r="G462" s="13" t="n">
        <x:v>0</x:v>
      </x:c>
      <x:c r="H462" s="13" t="n">
        <x:v>0</x:v>
      </x:c>
      <x:c r="I462" s="13" t="n">
        <x:v>0</x:v>
      </x:c>
      <x:c r="J462" s="12" t="str"/>
      <x:c r="K462" s="12" t="str">
        <x:v>none</x:v>
      </x:c>
      <x:c r="L462" s="13" t="n">
        <x:f>IF(G462&lt;=I462,0,MAX(0)+IF(E462="via",MAX(0,G462-MAX(F462,I462)),0))</x:f>
        <x:v>0</x:v>
      </x:c>
    </x:row>
    <x:row r="463" ht="42" customHeight="1">
      <x:c r="A463" s="7" t="str">
        <x:v>DP2-B</x:v>
      </x:c>
      <x:c r="B463" s="7" t="str">
        <x:v>U10</x:v>
      </x:c>
      <x:c r="C463" s="7" t="str">
        <x:v>intake</x:v>
      </x:c>
      <x:c r="D463" s="7" t="str">
        <x:v>입력 확정</x:v>
      </x:c>
      <x:c r="E463" s="7" t="str">
        <x:v>via</x:v>
      </x:c>
      <x:c r="F463" s="14" t="n">
        <x:v>0</x:v>
      </x:c>
      <x:c r="G463" s="14" t="n">
        <x:v>0.3</x:v>
      </x:c>
      <x:c r="H463" s="14" t="n">
        <x:v>0.3</x:v>
      </x:c>
      <x:c r="I463" s="14" t="n">
        <x:v>0</x:v>
      </x:c>
      <x:c r="J463" s="7" t="str">
        <x:v>input_end</x:v>
      </x:c>
      <x:c r="K463" s="7" t="str">
        <x:v>none</x:v>
      </x:c>
      <x:c r="L463" s="14" t="n">
        <x:f>IF(G463&lt;=I463,0,MAX(0,L462)+IF(E463="via",MAX(0,G463-MAX(F463,I463)),0))</x:f>
        <x:v>0.3</x:v>
      </x:c>
    </x:row>
    <x:row r="464" ht="42" customHeight="1">
      <x:c r="A464" s="12" t="str">
        <x:v>DP2-B</x:v>
      </x:c>
      <x:c r="B464" s="12" t="str">
        <x:v>U10</x:v>
      </x:c>
      <x:c r="C464" s="12" t="str">
        <x:v>read</x:v>
      </x:c>
      <x:c r="D464" s="12" t="str">
        <x:v>공통 허용 원본 조회</x:v>
      </x:c>
      <x:c r="E464" s="12" t="str">
        <x:v>via</x:v>
      </x:c>
      <x:c r="F464" s="13" t="n">
        <x:v>0.3</x:v>
      </x:c>
      <x:c r="G464" s="13" t="n">
        <x:v>0.38</x:v>
      </x:c>
      <x:c r="H464" s="13" t="n">
        <x:v>0.08</x:v>
      </x:c>
      <x:c r="I464" s="13" t="n">
        <x:v>0</x:v>
      </x:c>
      <x:c r="J464" s="12" t="str">
        <x:v>intake</x:v>
      </x:c>
      <x:c r="K464" s="12" t="str">
        <x:v>none</x:v>
      </x:c>
      <x:c r="L464" s="13" t="n">
        <x:f>IF(G464&lt;=I464,0,MAX(0,L463)+IF(E464="via",MAX(0,G464-MAX(F464,I464)),0))</x:f>
        <x:v>0.38</x:v>
      </x:c>
    </x:row>
    <x:row r="465" ht="42" customHeight="1">
      <x:c r="A465" s="7" t="str">
        <x:v>DP2-B</x:v>
      </x:c>
      <x:c r="B465" s="7" t="str">
        <x:v>U10</x:v>
      </x:c>
      <x:c r="C465" s="7" t="str">
        <x:v>meaning</x:v>
      </x:c>
      <x:c r="D465" s="7" t="str">
        <x:v>최초 요청 의미 채택 packet 생성</x:v>
      </x:c>
      <x:c r="E465" s="7" t="str">
        <x:v>via</x:v>
      </x:c>
      <x:c r="F465" s="14" t="n">
        <x:v>0.38</x:v>
      </x:c>
      <x:c r="G465" s="14" t="n">
        <x:v>1.7800000000000002</x:v>
      </x:c>
      <x:c r="H465" s="14" t="n">
        <x:v>1.4000000000000001</x:v>
      </x:c>
      <x:c r="I465" s="14" t="n">
        <x:v>0</x:v>
      </x:c>
      <x:c r="J465" s="7" t="str">
        <x:v>read</x:v>
      </x:c>
      <x:c r="K465" s="7" t="str">
        <x:v>semantic</x:v>
      </x:c>
      <x:c r="L465" s="14" t="n">
        <x:f>IF(G465&lt;=I465,0,MAX(0,L464)+IF(E465="via",MAX(0,G465-MAX(F465,I465)),0))</x:f>
        <x:v>1.7800000000000002</x:v>
      </x:c>
    </x:row>
    <x:row r="466" ht="42" customHeight="1">
      <x:c r="A466" s="12" t="str">
        <x:v>DP2-B</x:v>
      </x:c>
      <x:c r="B466" s="12" t="str">
        <x:v>U10</x:v>
      </x:c>
      <x:c r="C466" s="12" t="str">
        <x:v>adopt</x:v>
      </x:c>
      <x:c r="D466" s="12" t="str">
        <x:v>현재 revision과 권한 검사 및 채택</x:v>
      </x:c>
      <x:c r="E466" s="12" t="str">
        <x:v>via</x:v>
      </x:c>
      <x:c r="F466" s="13" t="n">
        <x:v>1.7800000000000002</x:v>
      </x:c>
      <x:c r="G466" s="13" t="n">
        <x:v>1.8100000000000003</x:v>
      </x:c>
      <x:c r="H466" s="13" t="n">
        <x:v>0.03</x:v>
      </x:c>
      <x:c r="I466" s="13" t="n">
        <x:v>0</x:v>
      </x:c>
      <x:c r="J466" s="12" t="str">
        <x:v>meaning</x:v>
      </x:c>
      <x:c r="K466" s="12" t="str">
        <x:v>none</x:v>
      </x:c>
      <x:c r="L466" s="13" t="n">
        <x:f>IF(G466&lt;=I466,0,MAX(0,L465)+IF(E466="via",MAX(0,G466-MAX(F466,I466)),0))</x:f>
        <x:v>1.8100000000000003</x:v>
      </x:c>
    </x:row>
    <x:row r="467" ht="42" customHeight="1">
      <x:c r="A467" s="7" t="str">
        <x:v>DP2-B</x:v>
      </x:c>
      <x:c r="B467" s="7" t="str">
        <x:v>U10</x:v>
      </x:c>
      <x:c r="C467" s="7" t="str">
        <x:v>first_display</x:v>
      </x:c>
      <x:c r="D467" s="7" t="str">
        <x:v>첫 구체적 채택 내용 화면 표시</x:v>
      </x:c>
      <x:c r="E467" s="7" t="str">
        <x:v>via</x:v>
      </x:c>
      <x:c r="F467" s="14" t="n">
        <x:v>1.8100000000000003</x:v>
      </x:c>
      <x:c r="G467" s="14" t="n">
        <x:v>1.8500000000000003</x:v>
      </x:c>
      <x:c r="H467" s="14" t="n">
        <x:v>0.04</x:v>
      </x:c>
      <x:c r="I467" s="14" t="n">
        <x:v>0</x:v>
      </x:c>
      <x:c r="J467" s="7" t="str">
        <x:v>adopt</x:v>
      </x:c>
      <x:c r="K467" s="7" t="str">
        <x:v>none</x:v>
      </x:c>
      <x:c r="L467" s="14" t="n">
        <x:f>IF(G467&lt;=I467,0,MAX(0,L466)+IF(E467="via",MAX(0,G467-MAX(F467,I467)),0))</x:f>
        <x:v>1.8500000000000003</x:v>
      </x:c>
    </x:row>
    <x:row r="468" ht="42" customHeight="1">
      <x:c r="A468" s="12" t="str">
        <x:v>DP2-B</x:v>
      </x:c>
      <x:c r="B468" s="12" t="str">
        <x:v>U10</x:v>
      </x:c>
      <x:c r="C468" s="12" t="str">
        <x:v>agent_ingress</x:v>
      </x:c>
      <x:c r="D468" s="12" t="str">
        <x:v>Agent 요청 전송</x:v>
      </x:c>
      <x:c r="E468" s="12" t="str">
        <x:v>via</x:v>
      </x:c>
      <x:c r="F468" s="13" t="n">
        <x:v>1.8100000000000003</x:v>
      </x:c>
      <x:c r="G468" s="13" t="n">
        <x:v>1.8500000000000003</x:v>
      </x:c>
      <x:c r="H468" s="13" t="n">
        <x:v>0.04</x:v>
      </x:c>
      <x:c r="I468" s="13" t="n">
        <x:v>0</x:v>
      </x:c>
      <x:c r="J468" s="12" t="str">
        <x:v>adopt</x:v>
      </x:c>
      <x:c r="K468" s="12" t="str">
        <x:v>none</x:v>
      </x:c>
      <x:c r="L468" s="13" t="n">
        <x:f>IF(G468&lt;=I468,0,MAX(0,L466)+IF(E468="via",MAX(0,G468-MAX(F468,I468)),0))</x:f>
        <x:v>1.8500000000000003</x:v>
      </x:c>
    </x:row>
    <x:row r="469" ht="42" customHeight="1">
      <x:c r="A469" s="7" t="str">
        <x:v>DP2-B</x:v>
      </x:c>
      <x:c r="B469" s="7" t="str">
        <x:v>U10</x:v>
      </x:c>
      <x:c r="C469" s="7" t="str">
        <x:v>agent_result</x:v>
      </x:c>
      <x:c r="D469" s="7" t="str">
        <x:v>외부 Agent 업무</x:v>
      </x:c>
      <x:c r="E469" s="7" t="str">
        <x:v>external</x:v>
      </x:c>
      <x:c r="F469" s="14" t="n">
        <x:v>1.8500000000000003</x:v>
      </x:c>
      <x:c r="G469" s="14" t="n">
        <x:v>9.85</x:v>
      </x:c>
      <x:c r="H469" s="14" t="n">
        <x:v>8</x:v>
      </x:c>
      <x:c r="I469" s="14" t="n">
        <x:v>0</x:v>
      </x:c>
      <x:c r="J469" s="7" t="str">
        <x:v>agent_ingress</x:v>
      </x:c>
      <x:c r="K469" s="7" t="str">
        <x:v>none</x:v>
      </x:c>
      <x:c r="L469" s="14" t="n">
        <x:f>IF(G469&lt;=I469,0,MAX(0,L468)+IF(E469="via",MAX(0,G469-MAX(F469,I469)),0))</x:f>
        <x:v>1.8500000000000003</x:v>
      </x:c>
    </x:row>
    <x:row r="470" ht="42" customHeight="1">
      <x:c r="A470" s="12" t="str">
        <x:v>DP2-B</x:v>
      </x:c>
      <x:c r="B470" s="12" t="str">
        <x:v>U10</x:v>
      </x:c>
      <x:c r="C470" s="12" t="str">
        <x:v>result_display</x:v>
      </x:c>
      <x:c r="D470" s="12" t="str">
        <x:v>최종 결과 상세 표시</x:v>
      </x:c>
      <x:c r="E470" s="12" t="str">
        <x:v>via</x:v>
      </x:c>
      <x:c r="F470" s="13" t="n">
        <x:v>9.85</x:v>
      </x:c>
      <x:c r="G470" s="13" t="n">
        <x:v>9.889999999999999</x:v>
      </x:c>
      <x:c r="H470" s="13" t="n">
        <x:v>0.04</x:v>
      </x:c>
      <x:c r="I470" s="13" t="n">
        <x:v>0</x:v>
      </x:c>
      <x:c r="J470" s="12" t="str">
        <x:v>agent_result</x:v>
      </x:c>
      <x:c r="K470" s="12" t="str">
        <x:v>none</x:v>
      </x:c>
      <x:c r="L470" s="13" t="n">
        <x:f>IF(G470&lt;=I470,0,MAX(0,L469)+IF(E470="via",MAX(0,G470-MAX(F470,I470)),0))</x:f>
        <x:v>1.8899999999999995</x:v>
      </x:c>
    </x:row>
    <x:row r="471" ht="42" customHeight="1">
      <x:c r="A471" s="7" t="str">
        <x:v>DP2-B</x:v>
      </x:c>
      <x:c r="B471" s="7" t="str">
        <x:v>U10</x:v>
      </x:c>
      <x:c r="C471" s="7" t="str">
        <x:v>response_audio</x:v>
      </x:c>
      <x:c r="D471" s="7" t="str">
        <x:v>선택한 응답 음성 생성</x:v>
      </x:c>
      <x:c r="E471" s="7" t="str">
        <x:v>via</x:v>
      </x:c>
      <x:c r="F471" s="14" t="n">
        <x:v>9.85</x:v>
      </x:c>
      <x:c r="G471" s="14" t="n">
        <x:v>11.738</x:v>
      </x:c>
      <x:c r="H471" s="14" t="n">
        <x:v>1.888</x:v>
      </x:c>
      <x:c r="I471" s="14" t="n">
        <x:v>0</x:v>
      </x:c>
      <x:c r="J471" s="7" t="str">
        <x:v>agent_result</x:v>
      </x:c>
      <x:c r="K471" s="7" t="str">
        <x:v>speech</x:v>
      </x:c>
      <x:c r="L471" s="14" t="n">
        <x:f>IF(G471&lt;=I471,0,MAX(0,L469)+IF(E471="via",MAX(0,G471-MAX(F471,I471)),0))</x:f>
        <x:v>3.7380000000000004</x:v>
      </x:c>
    </x:row>
    <x:row r="472" ht="42" customHeight="1">
      <x:c r="A472" s="12" t="str">
        <x:v>DP2-B</x:v>
      </x:c>
      <x:c r="B472" s="12" t="str">
        <x:v>U10</x:v>
      </x:c>
      <x:c r="C472" s="12" t="str">
        <x:v>intent_audio</x:v>
      </x:c>
      <x:c r="D472" s="12" t="str">
        <x:v>채택한 구체적 수행 의도의 짧은 음성</x:v>
      </x:c>
      <x:c r="E472" s="12" t="str">
        <x:v>via</x:v>
      </x:c>
      <x:c r="F472" s="13" t="n">
        <x:v>1.8100000000000003</x:v>
      </x:c>
      <x:c r="G472" s="13" t="n">
        <x:v>2.944</x:v>
      </x:c>
      <x:c r="H472" s="13" t="n">
        <x:v>1.134</x:v>
      </x:c>
      <x:c r="I472" s="13" t="n">
        <x:v>0</x:v>
      </x:c>
      <x:c r="J472" s="12" t="str">
        <x:v>adopt</x:v>
      </x:c>
      <x:c r="K472" s="12" t="str">
        <x:v>speech</x:v>
      </x:c>
      <x:c r="L472" s="13" t="n">
        <x:f>IF(G472&lt;=I472,0,MAX(0,L466)+IF(E472="via",MAX(0,G472-MAX(F472,I472)),0))</x:f>
        <x:v>2.944</x:v>
      </x:c>
    </x:row>
    <x:row r="473" ht="42" customHeight="1">
      <x:c r="A473" s="7" t="str">
        <x:v>DP2-B</x:v>
      </x:c>
      <x:c r="B473" s="7" t="str">
        <x:v>U10</x:v>
      </x:c>
      <x:c r="C473" s="7" t="str">
        <x:v>first_chunk</x:v>
      </x:c>
      <x:c r="D473" s="7" t="str">
        <x:v>같은 생성 job의 유효 첫 chunk 관측</x:v>
      </x:c>
      <x:c r="E473" s="7" t="str">
        <x:v>via</x:v>
      </x:c>
      <x:c r="F473" s="14" t="n">
        <x:v>1.8100000000000003</x:v>
      </x:c>
      <x:c r="G473" s="14" t="n">
        <x:v>2.244</x:v>
      </x:c>
      <x:c r="H473" s="14" t="n">
        <x:v>0.434</x:v>
      </x:c>
      <x:c r="I473" s="14" t="n">
        <x:v>0</x:v>
      </x:c>
      <x:c r="J473" s="7" t="str">
        <x:v>adopt</x:v>
      </x:c>
      <x:c r="K473" s="7" t="str">
        <x:v>none</x:v>
      </x:c>
      <x:c r="L473" s="14" t="n">
        <x:f>IF(G473&lt;=I473,0,MAX(0,L466)+IF(E473="via",MAX(0,G473-MAX(F473,I473)),0))</x:f>
        <x:v>2.244</x:v>
      </x:c>
    </x:row>
    <x:row r="474" ht="42" customHeight="1">
      <x:c r="A474" s="12" t="str">
        <x:v>DP2-B</x:v>
      </x:c>
      <x:c r="B474" s="12" t="str">
        <x:v>U10</x:v>
      </x:c>
      <x:c r="C474" s="12" t="str">
        <x:v>first_audio_output</x:v>
      </x:c>
      <x:c r="D474" s="12" t="str">
        <x:v>공통 장치의 첫 음성 출력</x:v>
      </x:c>
      <x:c r="E474" s="12" t="str">
        <x:v>via</x:v>
      </x:c>
      <x:c r="F474" s="13" t="n">
        <x:v>2.244</x:v>
      </x:c>
      <x:c r="G474" s="13" t="n">
        <x:v>2.2840000000000003</x:v>
      </x:c>
      <x:c r="H474" s="13" t="n">
        <x:v>0.04</x:v>
      </x:c>
      <x:c r="I474" s="13" t="n">
        <x:v>0</x:v>
      </x:c>
      <x:c r="J474" s="12" t="str">
        <x:v>adopt, first_chunk</x:v>
      </x:c>
      <x:c r="K474" s="12" t="str">
        <x:v>none</x:v>
      </x:c>
      <x:c r="L474" s="13" t="n">
        <x:f>IF(G474&lt;=I474,0,MAX(0,L466,L473)+IF(E474="via",MAX(0,G474-MAX(F474,I474)),0))</x:f>
        <x:v>2.2840000000000003</x:v>
      </x:c>
    </x:row>
    <x:row r="475" ht="42" customHeight="1">
      <x:c r="A475" s="7" t="str">
        <x:v>DP2-B</x:v>
      </x:c>
      <x:c r="B475" s="7" t="str">
        <x:v>U10</x:v>
      </x:c>
      <x:c r="C475" s="7" t="str">
        <x:v>next_speech_selection</x:v>
      </x:c>
      <x:c r="D475" s="7" t="str">
        <x:v>현재 발화 재생 후 다음 응답 선택</x:v>
      </x:c>
      <x:c r="E475" s="7" t="str">
        <x:v>external</x:v>
      </x:c>
      <x:c r="F475" s="14" t="n">
        <x:v>2.2840000000000003</x:v>
      </x:c>
      <x:c r="G475" s="14" t="n">
        <x:v>5.284000000000001</x:v>
      </x:c>
      <x:c r="H475" s="14" t="n">
        <x:v>3</x:v>
      </x:c>
      <x:c r="I475" s="14" t="n">
        <x:v>0</x:v>
      </x:c>
      <x:c r="J475" s="7" t="str">
        <x:v>first_audio_output</x:v>
      </x:c>
      <x:c r="K475" s="7" t="str">
        <x:v>none</x:v>
      </x:c>
      <x:c r="L475" s="14" t="n">
        <x:f>IF(G475&lt;=I475,0,MAX(0,L474)+IF(E475="via",MAX(0,G475-MAX(F475,I475)),0))</x:f>
        <x:v>2.2840000000000003</x:v>
      </x:c>
    </x:row>
    <x:row r="476" ht="42" customHeight="1">
      <x:c r="A476" s="12" t="str">
        <x:v>DP2-B</x:v>
      </x:c>
      <x:c r="B476" s="12" t="str">
        <x:v>U10</x:v>
      </x:c>
      <x:c r="C476" s="12" t="str">
        <x:v>terminal</x:v>
      </x:c>
      <x:c r="D476" s="12" t="str">
        <x:v>공통 목표 최종 상태와 전체 음성 준비</x:v>
      </x:c>
      <x:c r="E476" s="12" t="str">
        <x:v>via</x:v>
      </x:c>
      <x:c r="F476" s="13" t="n">
        <x:v>11.738</x:v>
      </x:c>
      <x:c r="G476" s="13" t="n">
        <x:v>11.738</x:v>
      </x:c>
      <x:c r="H476" s="13" t="n">
        <x:v>0</x:v>
      </x:c>
      <x:c r="I476" s="13" t="n">
        <x:v>0</x:v>
      </x:c>
      <x:c r="J476" s="12" t="str">
        <x:v>result_display, response_audio, intent_audio, first_audio_output</x:v>
      </x:c>
      <x:c r="K476" s="12" t="str">
        <x:v>none</x:v>
      </x:c>
      <x:c r="L476" s="13" t="n">
        <x:f>IF(G476&lt;=I476,0,MAX(0,L470,L471,L472,L474)+IF(E476="via",MAX(0,G476-MAX(F476,I476)),0))</x:f>
        <x:v>3.7380000000000004</x:v>
      </x:c>
    </x:row>
    <x:row r="477" ht="42" customHeight="1">
      <x:c r="A477" s="7" t="str">
        <x:v>DP2-B</x:v>
      </x:c>
      <x:c r="B477" s="7" t="str">
        <x:v>U11</x:v>
      </x:c>
      <x:c r="C477" s="7" t="str">
        <x:v>input_end</x:v>
      </x:c>
      <x:c r="D477" s="7" t="str">
        <x:v>사용자 입력 종료</x:v>
      </x:c>
      <x:c r="E477" s="7" t="str">
        <x:v>external</x:v>
      </x:c>
      <x:c r="F477" s="14" t="n">
        <x:v>0</x:v>
      </x:c>
      <x:c r="G477" s="14" t="n">
        <x:v>0</x:v>
      </x:c>
      <x:c r="H477" s="14" t="n">
        <x:v>0</x:v>
      </x:c>
      <x:c r="I477" s="14" t="n">
        <x:v>0</x:v>
      </x:c>
      <x:c r="J477" s="7" t="str"/>
      <x:c r="K477" s="7" t="str">
        <x:v>none</x:v>
      </x:c>
      <x:c r="L477" s="14" t="n">
        <x:f>IF(G477&lt;=I477,0,MAX(0)+IF(E477="via",MAX(0,G477-MAX(F477,I477)),0))</x:f>
        <x:v>0</x:v>
      </x:c>
    </x:row>
    <x:row r="478" ht="42" customHeight="1">
      <x:c r="A478" s="12" t="str">
        <x:v>DP2-B</x:v>
      </x:c>
      <x:c r="B478" s="12" t="str">
        <x:v>U11</x:v>
      </x:c>
      <x:c r="C478" s="12" t="str">
        <x:v>intake</x:v>
      </x:c>
      <x:c r="D478" s="12" t="str">
        <x:v>입력 확정</x:v>
      </x:c>
      <x:c r="E478" s="12" t="str">
        <x:v>via</x:v>
      </x:c>
      <x:c r="F478" s="13" t="n">
        <x:v>0</x:v>
      </x:c>
      <x:c r="G478" s="13" t="n">
        <x:v>0.3</x:v>
      </x:c>
      <x:c r="H478" s="13" t="n">
        <x:v>0.3</x:v>
      </x:c>
      <x:c r="I478" s="13" t="n">
        <x:v>0</x:v>
      </x:c>
      <x:c r="J478" s="12" t="str">
        <x:v>input_end</x:v>
      </x:c>
      <x:c r="K478" s="12" t="str">
        <x:v>none</x:v>
      </x:c>
      <x:c r="L478" s="13" t="n">
        <x:f>IF(G478&lt;=I478,0,MAX(0,L477)+IF(E478="via",MAX(0,G478-MAX(F478,I478)),0))</x:f>
        <x:v>0.3</x:v>
      </x:c>
    </x:row>
    <x:row r="479" ht="42" customHeight="1">
      <x:c r="A479" s="7" t="str">
        <x:v>DP2-B</x:v>
      </x:c>
      <x:c r="B479" s="7" t="str">
        <x:v>U11</x:v>
      </x:c>
      <x:c r="C479" s="7" t="str">
        <x:v>read</x:v>
      </x:c>
      <x:c r="D479" s="7" t="str">
        <x:v>공통 허용 원본 조회</x:v>
      </x:c>
      <x:c r="E479" s="7" t="str">
        <x:v>via</x:v>
      </x:c>
      <x:c r="F479" s="14" t="n">
        <x:v>0.3</x:v>
      </x:c>
      <x:c r="G479" s="14" t="n">
        <x:v>0.38</x:v>
      </x:c>
      <x:c r="H479" s="14" t="n">
        <x:v>0.08</x:v>
      </x:c>
      <x:c r="I479" s="14" t="n">
        <x:v>0</x:v>
      </x:c>
      <x:c r="J479" s="7" t="str">
        <x:v>intake</x:v>
      </x:c>
      <x:c r="K479" s="7" t="str">
        <x:v>none</x:v>
      </x:c>
      <x:c r="L479" s="14" t="n">
        <x:f>IF(G479&lt;=I479,0,MAX(0,L478)+IF(E479="via",MAX(0,G479-MAX(F479,I479)),0))</x:f>
        <x:v>0.38</x:v>
      </x:c>
    </x:row>
    <x:row r="480" ht="42" customHeight="1">
      <x:c r="A480" s="12" t="str">
        <x:v>DP2-B</x:v>
      </x:c>
      <x:c r="B480" s="12" t="str">
        <x:v>U11</x:v>
      </x:c>
      <x:c r="C480" s="12" t="str">
        <x:v>meaning</x:v>
      </x:c>
      <x:c r="D480" s="12" t="str">
        <x:v>최초 요청 의미 채택 packet 생성</x:v>
      </x:c>
      <x:c r="E480" s="12" t="str">
        <x:v>via</x:v>
      </x:c>
      <x:c r="F480" s="13" t="n">
        <x:v>0.38</x:v>
      </x:c>
      <x:c r="G480" s="13" t="n">
        <x:v>2.08</x:v>
      </x:c>
      <x:c r="H480" s="13" t="n">
        <x:v>1.7</x:v>
      </x:c>
      <x:c r="I480" s="13" t="n">
        <x:v>0</x:v>
      </x:c>
      <x:c r="J480" s="12" t="str">
        <x:v>read</x:v>
      </x:c>
      <x:c r="K480" s="12" t="str">
        <x:v>semantic</x:v>
      </x:c>
      <x:c r="L480" s="13" t="n">
        <x:f>IF(G480&lt;=I480,0,MAX(0,L479)+IF(E480="via",MAX(0,G480-MAX(F480,I480)),0))</x:f>
        <x:v>2.08</x:v>
      </x:c>
    </x:row>
    <x:row r="481" ht="42" customHeight="1">
      <x:c r="A481" s="7" t="str">
        <x:v>DP2-B</x:v>
      </x:c>
      <x:c r="B481" s="7" t="str">
        <x:v>U11</x:v>
      </x:c>
      <x:c r="C481" s="7" t="str">
        <x:v>adopt</x:v>
      </x:c>
      <x:c r="D481" s="7" t="str">
        <x:v>현재 revision과 권한 검사 및 채택</x:v>
      </x:c>
      <x:c r="E481" s="7" t="str">
        <x:v>via</x:v>
      </x:c>
      <x:c r="F481" s="14" t="n">
        <x:v>2.08</x:v>
      </x:c>
      <x:c r="G481" s="14" t="n">
        <x:v>2.11</x:v>
      </x:c>
      <x:c r="H481" s="14" t="n">
        <x:v>0.03</x:v>
      </x:c>
      <x:c r="I481" s="14" t="n">
        <x:v>0</x:v>
      </x:c>
      <x:c r="J481" s="7" t="str">
        <x:v>meaning</x:v>
      </x:c>
      <x:c r="K481" s="7" t="str">
        <x:v>none</x:v>
      </x:c>
      <x:c r="L481" s="14" t="n">
        <x:f>IF(G481&lt;=I481,0,MAX(0,L480)+IF(E481="via",MAX(0,G481-MAX(F481,I481)),0))</x:f>
        <x:v>2.11</x:v>
      </x:c>
    </x:row>
    <x:row r="482" ht="42" customHeight="1">
      <x:c r="A482" s="12" t="str">
        <x:v>DP2-B</x:v>
      </x:c>
      <x:c r="B482" s="12" t="str">
        <x:v>U11</x:v>
      </x:c>
      <x:c r="C482" s="12" t="str">
        <x:v>first_display</x:v>
      </x:c>
      <x:c r="D482" s="12" t="str">
        <x:v>첫 구체적 채택 내용 화면 표시</x:v>
      </x:c>
      <x:c r="E482" s="12" t="str">
        <x:v>via</x:v>
      </x:c>
      <x:c r="F482" s="13" t="n">
        <x:v>2.11</x:v>
      </x:c>
      <x:c r="G482" s="13" t="n">
        <x:v>2.15</x:v>
      </x:c>
      <x:c r="H482" s="13" t="n">
        <x:v>0.04</x:v>
      </x:c>
      <x:c r="I482" s="13" t="n">
        <x:v>0</x:v>
      </x:c>
      <x:c r="J482" s="12" t="str">
        <x:v>adopt</x:v>
      </x:c>
      <x:c r="K482" s="12" t="str">
        <x:v>none</x:v>
      </x:c>
      <x:c r="L482" s="13" t="n">
        <x:f>IF(G482&lt;=I482,0,MAX(0,L481)+IF(E482="via",MAX(0,G482-MAX(F482,I482)),0))</x:f>
        <x:v>2.15</x:v>
      </x:c>
    </x:row>
    <x:row r="483" ht="42" customHeight="1">
      <x:c r="A483" s="7" t="str">
        <x:v>DP2-B</x:v>
      </x:c>
      <x:c r="B483" s="7" t="str">
        <x:v>U11</x:v>
      </x:c>
      <x:c r="C483" s="7" t="str">
        <x:v>agent_ingress</x:v>
      </x:c>
      <x:c r="D483" s="7" t="str">
        <x:v>Agent 요청 전송</x:v>
      </x:c>
      <x:c r="E483" s="7" t="str">
        <x:v>via</x:v>
      </x:c>
      <x:c r="F483" s="14" t="n">
        <x:v>2.11</x:v>
      </x:c>
      <x:c r="G483" s="14" t="n">
        <x:v>2.15</x:v>
      </x:c>
      <x:c r="H483" s="14" t="n">
        <x:v>0.04</x:v>
      </x:c>
      <x:c r="I483" s="14" t="n">
        <x:v>0</x:v>
      </x:c>
      <x:c r="J483" s="7" t="str">
        <x:v>adopt</x:v>
      </x:c>
      <x:c r="K483" s="7" t="str">
        <x:v>none</x:v>
      </x:c>
      <x:c r="L483" s="14" t="n">
        <x:f>IF(G483&lt;=I483,0,MAX(0,L481)+IF(E483="via",MAX(0,G483-MAX(F483,I483)),0))</x:f>
        <x:v>2.15</x:v>
      </x:c>
    </x:row>
    <x:row r="484" ht="42" customHeight="1">
      <x:c r="A484" s="12" t="str">
        <x:v>DP2-B</x:v>
      </x:c>
      <x:c r="B484" s="12" t="str">
        <x:v>U11</x:v>
      </x:c>
      <x:c r="C484" s="12" t="str">
        <x:v>agent_result</x:v>
      </x:c>
      <x:c r="D484" s="12" t="str">
        <x:v>외부 Agent 업무</x:v>
      </x:c>
      <x:c r="E484" s="12" t="str">
        <x:v>external</x:v>
      </x:c>
      <x:c r="F484" s="13" t="n">
        <x:v>2.15</x:v>
      </x:c>
      <x:c r="G484" s="13" t="n">
        <x:v>10.15</x:v>
      </x:c>
      <x:c r="H484" s="13" t="n">
        <x:v>8</x:v>
      </x:c>
      <x:c r="I484" s="13" t="n">
        <x:v>0</x:v>
      </x:c>
      <x:c r="J484" s="12" t="str">
        <x:v>agent_ingress</x:v>
      </x:c>
      <x:c r="K484" s="12" t="str">
        <x:v>none</x:v>
      </x:c>
      <x:c r="L484" s="13" t="n">
        <x:f>IF(G484&lt;=I484,0,MAX(0,L483)+IF(E484="via",MAX(0,G484-MAX(F484,I484)),0))</x:f>
        <x:v>2.15</x:v>
      </x:c>
    </x:row>
    <x:row r="485" ht="42" customHeight="1">
      <x:c r="A485" s="7" t="str">
        <x:v>DP2-B</x:v>
      </x:c>
      <x:c r="B485" s="7" t="str">
        <x:v>U11</x:v>
      </x:c>
      <x:c r="C485" s="7" t="str">
        <x:v>result_display</x:v>
      </x:c>
      <x:c r="D485" s="7" t="str">
        <x:v>최종 결과 상세 표시</x:v>
      </x:c>
      <x:c r="E485" s="7" t="str">
        <x:v>via</x:v>
      </x:c>
      <x:c r="F485" s="14" t="n">
        <x:v>10.15</x:v>
      </x:c>
      <x:c r="G485" s="14" t="n">
        <x:v>10.19</x:v>
      </x:c>
      <x:c r="H485" s="14" t="n">
        <x:v>0.04</x:v>
      </x:c>
      <x:c r="I485" s="14" t="n">
        <x:v>0</x:v>
      </x:c>
      <x:c r="J485" s="7" t="str">
        <x:v>agent_result</x:v>
      </x:c>
      <x:c r="K485" s="7" t="str">
        <x:v>none</x:v>
      </x:c>
      <x:c r="L485" s="14" t="n">
        <x:f>IF(G485&lt;=I485,0,MAX(0,L484)+IF(E485="via",MAX(0,G485-MAX(F485,I485)),0))</x:f>
        <x:v>2.189999999999999</x:v>
      </x:c>
    </x:row>
    <x:row r="486" ht="42" customHeight="1">
      <x:c r="A486" s="12" t="str">
        <x:v>DP2-B</x:v>
      </x:c>
      <x:c r="B486" s="12" t="str">
        <x:v>U11</x:v>
      </x:c>
      <x:c r="C486" s="12" t="str">
        <x:v>response_audio</x:v>
      </x:c>
      <x:c r="D486" s="12" t="str">
        <x:v>선택한 응답 음성 생성</x:v>
      </x:c>
      <x:c r="E486" s="12" t="str">
        <x:v>via</x:v>
      </x:c>
      <x:c r="F486" s="13" t="n">
        <x:v>10.15</x:v>
      </x:c>
      <x:c r="G486" s="13" t="n">
        <x:v>12.038</x:v>
      </x:c>
      <x:c r="H486" s="13" t="n">
        <x:v>1.888</x:v>
      </x:c>
      <x:c r="I486" s="13" t="n">
        <x:v>0</x:v>
      </x:c>
      <x:c r="J486" s="12" t="str">
        <x:v>agent_result</x:v>
      </x:c>
      <x:c r="K486" s="12" t="str">
        <x:v>speech</x:v>
      </x:c>
      <x:c r="L486" s="13" t="n">
        <x:f>IF(G486&lt;=I486,0,MAX(0,L484)+IF(E486="via",MAX(0,G486-MAX(F486,I486)),0))</x:f>
        <x:v>4.038</x:v>
      </x:c>
    </x:row>
    <x:row r="487" ht="42" customHeight="1">
      <x:c r="A487" s="7" t="str">
        <x:v>DP2-B</x:v>
      </x:c>
      <x:c r="B487" s="7" t="str">
        <x:v>U11</x:v>
      </x:c>
      <x:c r="C487" s="7" t="str">
        <x:v>intent_audio</x:v>
      </x:c>
      <x:c r="D487" s="7" t="str">
        <x:v>채택한 구체적 수행 의도의 짧은 음성</x:v>
      </x:c>
      <x:c r="E487" s="7" t="str">
        <x:v>via</x:v>
      </x:c>
      <x:c r="F487" s="14" t="n">
        <x:v>2.11</x:v>
      </x:c>
      <x:c r="G487" s="14" t="n">
        <x:v>3.2439999999999998</x:v>
      </x:c>
      <x:c r="H487" s="14" t="n">
        <x:v>1.134</x:v>
      </x:c>
      <x:c r="I487" s="14" t="n">
        <x:v>0</x:v>
      </x:c>
      <x:c r="J487" s="7" t="str">
        <x:v>adopt</x:v>
      </x:c>
      <x:c r="K487" s="7" t="str">
        <x:v>speech</x:v>
      </x:c>
      <x:c r="L487" s="14" t="n">
        <x:f>IF(G487&lt;=I487,0,MAX(0,L481)+IF(E487="via",MAX(0,G487-MAX(F487,I487)),0))</x:f>
        <x:v>3.2439999999999998</x:v>
      </x:c>
    </x:row>
    <x:row r="488" ht="42" customHeight="1">
      <x:c r="A488" s="12" t="str">
        <x:v>DP2-B</x:v>
      </x:c>
      <x:c r="B488" s="12" t="str">
        <x:v>U11</x:v>
      </x:c>
      <x:c r="C488" s="12" t="str">
        <x:v>first_chunk</x:v>
      </x:c>
      <x:c r="D488" s="12" t="str">
        <x:v>같은 생성 job의 유효 첫 chunk 관측</x:v>
      </x:c>
      <x:c r="E488" s="12" t="str">
        <x:v>via</x:v>
      </x:c>
      <x:c r="F488" s="13" t="n">
        <x:v>2.11</x:v>
      </x:c>
      <x:c r="G488" s="13" t="n">
        <x:v>2.544</x:v>
      </x:c>
      <x:c r="H488" s="13" t="n">
        <x:v>0.434</x:v>
      </x:c>
      <x:c r="I488" s="13" t="n">
        <x:v>0</x:v>
      </x:c>
      <x:c r="J488" s="12" t="str">
        <x:v>adopt</x:v>
      </x:c>
      <x:c r="K488" s="12" t="str">
        <x:v>none</x:v>
      </x:c>
      <x:c r="L488" s="13" t="n">
        <x:f>IF(G488&lt;=I488,0,MAX(0,L481)+IF(E488="via",MAX(0,G488-MAX(F488,I488)),0))</x:f>
        <x:v>2.544</x:v>
      </x:c>
    </x:row>
    <x:row r="489" ht="42" customHeight="1">
      <x:c r="A489" s="7" t="str">
        <x:v>DP2-B</x:v>
      </x:c>
      <x:c r="B489" s="7" t="str">
        <x:v>U11</x:v>
      </x:c>
      <x:c r="C489" s="7" t="str">
        <x:v>first_audio_output</x:v>
      </x:c>
      <x:c r="D489" s="7" t="str">
        <x:v>공통 장치의 첫 음성 출력</x:v>
      </x:c>
      <x:c r="E489" s="7" t="str">
        <x:v>via</x:v>
      </x:c>
      <x:c r="F489" s="14" t="n">
        <x:v>2.544</x:v>
      </x:c>
      <x:c r="G489" s="14" t="n">
        <x:v>2.584</x:v>
      </x:c>
      <x:c r="H489" s="14" t="n">
        <x:v>0.04</x:v>
      </x:c>
      <x:c r="I489" s="14" t="n">
        <x:v>0</x:v>
      </x:c>
      <x:c r="J489" s="7" t="str">
        <x:v>adopt, first_chunk</x:v>
      </x:c>
      <x:c r="K489" s="7" t="str">
        <x:v>none</x:v>
      </x:c>
      <x:c r="L489" s="14" t="n">
        <x:f>IF(G489&lt;=I489,0,MAX(0,L481,L488)+IF(E489="via",MAX(0,G489-MAX(F489,I489)),0))</x:f>
        <x:v>2.584</x:v>
      </x:c>
    </x:row>
    <x:row r="490" ht="42" customHeight="1">
      <x:c r="A490" s="12" t="str">
        <x:v>DP2-B</x:v>
      </x:c>
      <x:c r="B490" s="12" t="str">
        <x:v>U11</x:v>
      </x:c>
      <x:c r="C490" s="12" t="str">
        <x:v>next_speech_selection</x:v>
      </x:c>
      <x:c r="D490" s="12" t="str">
        <x:v>현재 발화 재생 후 다음 응답 선택</x:v>
      </x:c>
      <x:c r="E490" s="12" t="str">
        <x:v>external</x:v>
      </x:c>
      <x:c r="F490" s="13" t="n">
        <x:v>2.584</x:v>
      </x:c>
      <x:c r="G490" s="13" t="n">
        <x:v>5.584</x:v>
      </x:c>
      <x:c r="H490" s="13" t="n">
        <x:v>3</x:v>
      </x:c>
      <x:c r="I490" s="13" t="n">
        <x:v>0</x:v>
      </x:c>
      <x:c r="J490" s="12" t="str">
        <x:v>first_audio_output</x:v>
      </x:c>
      <x:c r="K490" s="12" t="str">
        <x:v>none</x:v>
      </x:c>
      <x:c r="L490" s="13" t="n">
        <x:f>IF(G490&lt;=I490,0,MAX(0,L489)+IF(E490="via",MAX(0,G490-MAX(F490,I490)),0))</x:f>
        <x:v>2.584</x:v>
      </x:c>
    </x:row>
    <x:row r="491" ht="42" customHeight="1">
      <x:c r="A491" s="7" t="str">
        <x:v>DP2-B</x:v>
      </x:c>
      <x:c r="B491" s="7" t="str">
        <x:v>U11</x:v>
      </x:c>
      <x:c r="C491" s="7" t="str">
        <x:v>terminal</x:v>
      </x:c>
      <x:c r="D491" s="7" t="str">
        <x:v>공통 목표 최종 상태와 전체 음성 준비</x:v>
      </x:c>
      <x:c r="E491" s="7" t="str">
        <x:v>via</x:v>
      </x:c>
      <x:c r="F491" s="14" t="n">
        <x:v>12.038</x:v>
      </x:c>
      <x:c r="G491" s="14" t="n">
        <x:v>12.038</x:v>
      </x:c>
      <x:c r="H491" s="14" t="n">
        <x:v>0</x:v>
      </x:c>
      <x:c r="I491" s="14" t="n">
        <x:v>0</x:v>
      </x:c>
      <x:c r="J491" s="7" t="str">
        <x:v>result_display, response_audio, intent_audio, first_audio_output</x:v>
      </x:c>
      <x:c r="K491" s="7" t="str">
        <x:v>none</x:v>
      </x:c>
      <x:c r="L491" s="14" t="n">
        <x:f>IF(G491&lt;=I491,0,MAX(0,L485,L486,L487,L489)+IF(E491="via",MAX(0,G491-MAX(F491,I491)),0))</x:f>
        <x:v>4.038</x:v>
      </x:c>
    </x:row>
    <x:row r="492" ht="42" customHeight="1">
      <x:c r="A492" s="12" t="str">
        <x:v>DP2-B</x:v>
      </x:c>
      <x:c r="B492" s="12" t="str">
        <x:v>U12</x:v>
      </x:c>
      <x:c r="C492" s="12" t="str">
        <x:v>input_end</x:v>
      </x:c>
      <x:c r="D492" s="12" t="str">
        <x:v>사용자 입력 종료</x:v>
      </x:c>
      <x:c r="E492" s="12" t="str">
        <x:v>external</x:v>
      </x:c>
      <x:c r="F492" s="13" t="n">
        <x:v>0</x:v>
      </x:c>
      <x:c r="G492" s="13" t="n">
        <x:v>0</x:v>
      </x:c>
      <x:c r="H492" s="13" t="n">
        <x:v>0</x:v>
      </x:c>
      <x:c r="I492" s="13" t="n">
        <x:v>0</x:v>
      </x:c>
      <x:c r="J492" s="12" t="str"/>
      <x:c r="K492" s="12" t="str">
        <x:v>none</x:v>
      </x:c>
      <x:c r="L492" s="13" t="n">
        <x:f>IF(G492&lt;=I492,0,MAX(0)+IF(E492="via",MAX(0,G492-MAX(F492,I492)),0))</x:f>
        <x:v>0</x:v>
      </x:c>
    </x:row>
    <x:row r="493" ht="42" customHeight="1">
      <x:c r="A493" s="7" t="str">
        <x:v>DP2-B</x:v>
      </x:c>
      <x:c r="B493" s="7" t="str">
        <x:v>U12</x:v>
      </x:c>
      <x:c r="C493" s="7" t="str">
        <x:v>intake</x:v>
      </x:c>
      <x:c r="D493" s="7" t="str">
        <x:v>입력 확정</x:v>
      </x:c>
      <x:c r="E493" s="7" t="str">
        <x:v>via</x:v>
      </x:c>
      <x:c r="F493" s="14" t="n">
        <x:v>0</x:v>
      </x:c>
      <x:c r="G493" s="14" t="n">
        <x:v>0.3</x:v>
      </x:c>
      <x:c r="H493" s="14" t="n">
        <x:v>0.3</x:v>
      </x:c>
      <x:c r="I493" s="14" t="n">
        <x:v>0</x:v>
      </x:c>
      <x:c r="J493" s="7" t="str">
        <x:v>input_end</x:v>
      </x:c>
      <x:c r="K493" s="7" t="str">
        <x:v>none</x:v>
      </x:c>
      <x:c r="L493" s="14" t="n">
        <x:f>IF(G493&lt;=I493,0,MAX(0,L492)+IF(E493="via",MAX(0,G493-MAX(F493,I493)),0))</x:f>
        <x:v>0.3</x:v>
      </x:c>
    </x:row>
    <x:row r="494" ht="42" customHeight="1">
      <x:c r="A494" s="12" t="str">
        <x:v>DP2-B</x:v>
      </x:c>
      <x:c r="B494" s="12" t="str">
        <x:v>U12</x:v>
      </x:c>
      <x:c r="C494" s="12" t="str">
        <x:v>read</x:v>
      </x:c>
      <x:c r="D494" s="12" t="str">
        <x:v>공통 허용 원본 조회</x:v>
      </x:c>
      <x:c r="E494" s="12" t="str">
        <x:v>via</x:v>
      </x:c>
      <x:c r="F494" s="13" t="n">
        <x:v>0.3</x:v>
      </x:c>
      <x:c r="G494" s="13" t="n">
        <x:v>0.38</x:v>
      </x:c>
      <x:c r="H494" s="13" t="n">
        <x:v>0.08</x:v>
      </x:c>
      <x:c r="I494" s="13" t="n">
        <x:v>0</x:v>
      </x:c>
      <x:c r="J494" s="12" t="str">
        <x:v>intake</x:v>
      </x:c>
      <x:c r="K494" s="12" t="str">
        <x:v>none</x:v>
      </x:c>
      <x:c r="L494" s="13" t="n">
        <x:f>IF(G494&lt;=I494,0,MAX(0,L493)+IF(E494="via",MAX(0,G494-MAX(F494,I494)),0))</x:f>
        <x:v>0.38</x:v>
      </x:c>
    </x:row>
    <x:row r="495" ht="42" customHeight="1">
      <x:c r="A495" s="7" t="str">
        <x:v>DP2-B</x:v>
      </x:c>
      <x:c r="B495" s="7" t="str">
        <x:v>U12</x:v>
      </x:c>
      <x:c r="C495" s="7" t="str">
        <x:v>pre_raw</x:v>
      </x:c>
      <x:c r="D495" s="7" t="str">
        <x:v>선행 원본 화면 해석</x:v>
      </x:c>
      <x:c r="E495" s="7" t="str">
        <x:v>via</x:v>
      </x:c>
      <x:c r="F495" s="14" t="n">
        <x:v>-12</x:v>
      </x:c>
      <x:c r="G495" s="14" t="n">
        <x:v>-10.6</x:v>
      </x:c>
      <x:c r="H495" s="14" t="n">
        <x:v>1.4000000000000001</x:v>
      </x:c>
      <x:c r="I495" s="14" t="n">
        <x:v>0</x:v>
      </x:c>
      <x:c r="J495" s="7" t="str"/>
      <x:c r="K495" s="7" t="str">
        <x:v>semantic</x:v>
      </x:c>
      <x:c r="L495" s="14" t="n">
        <x:f>IF(G495&lt;=I495,0,MAX(0)+IF(E495="via",MAX(0,G495-MAX(F495,I495)),0))</x:f>
        <x:v>0</x:v>
      </x:c>
    </x:row>
    <x:row r="496" ht="42" customHeight="1">
      <x:c r="A496" s="12" t="str">
        <x:v>DP2-B</x:v>
      </x:c>
      <x:c r="B496" s="12" t="str">
        <x:v>U12</x:v>
      </x:c>
      <x:c r="C496" s="12" t="str">
        <x:v>reuse_screen</x:v>
      </x:c>
      <x:c r="D496" s="12" t="str">
        <x:v>이미 확정한 화면 대상 재사용</x:v>
      </x:c>
      <x:c r="E496" s="12" t="str">
        <x:v>via</x:v>
      </x:c>
      <x:c r="F496" s="13" t="n">
        <x:v>0.38</x:v>
      </x:c>
      <x:c r="G496" s="13" t="n">
        <x:v>0.46</x:v>
      </x:c>
      <x:c r="H496" s="13" t="n">
        <x:v>0.08</x:v>
      </x:c>
      <x:c r="I496" s="13" t="n">
        <x:v>0</x:v>
      </x:c>
      <x:c r="J496" s="12" t="str">
        <x:v>read, pre_raw</x:v>
      </x:c>
      <x:c r="K496" s="12" t="str">
        <x:v>none</x:v>
      </x:c>
      <x:c r="L496" s="13" t="n">
        <x:f>IF(G496&lt;=I496,0,MAX(0,L494,L495)+IF(E496="via",MAX(0,G496-MAX(F496,I496)),0))</x:f>
        <x:v>0.46</x:v>
      </x:c>
    </x:row>
    <x:row r="497" ht="42" customHeight="1">
      <x:c r="A497" s="7" t="str">
        <x:v>DP2-B</x:v>
      </x:c>
      <x:c r="B497" s="7" t="str">
        <x:v>U12</x:v>
      </x:c>
      <x:c r="C497" s="7" t="str">
        <x:v>meaning</x:v>
      </x:c>
      <x:c r="D497" s="7" t="str">
        <x:v>최초 요청 의미 채택 packet 생성</x:v>
      </x:c>
      <x:c r="E497" s="7" t="str">
        <x:v>via</x:v>
      </x:c>
      <x:c r="F497" s="14" t="n">
        <x:v>0.46</x:v>
      </x:c>
      <x:c r="G497" s="14" t="n">
        <x:v>1.56</x:v>
      </x:c>
      <x:c r="H497" s="14" t="n">
        <x:v>1.1</x:v>
      </x:c>
      <x:c r="I497" s="14" t="n">
        <x:v>0</x:v>
      </x:c>
      <x:c r="J497" s="7" t="str">
        <x:v>reuse_screen</x:v>
      </x:c>
      <x:c r="K497" s="7" t="str">
        <x:v>semantic</x:v>
      </x:c>
      <x:c r="L497" s="14" t="n">
        <x:f>IF(G497&lt;=I497,0,MAX(0,L496)+IF(E497="via",MAX(0,G497-MAX(F497,I497)),0))</x:f>
        <x:v>1.56</x:v>
      </x:c>
    </x:row>
    <x:row r="498" ht="42" customHeight="1">
      <x:c r="A498" s="12" t="str">
        <x:v>DP2-B</x:v>
      </x:c>
      <x:c r="B498" s="12" t="str">
        <x:v>U12</x:v>
      </x:c>
      <x:c r="C498" s="12" t="str">
        <x:v>adopt</x:v>
      </x:c>
      <x:c r="D498" s="12" t="str">
        <x:v>현재 revision과 권한 검사 및 채택</x:v>
      </x:c>
      <x:c r="E498" s="12" t="str">
        <x:v>via</x:v>
      </x:c>
      <x:c r="F498" s="13" t="n">
        <x:v>1.56</x:v>
      </x:c>
      <x:c r="G498" s="13" t="n">
        <x:v>1.59</x:v>
      </x:c>
      <x:c r="H498" s="13" t="n">
        <x:v>0.03</x:v>
      </x:c>
      <x:c r="I498" s="13" t="n">
        <x:v>0</x:v>
      </x:c>
      <x:c r="J498" s="12" t="str">
        <x:v>meaning</x:v>
      </x:c>
      <x:c r="K498" s="12" t="str">
        <x:v>none</x:v>
      </x:c>
      <x:c r="L498" s="13" t="n">
        <x:f>IF(G498&lt;=I498,0,MAX(0,L497)+IF(E498="via",MAX(0,G498-MAX(F498,I498)),0))</x:f>
        <x:v>1.59</x:v>
      </x:c>
    </x:row>
    <x:row r="499" ht="42" customHeight="1">
      <x:c r="A499" s="7" t="str">
        <x:v>DP2-B</x:v>
      </x:c>
      <x:c r="B499" s="7" t="str">
        <x:v>U12</x:v>
      </x:c>
      <x:c r="C499" s="7" t="str">
        <x:v>first_display</x:v>
      </x:c>
      <x:c r="D499" s="7" t="str">
        <x:v>첫 구체적 채택 내용 화면 표시</x:v>
      </x:c>
      <x:c r="E499" s="7" t="str">
        <x:v>via</x:v>
      </x:c>
      <x:c r="F499" s="14" t="n">
        <x:v>1.59</x:v>
      </x:c>
      <x:c r="G499" s="14" t="n">
        <x:v>1.6300000000000001</x:v>
      </x:c>
      <x:c r="H499" s="14" t="n">
        <x:v>0.04</x:v>
      </x:c>
      <x:c r="I499" s="14" t="n">
        <x:v>0</x:v>
      </x:c>
      <x:c r="J499" s="7" t="str">
        <x:v>adopt</x:v>
      </x:c>
      <x:c r="K499" s="7" t="str">
        <x:v>none</x:v>
      </x:c>
      <x:c r="L499" s="14" t="n">
        <x:f>IF(G499&lt;=I499,0,MAX(0,L498)+IF(E499="via",MAX(0,G499-MAX(F499,I499)),0))</x:f>
        <x:v>1.6300000000000001</x:v>
      </x:c>
    </x:row>
    <x:row r="500" ht="42" customHeight="1">
      <x:c r="A500" s="12" t="str">
        <x:v>DP2-B</x:v>
      </x:c>
      <x:c r="B500" s="12" t="str">
        <x:v>U12</x:v>
      </x:c>
      <x:c r="C500" s="12" t="str">
        <x:v>agent_ingress</x:v>
      </x:c>
      <x:c r="D500" s="12" t="str">
        <x:v>Agent 요청 전송</x:v>
      </x:c>
      <x:c r="E500" s="12" t="str">
        <x:v>via</x:v>
      </x:c>
      <x:c r="F500" s="13" t="n">
        <x:v>1.59</x:v>
      </x:c>
      <x:c r="G500" s="13" t="n">
        <x:v>1.6300000000000001</x:v>
      </x:c>
      <x:c r="H500" s="13" t="n">
        <x:v>0.04</x:v>
      </x:c>
      <x:c r="I500" s="13" t="n">
        <x:v>0</x:v>
      </x:c>
      <x:c r="J500" s="12" t="str">
        <x:v>adopt</x:v>
      </x:c>
      <x:c r="K500" s="12" t="str">
        <x:v>none</x:v>
      </x:c>
      <x:c r="L500" s="13" t="n">
        <x:f>IF(G500&lt;=I500,0,MAX(0,L498)+IF(E500="via",MAX(0,G500-MAX(F500,I500)),0))</x:f>
        <x:v>1.6300000000000001</x:v>
      </x:c>
    </x:row>
    <x:row r="501" ht="42" customHeight="1">
      <x:c r="A501" s="7" t="str">
        <x:v>DP2-B</x:v>
      </x:c>
      <x:c r="B501" s="7" t="str">
        <x:v>U12</x:v>
      </x:c>
      <x:c r="C501" s="7" t="str">
        <x:v>agent_result</x:v>
      </x:c>
      <x:c r="D501" s="7" t="str">
        <x:v>외부 Agent 업무</x:v>
      </x:c>
      <x:c r="E501" s="7" t="str">
        <x:v>external</x:v>
      </x:c>
      <x:c r="F501" s="14" t="n">
        <x:v>1.6300000000000001</x:v>
      </x:c>
      <x:c r="G501" s="14" t="n">
        <x:v>9.63</x:v>
      </x:c>
      <x:c r="H501" s="14" t="n">
        <x:v>8</x:v>
      </x:c>
      <x:c r="I501" s="14" t="n">
        <x:v>0</x:v>
      </x:c>
      <x:c r="J501" s="7" t="str">
        <x:v>agent_ingress</x:v>
      </x:c>
      <x:c r="K501" s="7" t="str">
        <x:v>none</x:v>
      </x:c>
      <x:c r="L501" s="14" t="n">
        <x:f>IF(G501&lt;=I501,0,MAX(0,L500)+IF(E501="via",MAX(0,G501-MAX(F501,I501)),0))</x:f>
        <x:v>1.6300000000000001</x:v>
      </x:c>
    </x:row>
    <x:row r="502" ht="42" customHeight="1">
      <x:c r="A502" s="12" t="str">
        <x:v>DP2-B</x:v>
      </x:c>
      <x:c r="B502" s="12" t="str">
        <x:v>U12</x:v>
      </x:c>
      <x:c r="C502" s="12" t="str">
        <x:v>result_display</x:v>
      </x:c>
      <x:c r="D502" s="12" t="str">
        <x:v>최종 결과 상세 표시</x:v>
      </x:c>
      <x:c r="E502" s="12" t="str">
        <x:v>via</x:v>
      </x:c>
      <x:c r="F502" s="13" t="n">
        <x:v>9.63</x:v>
      </x:c>
      <x:c r="G502" s="13" t="n">
        <x:v>9.67</x:v>
      </x:c>
      <x:c r="H502" s="13" t="n">
        <x:v>0.04</x:v>
      </x:c>
      <x:c r="I502" s="13" t="n">
        <x:v>0</x:v>
      </x:c>
      <x:c r="J502" s="12" t="str">
        <x:v>agent_result</x:v>
      </x:c>
      <x:c r="K502" s="12" t="str">
        <x:v>none</x:v>
      </x:c>
      <x:c r="L502" s="13" t="n">
        <x:f>IF(G502&lt;=I502,0,MAX(0,L501)+IF(E502="via",MAX(0,G502-MAX(F502,I502)),0))</x:f>
        <x:v>1.6699999999999993</x:v>
      </x:c>
    </x:row>
    <x:row r="503" ht="42" customHeight="1">
      <x:c r="A503" s="7" t="str">
        <x:v>DP2-B</x:v>
      </x:c>
      <x:c r="B503" s="7" t="str">
        <x:v>U12</x:v>
      </x:c>
      <x:c r="C503" s="7" t="str">
        <x:v>response_audio</x:v>
      </x:c>
      <x:c r="D503" s="7" t="str">
        <x:v>선택한 응답 음성 생성</x:v>
      </x:c>
      <x:c r="E503" s="7" t="str">
        <x:v>via</x:v>
      </x:c>
      <x:c r="F503" s="14" t="n">
        <x:v>9.63</x:v>
      </x:c>
      <x:c r="G503" s="14" t="n">
        <x:v>11.518</x:v>
      </x:c>
      <x:c r="H503" s="14" t="n">
        <x:v>1.888</x:v>
      </x:c>
      <x:c r="I503" s="14" t="n">
        <x:v>0</x:v>
      </x:c>
      <x:c r="J503" s="7" t="str">
        <x:v>agent_result</x:v>
      </x:c>
      <x:c r="K503" s="7" t="str">
        <x:v>speech</x:v>
      </x:c>
      <x:c r="L503" s="14" t="n">
        <x:f>IF(G503&lt;=I503,0,MAX(0,L501)+IF(E503="via",MAX(0,G503-MAX(F503,I503)),0))</x:f>
        <x:v>3.518</x:v>
      </x:c>
    </x:row>
    <x:row r="504" ht="42" customHeight="1">
      <x:c r="A504" s="12" t="str">
        <x:v>DP2-B</x:v>
      </x:c>
      <x:c r="B504" s="12" t="str">
        <x:v>U12</x:v>
      </x:c>
      <x:c r="C504" s="12" t="str">
        <x:v>intent_audio</x:v>
      </x:c>
      <x:c r="D504" s="12" t="str">
        <x:v>채택한 구체적 수행 의도의 짧은 음성</x:v>
      </x:c>
      <x:c r="E504" s="12" t="str">
        <x:v>via</x:v>
      </x:c>
      <x:c r="F504" s="13" t="n">
        <x:v>1.59</x:v>
      </x:c>
      <x:c r="G504" s="13" t="n">
        <x:v>2.724</x:v>
      </x:c>
      <x:c r="H504" s="13" t="n">
        <x:v>1.134</x:v>
      </x:c>
      <x:c r="I504" s="13" t="n">
        <x:v>0</x:v>
      </x:c>
      <x:c r="J504" s="12" t="str">
        <x:v>adopt</x:v>
      </x:c>
      <x:c r="K504" s="12" t="str">
        <x:v>speech</x:v>
      </x:c>
      <x:c r="L504" s="13" t="n">
        <x:f>IF(G504&lt;=I504,0,MAX(0,L498)+IF(E504="via",MAX(0,G504-MAX(F504,I504)),0))</x:f>
        <x:v>2.724</x:v>
      </x:c>
    </x:row>
    <x:row r="505" ht="42" customHeight="1">
      <x:c r="A505" s="7" t="str">
        <x:v>DP2-B</x:v>
      </x:c>
      <x:c r="B505" s="7" t="str">
        <x:v>U12</x:v>
      </x:c>
      <x:c r="C505" s="7" t="str">
        <x:v>first_chunk</x:v>
      </x:c>
      <x:c r="D505" s="7" t="str">
        <x:v>같은 생성 job의 유효 첫 chunk 관측</x:v>
      </x:c>
      <x:c r="E505" s="7" t="str">
        <x:v>via</x:v>
      </x:c>
      <x:c r="F505" s="14" t="n">
        <x:v>1.59</x:v>
      </x:c>
      <x:c r="G505" s="14" t="n">
        <x:v>2.024</x:v>
      </x:c>
      <x:c r="H505" s="14" t="n">
        <x:v>0.434</x:v>
      </x:c>
      <x:c r="I505" s="14" t="n">
        <x:v>0</x:v>
      </x:c>
      <x:c r="J505" s="7" t="str">
        <x:v>adopt</x:v>
      </x:c>
      <x:c r="K505" s="7" t="str">
        <x:v>none</x:v>
      </x:c>
      <x:c r="L505" s="14" t="n">
        <x:f>IF(G505&lt;=I505,0,MAX(0,L498)+IF(E505="via",MAX(0,G505-MAX(F505,I505)),0))</x:f>
        <x:v>2.024</x:v>
      </x:c>
    </x:row>
    <x:row r="506" ht="42" customHeight="1">
      <x:c r="A506" s="12" t="str">
        <x:v>DP2-B</x:v>
      </x:c>
      <x:c r="B506" s="12" t="str">
        <x:v>U12</x:v>
      </x:c>
      <x:c r="C506" s="12" t="str">
        <x:v>first_audio_output</x:v>
      </x:c>
      <x:c r="D506" s="12" t="str">
        <x:v>공통 장치의 첫 음성 출력</x:v>
      </x:c>
      <x:c r="E506" s="12" t="str">
        <x:v>via</x:v>
      </x:c>
      <x:c r="F506" s="13" t="n">
        <x:v>2.024</x:v>
      </x:c>
      <x:c r="G506" s="13" t="n">
        <x:v>2.064</x:v>
      </x:c>
      <x:c r="H506" s="13" t="n">
        <x:v>0.04</x:v>
      </x:c>
      <x:c r="I506" s="13" t="n">
        <x:v>0</x:v>
      </x:c>
      <x:c r="J506" s="12" t="str">
        <x:v>adopt, first_chunk</x:v>
      </x:c>
      <x:c r="K506" s="12" t="str">
        <x:v>none</x:v>
      </x:c>
      <x:c r="L506" s="13" t="n">
        <x:f>IF(G506&lt;=I506,0,MAX(0,L498,L505)+IF(E506="via",MAX(0,G506-MAX(F506,I506)),0))</x:f>
        <x:v>2.064</x:v>
      </x:c>
    </x:row>
    <x:row r="507" ht="42" customHeight="1">
      <x:c r="A507" s="7" t="str">
        <x:v>DP2-B</x:v>
      </x:c>
      <x:c r="B507" s="7" t="str">
        <x:v>U12</x:v>
      </x:c>
      <x:c r="C507" s="7" t="str">
        <x:v>next_speech_selection</x:v>
      </x:c>
      <x:c r="D507" s="7" t="str">
        <x:v>현재 발화 재생 후 다음 응답 선택</x:v>
      </x:c>
      <x:c r="E507" s="7" t="str">
        <x:v>external</x:v>
      </x:c>
      <x:c r="F507" s="14" t="n">
        <x:v>2.064</x:v>
      </x:c>
      <x:c r="G507" s="14" t="n">
        <x:v>5.064</x:v>
      </x:c>
      <x:c r="H507" s="14" t="n">
        <x:v>3</x:v>
      </x:c>
      <x:c r="I507" s="14" t="n">
        <x:v>0</x:v>
      </x:c>
      <x:c r="J507" s="7" t="str">
        <x:v>first_audio_output</x:v>
      </x:c>
      <x:c r="K507" s="7" t="str">
        <x:v>none</x:v>
      </x:c>
      <x:c r="L507" s="14" t="n">
        <x:f>IF(G507&lt;=I507,0,MAX(0,L506)+IF(E507="via",MAX(0,G507-MAX(F507,I507)),0))</x:f>
        <x:v>2.064</x:v>
      </x:c>
    </x:row>
    <x:row r="508" ht="42" customHeight="1">
      <x:c r="A508" s="12" t="str">
        <x:v>DP2-B</x:v>
      </x:c>
      <x:c r="B508" s="12" t="str">
        <x:v>U12</x:v>
      </x:c>
      <x:c r="C508" s="12" t="str">
        <x:v>terminal</x:v>
      </x:c>
      <x:c r="D508" s="12" t="str">
        <x:v>공통 목표 최종 상태와 전체 음성 준비</x:v>
      </x:c>
      <x:c r="E508" s="12" t="str">
        <x:v>via</x:v>
      </x:c>
      <x:c r="F508" s="13" t="n">
        <x:v>11.518</x:v>
      </x:c>
      <x:c r="G508" s="13" t="n">
        <x:v>11.518</x:v>
      </x:c>
      <x:c r="H508" s="13" t="n">
        <x:v>0</x:v>
      </x:c>
      <x:c r="I508" s="13" t="n">
        <x:v>0</x:v>
      </x:c>
      <x:c r="J508" s="12" t="str">
        <x:v>result_display, response_audio, intent_audio, first_audio_output</x:v>
      </x:c>
      <x:c r="K508" s="12" t="str">
        <x:v>none</x:v>
      </x:c>
      <x:c r="L508" s="13" t="n">
        <x:f>IF(G508&lt;=I508,0,MAX(0,L502,L503,L504,L506)+IF(E508="via",MAX(0,G508-MAX(F508,I508)),0))</x:f>
        <x:v>3.518</x:v>
      </x:c>
    </x:row>
    <x:row r="509" ht="42" customHeight="1">
      <x:c r="A509" s="7" t="str">
        <x:v>DP2-B</x:v>
      </x:c>
      <x:c r="B509" s="7" t="str">
        <x:v>U13</x:v>
      </x:c>
      <x:c r="C509" s="7" t="str">
        <x:v>input_end</x:v>
      </x:c>
      <x:c r="D509" s="7" t="str">
        <x:v>사용자 입력 종료</x:v>
      </x:c>
      <x:c r="E509" s="7" t="str">
        <x:v>external</x:v>
      </x:c>
      <x:c r="F509" s="14" t="n">
        <x:v>0</x:v>
      </x:c>
      <x:c r="G509" s="14" t="n">
        <x:v>0</x:v>
      </x:c>
      <x:c r="H509" s="14" t="n">
        <x:v>0</x:v>
      </x:c>
      <x:c r="I509" s="14" t="n">
        <x:v>0</x:v>
      </x:c>
      <x:c r="J509" s="7" t="str"/>
      <x:c r="K509" s="7" t="str">
        <x:v>none</x:v>
      </x:c>
      <x:c r="L509" s="14" t="n">
        <x:f>IF(G509&lt;=I509,0,MAX(0)+IF(E509="via",MAX(0,G509-MAX(F509,I509)),0))</x:f>
        <x:v>0</x:v>
      </x:c>
    </x:row>
    <x:row r="510" ht="42" customHeight="1">
      <x:c r="A510" s="12" t="str">
        <x:v>DP2-B</x:v>
      </x:c>
      <x:c r="B510" s="12" t="str">
        <x:v>U13</x:v>
      </x:c>
      <x:c r="C510" s="12" t="str">
        <x:v>intake</x:v>
      </x:c>
      <x:c r="D510" s="12" t="str">
        <x:v>입력 확정</x:v>
      </x:c>
      <x:c r="E510" s="12" t="str">
        <x:v>via</x:v>
      </x:c>
      <x:c r="F510" s="13" t="n">
        <x:v>0</x:v>
      </x:c>
      <x:c r="G510" s="13" t="n">
        <x:v>0.06</x:v>
      </x:c>
      <x:c r="H510" s="13" t="n">
        <x:v>0.06</x:v>
      </x:c>
      <x:c r="I510" s="13" t="n">
        <x:v>0</x:v>
      </x:c>
      <x:c r="J510" s="12" t="str">
        <x:v>input_end</x:v>
      </x:c>
      <x:c r="K510" s="12" t="str">
        <x:v>none</x:v>
      </x:c>
      <x:c r="L510" s="13" t="n">
        <x:f>IF(G510&lt;=I510,0,MAX(0,L509)+IF(E510="via",MAX(0,G510-MAX(F510,I510)),0))</x:f>
        <x:v>0.06</x:v>
      </x:c>
    </x:row>
    <x:row r="511" ht="42" customHeight="1">
      <x:c r="A511" s="7" t="str">
        <x:v>DP2-B</x:v>
      </x:c>
      <x:c r="B511" s="7" t="str">
        <x:v>U13</x:v>
      </x:c>
      <x:c r="C511" s="7" t="str">
        <x:v>read</x:v>
      </x:c>
      <x:c r="D511" s="7" t="str">
        <x:v>공통 허용 원본 조회</x:v>
      </x:c>
      <x:c r="E511" s="7" t="str">
        <x:v>via</x:v>
      </x:c>
      <x:c r="F511" s="14" t="n">
        <x:v>0.06</x:v>
      </x:c>
      <x:c r="G511" s="14" t="n">
        <x:v>0.14</x:v>
      </x:c>
      <x:c r="H511" s="14" t="n">
        <x:v>0.08</x:v>
      </x:c>
      <x:c r="I511" s="14" t="n">
        <x:v>0</x:v>
      </x:c>
      <x:c r="J511" s="7" t="str">
        <x:v>intake</x:v>
      </x:c>
      <x:c r="K511" s="7" t="str">
        <x:v>none</x:v>
      </x:c>
      <x:c r="L511" s="14" t="n">
        <x:f>IF(G511&lt;=I511,0,MAX(0,L510)+IF(E511="via",MAX(0,G511-MAX(F511,I511)),0))</x:f>
        <x:v>0.14</x:v>
      </x:c>
    </x:row>
    <x:row r="512" ht="42" customHeight="1">
      <x:c r="A512" s="12" t="str">
        <x:v>DP2-B</x:v>
      </x:c>
      <x:c r="B512" s="12" t="str">
        <x:v>U13</x:v>
      </x:c>
      <x:c r="C512" s="12" t="str">
        <x:v>meaning</x:v>
      </x:c>
      <x:c r="D512" s="12" t="str">
        <x:v>최초 요청 의미 채택 packet 생성</x:v>
      </x:c>
      <x:c r="E512" s="12" t="str">
        <x:v>via</x:v>
      </x:c>
      <x:c r="F512" s="13" t="n">
        <x:v>0.14</x:v>
      </x:c>
      <x:c r="G512" s="13" t="n">
        <x:v>1.2400000000000002</x:v>
      </x:c>
      <x:c r="H512" s="13" t="n">
        <x:v>1.1</x:v>
      </x:c>
      <x:c r="I512" s="13" t="n">
        <x:v>0</x:v>
      </x:c>
      <x:c r="J512" s="12" t="str">
        <x:v>read</x:v>
      </x:c>
      <x:c r="K512" s="12" t="str">
        <x:v>semantic</x:v>
      </x:c>
      <x:c r="L512" s="13" t="n">
        <x:f>IF(G512&lt;=I512,0,MAX(0,L511)+IF(E512="via",MAX(0,G512-MAX(F512,I512)),0))</x:f>
        <x:v>1.2400000000000002</x:v>
      </x:c>
    </x:row>
    <x:row r="513" ht="42" customHeight="1">
      <x:c r="A513" s="7" t="str">
        <x:v>DP2-B</x:v>
      </x:c>
      <x:c r="B513" s="7" t="str">
        <x:v>U13</x:v>
      </x:c>
      <x:c r="C513" s="7" t="str">
        <x:v>adopt</x:v>
      </x:c>
      <x:c r="D513" s="7" t="str">
        <x:v>현재 revision과 권한 검사 및 채택</x:v>
      </x:c>
      <x:c r="E513" s="7" t="str">
        <x:v>via</x:v>
      </x:c>
      <x:c r="F513" s="14" t="n">
        <x:v>1.2400000000000002</x:v>
      </x:c>
      <x:c r="G513" s="14" t="n">
        <x:v>1.2700000000000002</x:v>
      </x:c>
      <x:c r="H513" s="14" t="n">
        <x:v>0.03</x:v>
      </x:c>
      <x:c r="I513" s="14" t="n">
        <x:v>0</x:v>
      </x:c>
      <x:c r="J513" s="7" t="str">
        <x:v>meaning</x:v>
      </x:c>
      <x:c r="K513" s="7" t="str">
        <x:v>none</x:v>
      </x:c>
      <x:c r="L513" s="14" t="n">
        <x:f>IF(G513&lt;=I513,0,MAX(0,L512)+IF(E513="via",MAX(0,G513-MAX(F513,I513)),0))</x:f>
        <x:v>1.2700000000000002</x:v>
      </x:c>
    </x:row>
    <x:row r="514" ht="42" customHeight="1">
      <x:c r="A514" s="12" t="str">
        <x:v>DP2-B</x:v>
      </x:c>
      <x:c r="B514" s="12" t="str">
        <x:v>U13</x:v>
      </x:c>
      <x:c r="C514" s="12" t="str">
        <x:v>first_display</x:v>
      </x:c>
      <x:c r="D514" s="12" t="str">
        <x:v>첫 구체적 채택 내용 화면 표시</x:v>
      </x:c>
      <x:c r="E514" s="12" t="str">
        <x:v>via</x:v>
      </x:c>
      <x:c r="F514" s="13" t="n">
        <x:v>1.2700000000000002</x:v>
      </x:c>
      <x:c r="G514" s="13" t="n">
        <x:v>1.3100000000000003</x:v>
      </x:c>
      <x:c r="H514" s="13" t="n">
        <x:v>0.04</x:v>
      </x:c>
      <x:c r="I514" s="13" t="n">
        <x:v>0</x:v>
      </x:c>
      <x:c r="J514" s="12" t="str">
        <x:v>adopt</x:v>
      </x:c>
      <x:c r="K514" s="12" t="str">
        <x:v>none</x:v>
      </x:c>
      <x:c r="L514" s="13" t="n">
        <x:f>IF(G514&lt;=I514,0,MAX(0,L513)+IF(E514="via",MAX(0,G514-MAX(F514,I514)),0))</x:f>
        <x:v>1.3100000000000003</x:v>
      </x:c>
    </x:row>
    <x:row r="515" ht="42" customHeight="1">
      <x:c r="A515" s="7" t="str">
        <x:v>DP2-B</x:v>
      </x:c>
      <x:c r="B515" s="7" t="str">
        <x:v>U13</x:v>
      </x:c>
      <x:c r="C515" s="7" t="str">
        <x:v>agent_ingress</x:v>
      </x:c>
      <x:c r="D515" s="7" t="str">
        <x:v>Agent 요청 전송</x:v>
      </x:c>
      <x:c r="E515" s="7" t="str">
        <x:v>via</x:v>
      </x:c>
      <x:c r="F515" s="14" t="n">
        <x:v>1.2700000000000002</x:v>
      </x:c>
      <x:c r="G515" s="14" t="n">
        <x:v>1.3100000000000003</x:v>
      </x:c>
      <x:c r="H515" s="14" t="n">
        <x:v>0.04</x:v>
      </x:c>
      <x:c r="I515" s="14" t="n">
        <x:v>0</x:v>
      </x:c>
      <x:c r="J515" s="7" t="str">
        <x:v>adopt</x:v>
      </x:c>
      <x:c r="K515" s="7" t="str">
        <x:v>none</x:v>
      </x:c>
      <x:c r="L515" s="14" t="n">
        <x:f>IF(G515&lt;=I515,0,MAX(0,L513)+IF(E515="via",MAX(0,G515-MAX(F515,I515)),0))</x:f>
        <x:v>1.3100000000000003</x:v>
      </x:c>
    </x:row>
    <x:row r="516" ht="42" customHeight="1">
      <x:c r="A516" s="12" t="str">
        <x:v>DP2-B</x:v>
      </x:c>
      <x:c r="B516" s="12" t="str">
        <x:v>U13</x:v>
      </x:c>
      <x:c r="C516" s="12" t="str">
        <x:v>agent_result</x:v>
      </x:c>
      <x:c r="D516" s="12" t="str">
        <x:v>외부 Agent 업무</x:v>
      </x:c>
      <x:c r="E516" s="12" t="str">
        <x:v>external</x:v>
      </x:c>
      <x:c r="F516" s="13" t="n">
        <x:v>1.3100000000000003</x:v>
      </x:c>
      <x:c r="G516" s="13" t="n">
        <x:v>9.31</x:v>
      </x:c>
      <x:c r="H516" s="13" t="n">
        <x:v>8</x:v>
      </x:c>
      <x:c r="I516" s="13" t="n">
        <x:v>0</x:v>
      </x:c>
      <x:c r="J516" s="12" t="str">
        <x:v>agent_ingress</x:v>
      </x:c>
      <x:c r="K516" s="12" t="str">
        <x:v>none</x:v>
      </x:c>
      <x:c r="L516" s="13" t="n">
        <x:f>IF(G516&lt;=I516,0,MAX(0,L515)+IF(E516="via",MAX(0,G516-MAX(F516,I516)),0))</x:f>
        <x:v>1.3100000000000003</x:v>
      </x:c>
    </x:row>
    <x:row r="517" ht="42" customHeight="1">
      <x:c r="A517" s="7" t="str">
        <x:v>DP2-B</x:v>
      </x:c>
      <x:c r="B517" s="7" t="str">
        <x:v>U13</x:v>
      </x:c>
      <x:c r="C517" s="7" t="str">
        <x:v>result_display</x:v>
      </x:c>
      <x:c r="D517" s="7" t="str">
        <x:v>최종 결과 상세 표시</x:v>
      </x:c>
      <x:c r="E517" s="7" t="str">
        <x:v>via</x:v>
      </x:c>
      <x:c r="F517" s="14" t="n">
        <x:v>9.31</x:v>
      </x:c>
      <x:c r="G517" s="14" t="n">
        <x:v>9.35</x:v>
      </x:c>
      <x:c r="H517" s="14" t="n">
        <x:v>0.04</x:v>
      </x:c>
      <x:c r="I517" s="14" t="n">
        <x:v>0</x:v>
      </x:c>
      <x:c r="J517" s="7" t="str">
        <x:v>agent_result</x:v>
      </x:c>
      <x:c r="K517" s="7" t="str">
        <x:v>none</x:v>
      </x:c>
      <x:c r="L517" s="14" t="n">
        <x:f>IF(G517&lt;=I517,0,MAX(0,L516)+IF(E517="via",MAX(0,G517-MAX(F517,I517)),0))</x:f>
        <x:v>1.3499999999999994</x:v>
      </x:c>
    </x:row>
    <x:row r="518" ht="42" customHeight="1">
      <x:c r="A518" s="12" t="str">
        <x:v>DP2-B</x:v>
      </x:c>
      <x:c r="B518" s="12" t="str">
        <x:v>U13</x:v>
      </x:c>
      <x:c r="C518" s="12" t="str">
        <x:v>response_audio</x:v>
      </x:c>
      <x:c r="D518" s="12" t="str">
        <x:v>선택한 응답 음성 생성</x:v>
      </x:c>
      <x:c r="E518" s="12" t="str">
        <x:v>via</x:v>
      </x:c>
      <x:c r="F518" s="13" t="n">
        <x:v>9.31</x:v>
      </x:c>
      <x:c r="G518" s="13" t="n">
        <x:v>11.198</x:v>
      </x:c>
      <x:c r="H518" s="13" t="n">
        <x:v>1.888</x:v>
      </x:c>
      <x:c r="I518" s="13" t="n">
        <x:v>0</x:v>
      </x:c>
      <x:c r="J518" s="12" t="str">
        <x:v>agent_result</x:v>
      </x:c>
      <x:c r="K518" s="12" t="str">
        <x:v>speech</x:v>
      </x:c>
      <x:c r="L518" s="13" t="n">
        <x:f>IF(G518&lt;=I518,0,MAX(0,L516)+IF(E518="via",MAX(0,G518-MAX(F518,I518)),0))</x:f>
        <x:v>3.1980000000000004</x:v>
      </x:c>
    </x:row>
    <x:row r="519" ht="42" customHeight="1">
      <x:c r="A519" s="7" t="str">
        <x:v>DP2-B</x:v>
      </x:c>
      <x:c r="B519" s="7" t="str">
        <x:v>U13</x:v>
      </x:c>
      <x:c r="C519" s="7" t="str">
        <x:v>intent_audio</x:v>
      </x:c>
      <x:c r="D519" s="7" t="str">
        <x:v>채택한 구체적 수행 의도의 짧은 음성</x:v>
      </x:c>
      <x:c r="E519" s="7" t="str">
        <x:v>via</x:v>
      </x:c>
      <x:c r="F519" s="14" t="n">
        <x:v>1.2700000000000002</x:v>
      </x:c>
      <x:c r="G519" s="14" t="n">
        <x:v>2.404</x:v>
      </x:c>
      <x:c r="H519" s="14" t="n">
        <x:v>1.134</x:v>
      </x:c>
      <x:c r="I519" s="14" t="n">
        <x:v>0</x:v>
      </x:c>
      <x:c r="J519" s="7" t="str">
        <x:v>adopt</x:v>
      </x:c>
      <x:c r="K519" s="7" t="str">
        <x:v>speech</x:v>
      </x:c>
      <x:c r="L519" s="14" t="n">
        <x:f>IF(G519&lt;=I519,0,MAX(0,L513)+IF(E519="via",MAX(0,G519-MAX(F519,I519)),0))</x:f>
        <x:v>2.404</x:v>
      </x:c>
    </x:row>
    <x:row r="520" ht="42" customHeight="1">
      <x:c r="A520" s="12" t="str">
        <x:v>DP2-B</x:v>
      </x:c>
      <x:c r="B520" s="12" t="str">
        <x:v>U13</x:v>
      </x:c>
      <x:c r="C520" s="12" t="str">
        <x:v>first_chunk</x:v>
      </x:c>
      <x:c r="D520" s="12" t="str">
        <x:v>같은 생성 job의 유효 첫 chunk 관측</x:v>
      </x:c>
      <x:c r="E520" s="12" t="str">
        <x:v>via</x:v>
      </x:c>
      <x:c r="F520" s="13" t="n">
        <x:v>1.2700000000000002</x:v>
      </x:c>
      <x:c r="G520" s="13" t="n">
        <x:v>1.7040000000000002</x:v>
      </x:c>
      <x:c r="H520" s="13" t="n">
        <x:v>0.434</x:v>
      </x:c>
      <x:c r="I520" s="13" t="n">
        <x:v>0</x:v>
      </x:c>
      <x:c r="J520" s="12" t="str">
        <x:v>adopt</x:v>
      </x:c>
      <x:c r="K520" s="12" t="str">
        <x:v>none</x:v>
      </x:c>
      <x:c r="L520" s="13" t="n">
        <x:f>IF(G520&lt;=I520,0,MAX(0,L513)+IF(E520="via",MAX(0,G520-MAX(F520,I520)),0))</x:f>
        <x:v>1.7040000000000002</x:v>
      </x:c>
    </x:row>
    <x:row r="521" ht="42" customHeight="1">
      <x:c r="A521" s="7" t="str">
        <x:v>DP2-B</x:v>
      </x:c>
      <x:c r="B521" s="7" t="str">
        <x:v>U13</x:v>
      </x:c>
      <x:c r="C521" s="7" t="str">
        <x:v>first_audio_output</x:v>
      </x:c>
      <x:c r="D521" s="7" t="str">
        <x:v>공통 장치의 첫 음성 출력</x:v>
      </x:c>
      <x:c r="E521" s="7" t="str">
        <x:v>via</x:v>
      </x:c>
      <x:c r="F521" s="14" t="n">
        <x:v>1.7040000000000002</x:v>
      </x:c>
      <x:c r="G521" s="14" t="n">
        <x:v>1.7440000000000002</x:v>
      </x:c>
      <x:c r="H521" s="14" t="n">
        <x:v>0.04</x:v>
      </x:c>
      <x:c r="I521" s="14" t="n">
        <x:v>0</x:v>
      </x:c>
      <x:c r="J521" s="7" t="str">
        <x:v>adopt, first_chunk</x:v>
      </x:c>
      <x:c r="K521" s="7" t="str">
        <x:v>none</x:v>
      </x:c>
      <x:c r="L521" s="14" t="n">
        <x:f>IF(G521&lt;=I521,0,MAX(0,L513,L520)+IF(E521="via",MAX(0,G521-MAX(F521,I521)),0))</x:f>
        <x:v>1.7440000000000002</x:v>
      </x:c>
    </x:row>
    <x:row r="522" ht="42" customHeight="1">
      <x:c r="A522" s="12" t="str">
        <x:v>DP2-B</x:v>
      </x:c>
      <x:c r="B522" s="12" t="str">
        <x:v>U13</x:v>
      </x:c>
      <x:c r="C522" s="12" t="str">
        <x:v>next_speech_selection</x:v>
      </x:c>
      <x:c r="D522" s="12" t="str">
        <x:v>현재 발화 재생 후 다음 응답 선택</x:v>
      </x:c>
      <x:c r="E522" s="12" t="str">
        <x:v>external</x:v>
      </x:c>
      <x:c r="F522" s="13" t="n">
        <x:v>1.7440000000000002</x:v>
      </x:c>
      <x:c r="G522" s="13" t="n">
        <x:v>4.744</x:v>
      </x:c>
      <x:c r="H522" s="13" t="n">
        <x:v>3</x:v>
      </x:c>
      <x:c r="I522" s="13" t="n">
        <x:v>0</x:v>
      </x:c>
      <x:c r="J522" s="12" t="str">
        <x:v>first_audio_output</x:v>
      </x:c>
      <x:c r="K522" s="12" t="str">
        <x:v>none</x:v>
      </x:c>
      <x:c r="L522" s="13" t="n">
        <x:f>IF(G522&lt;=I522,0,MAX(0,L521)+IF(E522="via",MAX(0,G522-MAX(F522,I522)),0))</x:f>
        <x:v>1.7440000000000002</x:v>
      </x:c>
    </x:row>
    <x:row r="523" ht="42" customHeight="1">
      <x:c r="A523" s="7" t="str">
        <x:v>DP2-B</x:v>
      </x:c>
      <x:c r="B523" s="7" t="str">
        <x:v>U13</x:v>
      </x:c>
      <x:c r="C523" s="7" t="str">
        <x:v>terminal</x:v>
      </x:c>
      <x:c r="D523" s="7" t="str">
        <x:v>공통 목표 최종 상태와 전체 음성 준비</x:v>
      </x:c>
      <x:c r="E523" s="7" t="str">
        <x:v>via</x:v>
      </x:c>
      <x:c r="F523" s="14" t="n">
        <x:v>11.198</x:v>
      </x:c>
      <x:c r="G523" s="14" t="n">
        <x:v>11.198</x:v>
      </x:c>
      <x:c r="H523" s="14" t="n">
        <x:v>0</x:v>
      </x:c>
      <x:c r="I523" s="14" t="n">
        <x:v>0</x:v>
      </x:c>
      <x:c r="J523" s="7" t="str">
        <x:v>result_display, response_audio, intent_audio, first_audio_output</x:v>
      </x:c>
      <x:c r="K523" s="7" t="str">
        <x:v>none</x:v>
      </x:c>
      <x:c r="L523" s="14" t="n">
        <x:f>IF(G523&lt;=I523,0,MAX(0,L517,L518,L519,L521)+IF(E523="via",MAX(0,G523-MAX(F523,I523)),0))</x:f>
        <x:v>3.1980000000000004</x:v>
      </x:c>
    </x:row>
    <x:row r="524" ht="42" customHeight="1">
      <x:c r="A524" s="12" t="str">
        <x:v>DP2-B</x:v>
      </x:c>
      <x:c r="B524" s="12" t="str">
        <x:v>U14</x:v>
      </x:c>
      <x:c r="C524" s="12" t="str">
        <x:v>input_end</x:v>
      </x:c>
      <x:c r="D524" s="12" t="str">
        <x:v>사용자 입력 종료</x:v>
      </x:c>
      <x:c r="E524" s="12" t="str">
        <x:v>external</x:v>
      </x:c>
      <x:c r="F524" s="13" t="n">
        <x:v>0</x:v>
      </x:c>
      <x:c r="G524" s="13" t="n">
        <x:v>0</x:v>
      </x:c>
      <x:c r="H524" s="13" t="n">
        <x:v>0</x:v>
      </x:c>
      <x:c r="I524" s="13" t="n">
        <x:v>0</x:v>
      </x:c>
      <x:c r="J524" s="12" t="str"/>
      <x:c r="K524" s="12" t="str">
        <x:v>none</x:v>
      </x:c>
      <x:c r="L524" s="13" t="n">
        <x:f>IF(G524&lt;=I524,0,MAX(0)+IF(E524="via",MAX(0,G524-MAX(F524,I524)),0))</x:f>
        <x:v>0</x:v>
      </x:c>
    </x:row>
    <x:row r="525" ht="42" customHeight="1">
      <x:c r="A525" s="7" t="str">
        <x:v>DP2-B</x:v>
      </x:c>
      <x:c r="B525" s="7" t="str">
        <x:v>U14</x:v>
      </x:c>
      <x:c r="C525" s="7" t="str">
        <x:v>intake</x:v>
      </x:c>
      <x:c r="D525" s="7" t="str">
        <x:v>입력 확정</x:v>
      </x:c>
      <x:c r="E525" s="7" t="str">
        <x:v>via</x:v>
      </x:c>
      <x:c r="F525" s="14" t="n">
        <x:v>0</x:v>
      </x:c>
      <x:c r="G525" s="14" t="n">
        <x:v>0.3</x:v>
      </x:c>
      <x:c r="H525" s="14" t="n">
        <x:v>0.3</x:v>
      </x:c>
      <x:c r="I525" s="14" t="n">
        <x:v>0</x:v>
      </x:c>
      <x:c r="J525" s="7" t="str">
        <x:v>input_end</x:v>
      </x:c>
      <x:c r="K525" s="7" t="str">
        <x:v>none</x:v>
      </x:c>
      <x:c r="L525" s="14" t="n">
        <x:f>IF(G525&lt;=I525,0,MAX(0,L524)+IF(E525="via",MAX(0,G525-MAX(F525,I525)),0))</x:f>
        <x:v>0.3</x:v>
      </x:c>
    </x:row>
    <x:row r="526" ht="42" customHeight="1">
      <x:c r="A526" s="12" t="str">
        <x:v>DP2-B</x:v>
      </x:c>
      <x:c r="B526" s="12" t="str">
        <x:v>U14</x:v>
      </x:c>
      <x:c r="C526" s="12" t="str">
        <x:v>read</x:v>
      </x:c>
      <x:c r="D526" s="12" t="str">
        <x:v>공통 허용 원본 조회</x:v>
      </x:c>
      <x:c r="E526" s="12" t="str">
        <x:v>via</x:v>
      </x:c>
      <x:c r="F526" s="13" t="n">
        <x:v>0.3</x:v>
      </x:c>
      <x:c r="G526" s="13" t="n">
        <x:v>0.38</x:v>
      </x:c>
      <x:c r="H526" s="13" t="n">
        <x:v>0.08</x:v>
      </x:c>
      <x:c r="I526" s="13" t="n">
        <x:v>0</x:v>
      </x:c>
      <x:c r="J526" s="12" t="str">
        <x:v>intake</x:v>
      </x:c>
      <x:c r="K526" s="12" t="str">
        <x:v>none</x:v>
      </x:c>
      <x:c r="L526" s="13" t="n">
        <x:f>IF(G526&lt;=I526,0,MAX(0,L525)+IF(E526="via",MAX(0,G526-MAX(F526,I526)),0))</x:f>
        <x:v>0.38</x:v>
      </x:c>
    </x:row>
    <x:row r="527" ht="42" customHeight="1">
      <x:c r="A527" s="7" t="str">
        <x:v>DP2-B</x:v>
      </x:c>
      <x:c r="B527" s="7" t="str">
        <x:v>U14</x:v>
      </x:c>
      <x:c r="C527" s="7" t="str">
        <x:v>meaning</x:v>
      </x:c>
      <x:c r="D527" s="7" t="str">
        <x:v>최초 요청 의미 채택 packet 생성</x:v>
      </x:c>
      <x:c r="E527" s="7" t="str">
        <x:v>via</x:v>
      </x:c>
      <x:c r="F527" s="14" t="n">
        <x:v>0.38</x:v>
      </x:c>
      <x:c r="G527" s="14" t="n">
        <x:v>1.88</x:v>
      </x:c>
      <x:c r="H527" s="14" t="n">
        <x:v>1.5</x:v>
      </x:c>
      <x:c r="I527" s="14" t="n">
        <x:v>0</x:v>
      </x:c>
      <x:c r="J527" s="7" t="str">
        <x:v>read</x:v>
      </x:c>
      <x:c r="K527" s="7" t="str">
        <x:v>semantic</x:v>
      </x:c>
      <x:c r="L527" s="14" t="n">
        <x:f>IF(G527&lt;=I527,0,MAX(0,L526)+IF(E527="via",MAX(0,G527-MAX(F527,I527)),0))</x:f>
        <x:v>1.88</x:v>
      </x:c>
    </x:row>
    <x:row r="528" ht="42" customHeight="1">
      <x:c r="A528" s="12" t="str">
        <x:v>DP2-B</x:v>
      </x:c>
      <x:c r="B528" s="12" t="str">
        <x:v>U14</x:v>
      </x:c>
      <x:c r="C528" s="12" t="str">
        <x:v>adopt</x:v>
      </x:c>
      <x:c r="D528" s="12" t="str">
        <x:v>현재 revision과 권한 검사 및 채택</x:v>
      </x:c>
      <x:c r="E528" s="12" t="str">
        <x:v>via</x:v>
      </x:c>
      <x:c r="F528" s="13" t="n">
        <x:v>1.88</x:v>
      </x:c>
      <x:c r="G528" s="13" t="n">
        <x:v>1.91</x:v>
      </x:c>
      <x:c r="H528" s="13" t="n">
        <x:v>0.03</x:v>
      </x:c>
      <x:c r="I528" s="13" t="n">
        <x:v>0</x:v>
      </x:c>
      <x:c r="J528" s="12" t="str">
        <x:v>meaning</x:v>
      </x:c>
      <x:c r="K528" s="12" t="str">
        <x:v>none</x:v>
      </x:c>
      <x:c r="L528" s="13" t="n">
        <x:f>IF(G528&lt;=I528,0,MAX(0,L527)+IF(E528="via",MAX(0,G528-MAX(F528,I528)),0))</x:f>
        <x:v>1.91</x:v>
      </x:c>
    </x:row>
    <x:row r="529" ht="42" customHeight="1">
      <x:c r="A529" s="7" t="str">
        <x:v>DP2-B</x:v>
      </x:c>
      <x:c r="B529" s="7" t="str">
        <x:v>U14</x:v>
      </x:c>
      <x:c r="C529" s="7" t="str">
        <x:v>first_display</x:v>
      </x:c>
      <x:c r="D529" s="7" t="str">
        <x:v>첫 구체적 채택 내용 화면 표시</x:v>
      </x:c>
      <x:c r="E529" s="7" t="str">
        <x:v>via</x:v>
      </x:c>
      <x:c r="F529" s="14" t="n">
        <x:v>1.91</x:v>
      </x:c>
      <x:c r="G529" s="14" t="n">
        <x:v>1.95</x:v>
      </x:c>
      <x:c r="H529" s="14" t="n">
        <x:v>0.04</x:v>
      </x:c>
      <x:c r="I529" s="14" t="n">
        <x:v>0</x:v>
      </x:c>
      <x:c r="J529" s="7" t="str">
        <x:v>adopt</x:v>
      </x:c>
      <x:c r="K529" s="7" t="str">
        <x:v>none</x:v>
      </x:c>
      <x:c r="L529" s="14" t="n">
        <x:f>IF(G529&lt;=I529,0,MAX(0,L528)+IF(E529="via",MAX(0,G529-MAX(F529,I529)),0))</x:f>
        <x:v>1.95</x:v>
      </x:c>
    </x:row>
    <x:row r="530" ht="42" customHeight="1">
      <x:c r="A530" s="12" t="str">
        <x:v>DP2-B</x:v>
      </x:c>
      <x:c r="B530" s="12" t="str">
        <x:v>U14</x:v>
      </x:c>
      <x:c r="C530" s="12" t="str">
        <x:v>agent_ingress</x:v>
      </x:c>
      <x:c r="D530" s="12" t="str">
        <x:v>Agent 요청 전송</x:v>
      </x:c>
      <x:c r="E530" s="12" t="str">
        <x:v>via</x:v>
      </x:c>
      <x:c r="F530" s="13" t="n">
        <x:v>1.91</x:v>
      </x:c>
      <x:c r="G530" s="13" t="n">
        <x:v>1.95</x:v>
      </x:c>
      <x:c r="H530" s="13" t="n">
        <x:v>0.04</x:v>
      </x:c>
      <x:c r="I530" s="13" t="n">
        <x:v>0</x:v>
      </x:c>
      <x:c r="J530" s="12" t="str">
        <x:v>adopt</x:v>
      </x:c>
      <x:c r="K530" s="12" t="str">
        <x:v>none</x:v>
      </x:c>
      <x:c r="L530" s="13" t="n">
        <x:f>IF(G530&lt;=I530,0,MAX(0,L528)+IF(E530="via",MAX(0,G530-MAX(F530,I530)),0))</x:f>
        <x:v>1.95</x:v>
      </x:c>
    </x:row>
    <x:row r="531" ht="42" customHeight="1">
      <x:c r="A531" s="7" t="str">
        <x:v>DP2-B</x:v>
      </x:c>
      <x:c r="B531" s="7" t="str">
        <x:v>U14</x:v>
      </x:c>
      <x:c r="C531" s="7" t="str">
        <x:v>agent_result</x:v>
      </x:c>
      <x:c r="D531" s="7" t="str">
        <x:v>외부 Agent 업무</x:v>
      </x:c>
      <x:c r="E531" s="7" t="str">
        <x:v>external</x:v>
      </x:c>
      <x:c r="F531" s="14" t="n">
        <x:v>1.95</x:v>
      </x:c>
      <x:c r="G531" s="14" t="n">
        <x:v>9.95</x:v>
      </x:c>
      <x:c r="H531" s="14" t="n">
        <x:v>8</x:v>
      </x:c>
      <x:c r="I531" s="14" t="n">
        <x:v>0</x:v>
      </x:c>
      <x:c r="J531" s="7" t="str">
        <x:v>agent_ingress</x:v>
      </x:c>
      <x:c r="K531" s="7" t="str">
        <x:v>none</x:v>
      </x:c>
      <x:c r="L531" s="14" t="n">
        <x:f>IF(G531&lt;=I531,0,MAX(0,L530)+IF(E531="via",MAX(0,G531-MAX(F531,I531)),0))</x:f>
        <x:v>1.95</x:v>
      </x:c>
    </x:row>
    <x:row r="532" ht="42" customHeight="1">
      <x:c r="A532" s="12" t="str">
        <x:v>DP2-B</x:v>
      </x:c>
      <x:c r="B532" s="12" t="str">
        <x:v>U14</x:v>
      </x:c>
      <x:c r="C532" s="12" t="str">
        <x:v>result_display</x:v>
      </x:c>
      <x:c r="D532" s="12" t="str">
        <x:v>최종 결과 상세 표시</x:v>
      </x:c>
      <x:c r="E532" s="12" t="str">
        <x:v>via</x:v>
      </x:c>
      <x:c r="F532" s="13" t="n">
        <x:v>9.95</x:v>
      </x:c>
      <x:c r="G532" s="13" t="n">
        <x:v>9.989999999999998</x:v>
      </x:c>
      <x:c r="H532" s="13" t="n">
        <x:v>0.04</x:v>
      </x:c>
      <x:c r="I532" s="13" t="n">
        <x:v>0</x:v>
      </x:c>
      <x:c r="J532" s="12" t="str">
        <x:v>agent_result</x:v>
      </x:c>
      <x:c r="K532" s="12" t="str">
        <x:v>none</x:v>
      </x:c>
      <x:c r="L532" s="13" t="n">
        <x:f>IF(G532&lt;=I532,0,MAX(0,L531)+IF(E532="via",MAX(0,G532-MAX(F532,I532)),0))</x:f>
        <x:v>1.989999999999999</x:v>
      </x:c>
    </x:row>
    <x:row r="533" ht="42" customHeight="1">
      <x:c r="A533" s="7" t="str">
        <x:v>DP2-B</x:v>
      </x:c>
      <x:c r="B533" s="7" t="str">
        <x:v>U14</x:v>
      </x:c>
      <x:c r="C533" s="7" t="str">
        <x:v>response_audio</x:v>
      </x:c>
      <x:c r="D533" s="7" t="str">
        <x:v>선택한 응답 음성 생성</x:v>
      </x:c>
      <x:c r="E533" s="7" t="str">
        <x:v>via</x:v>
      </x:c>
      <x:c r="F533" s="14" t="n">
        <x:v>9.95</x:v>
      </x:c>
      <x:c r="G533" s="14" t="n">
        <x:v>11.838</x:v>
      </x:c>
      <x:c r="H533" s="14" t="n">
        <x:v>1.888</x:v>
      </x:c>
      <x:c r="I533" s="14" t="n">
        <x:v>0</x:v>
      </x:c>
      <x:c r="J533" s="7" t="str">
        <x:v>agent_result</x:v>
      </x:c>
      <x:c r="K533" s="7" t="str">
        <x:v>speech</x:v>
      </x:c>
      <x:c r="L533" s="14" t="n">
        <x:f>IF(G533&lt;=I533,0,MAX(0,L531)+IF(E533="via",MAX(0,G533-MAX(F533,I533)),0))</x:f>
        <x:v>3.838</x:v>
      </x:c>
    </x:row>
    <x:row r="534" ht="42" customHeight="1">
      <x:c r="A534" s="12" t="str">
        <x:v>DP2-B</x:v>
      </x:c>
      <x:c r="B534" s="12" t="str">
        <x:v>U14</x:v>
      </x:c>
      <x:c r="C534" s="12" t="str">
        <x:v>intent_audio</x:v>
      </x:c>
      <x:c r="D534" s="12" t="str">
        <x:v>채택한 구체적 수행 의도의 짧은 음성</x:v>
      </x:c>
      <x:c r="E534" s="12" t="str">
        <x:v>via</x:v>
      </x:c>
      <x:c r="F534" s="13" t="n">
        <x:v>1.91</x:v>
      </x:c>
      <x:c r="G534" s="13" t="n">
        <x:v>3.0439999999999996</x:v>
      </x:c>
      <x:c r="H534" s="13" t="n">
        <x:v>1.134</x:v>
      </x:c>
      <x:c r="I534" s="13" t="n">
        <x:v>0</x:v>
      </x:c>
      <x:c r="J534" s="12" t="str">
        <x:v>adopt</x:v>
      </x:c>
      <x:c r="K534" s="12" t="str">
        <x:v>speech</x:v>
      </x:c>
      <x:c r="L534" s="13" t="n">
        <x:f>IF(G534&lt;=I534,0,MAX(0,L528)+IF(E534="via",MAX(0,G534-MAX(F534,I534)),0))</x:f>
        <x:v>3.0439999999999996</x:v>
      </x:c>
    </x:row>
    <x:row r="535" ht="42" customHeight="1">
      <x:c r="A535" s="7" t="str">
        <x:v>DP2-B</x:v>
      </x:c>
      <x:c r="B535" s="7" t="str">
        <x:v>U14</x:v>
      </x:c>
      <x:c r="C535" s="7" t="str">
        <x:v>first_chunk</x:v>
      </x:c>
      <x:c r="D535" s="7" t="str">
        <x:v>같은 생성 job의 유효 첫 chunk 관측</x:v>
      </x:c>
      <x:c r="E535" s="7" t="str">
        <x:v>via</x:v>
      </x:c>
      <x:c r="F535" s="14" t="n">
        <x:v>1.91</x:v>
      </x:c>
      <x:c r="G535" s="14" t="n">
        <x:v>2.344</x:v>
      </x:c>
      <x:c r="H535" s="14" t="n">
        <x:v>0.434</x:v>
      </x:c>
      <x:c r="I535" s="14" t="n">
        <x:v>0</x:v>
      </x:c>
      <x:c r="J535" s="7" t="str">
        <x:v>adopt</x:v>
      </x:c>
      <x:c r="K535" s="7" t="str">
        <x:v>none</x:v>
      </x:c>
      <x:c r="L535" s="14" t="n">
        <x:f>IF(G535&lt;=I535,0,MAX(0,L528)+IF(E535="via",MAX(0,G535-MAX(F535,I535)),0))</x:f>
        <x:v>2.344</x:v>
      </x:c>
    </x:row>
    <x:row r="536" ht="42" customHeight="1">
      <x:c r="A536" s="12" t="str">
        <x:v>DP2-B</x:v>
      </x:c>
      <x:c r="B536" s="12" t="str">
        <x:v>U14</x:v>
      </x:c>
      <x:c r="C536" s="12" t="str">
        <x:v>first_audio_output</x:v>
      </x:c>
      <x:c r="D536" s="12" t="str">
        <x:v>공통 장치의 첫 음성 출력</x:v>
      </x:c>
      <x:c r="E536" s="12" t="str">
        <x:v>via</x:v>
      </x:c>
      <x:c r="F536" s="13" t="n">
        <x:v>2.344</x:v>
      </x:c>
      <x:c r="G536" s="13" t="n">
        <x:v>2.384</x:v>
      </x:c>
      <x:c r="H536" s="13" t="n">
        <x:v>0.04</x:v>
      </x:c>
      <x:c r="I536" s="13" t="n">
        <x:v>0</x:v>
      </x:c>
      <x:c r="J536" s="12" t="str">
        <x:v>adopt, first_chunk</x:v>
      </x:c>
      <x:c r="K536" s="12" t="str">
        <x:v>none</x:v>
      </x:c>
      <x:c r="L536" s="13" t="n">
        <x:f>IF(G536&lt;=I536,0,MAX(0,L528,L535)+IF(E536="via",MAX(0,G536-MAX(F536,I536)),0))</x:f>
        <x:v>2.384</x:v>
      </x:c>
    </x:row>
    <x:row r="537" ht="42" customHeight="1">
      <x:c r="A537" s="7" t="str">
        <x:v>DP2-B</x:v>
      </x:c>
      <x:c r="B537" s="7" t="str">
        <x:v>U14</x:v>
      </x:c>
      <x:c r="C537" s="7" t="str">
        <x:v>next_speech_selection</x:v>
      </x:c>
      <x:c r="D537" s="7" t="str">
        <x:v>현재 발화 재생 후 다음 응답 선택</x:v>
      </x:c>
      <x:c r="E537" s="7" t="str">
        <x:v>external</x:v>
      </x:c>
      <x:c r="F537" s="14" t="n">
        <x:v>2.384</x:v>
      </x:c>
      <x:c r="G537" s="14" t="n">
        <x:v>5.384</x:v>
      </x:c>
      <x:c r="H537" s="14" t="n">
        <x:v>3</x:v>
      </x:c>
      <x:c r="I537" s="14" t="n">
        <x:v>0</x:v>
      </x:c>
      <x:c r="J537" s="7" t="str">
        <x:v>first_audio_output</x:v>
      </x:c>
      <x:c r="K537" s="7" t="str">
        <x:v>none</x:v>
      </x:c>
      <x:c r="L537" s="14" t="n">
        <x:f>IF(G537&lt;=I537,0,MAX(0,L536)+IF(E537="via",MAX(0,G537-MAX(F537,I537)),0))</x:f>
        <x:v>2.384</x:v>
      </x:c>
    </x:row>
    <x:row r="538" ht="42" customHeight="1">
      <x:c r="A538" s="12" t="str">
        <x:v>DP2-B</x:v>
      </x:c>
      <x:c r="B538" s="12" t="str">
        <x:v>U14</x:v>
      </x:c>
      <x:c r="C538" s="12" t="str">
        <x:v>terminal</x:v>
      </x:c>
      <x:c r="D538" s="12" t="str">
        <x:v>공통 목표 최종 상태와 전체 음성 준비</x:v>
      </x:c>
      <x:c r="E538" s="12" t="str">
        <x:v>via</x:v>
      </x:c>
      <x:c r="F538" s="13" t="n">
        <x:v>11.838</x:v>
      </x:c>
      <x:c r="G538" s="13" t="n">
        <x:v>11.838</x:v>
      </x:c>
      <x:c r="H538" s="13" t="n">
        <x:v>0</x:v>
      </x:c>
      <x:c r="I538" s="13" t="n">
        <x:v>0</x:v>
      </x:c>
      <x:c r="J538" s="12" t="str">
        <x:v>result_display, response_audio, intent_audio, first_audio_output</x:v>
      </x:c>
      <x:c r="K538" s="12" t="str">
        <x:v>none</x:v>
      </x:c>
      <x:c r="L538" s="13" t="n">
        <x:f>IF(G538&lt;=I538,0,MAX(0,L532,L533,L534,L536)+IF(E538="via",MAX(0,G538-MAX(F538,I538)),0))</x:f>
        <x:v>3.838</x:v>
      </x:c>
    </x:row>
    <x:row r="539" ht="42" customHeight="1">
      <x:c r="A539" s="7" t="str">
        <x:v>DP2-B</x:v>
      </x:c>
      <x:c r="B539" s="7" t="str">
        <x:v>U15</x:v>
      </x:c>
      <x:c r="C539" s="7" t="str">
        <x:v>input_end</x:v>
      </x:c>
      <x:c r="D539" s="7" t="str">
        <x:v>사용자 입력 종료</x:v>
      </x:c>
      <x:c r="E539" s="7" t="str">
        <x:v>external</x:v>
      </x:c>
      <x:c r="F539" s="14" t="n">
        <x:v>0</x:v>
      </x:c>
      <x:c r="G539" s="14" t="n">
        <x:v>0</x:v>
      </x:c>
      <x:c r="H539" s="14" t="n">
        <x:v>0</x:v>
      </x:c>
      <x:c r="I539" s="14" t="n">
        <x:v>0</x:v>
      </x:c>
      <x:c r="J539" s="7" t="str"/>
      <x:c r="K539" s="7" t="str">
        <x:v>none</x:v>
      </x:c>
      <x:c r="L539" s="14" t="n">
        <x:f>IF(G539&lt;=I539,0,MAX(0)+IF(E539="via",MAX(0,G539-MAX(F539,I539)),0))</x:f>
        <x:v>0</x:v>
      </x:c>
    </x:row>
    <x:row r="540" ht="42" customHeight="1">
      <x:c r="A540" s="12" t="str">
        <x:v>DP2-B</x:v>
      </x:c>
      <x:c r="B540" s="12" t="str">
        <x:v>U15</x:v>
      </x:c>
      <x:c r="C540" s="12" t="str">
        <x:v>intake</x:v>
      </x:c>
      <x:c r="D540" s="12" t="str">
        <x:v>입력 확정</x:v>
      </x:c>
      <x:c r="E540" s="12" t="str">
        <x:v>via</x:v>
      </x:c>
      <x:c r="F540" s="13" t="n">
        <x:v>0</x:v>
      </x:c>
      <x:c r="G540" s="13" t="n">
        <x:v>0.06</x:v>
      </x:c>
      <x:c r="H540" s="13" t="n">
        <x:v>0.06</x:v>
      </x:c>
      <x:c r="I540" s="13" t="n">
        <x:v>0</x:v>
      </x:c>
      <x:c r="J540" s="12" t="str">
        <x:v>input_end</x:v>
      </x:c>
      <x:c r="K540" s="12" t="str">
        <x:v>none</x:v>
      </x:c>
      <x:c r="L540" s="13" t="n">
        <x:f>IF(G540&lt;=I540,0,MAX(0,L539)+IF(E540="via",MAX(0,G540-MAX(F540,I540)),0))</x:f>
        <x:v>0.06</x:v>
      </x:c>
    </x:row>
    <x:row r="541" ht="42" customHeight="1">
      <x:c r="A541" s="7" t="str">
        <x:v>DP2-B</x:v>
      </x:c>
      <x:c r="B541" s="7" t="str">
        <x:v>U15</x:v>
      </x:c>
      <x:c r="C541" s="7" t="str">
        <x:v>read</x:v>
      </x:c>
      <x:c r="D541" s="7" t="str">
        <x:v>공통 허용 원본 조회</x:v>
      </x:c>
      <x:c r="E541" s="7" t="str">
        <x:v>via</x:v>
      </x:c>
      <x:c r="F541" s="14" t="n">
        <x:v>0.06</x:v>
      </x:c>
      <x:c r="G541" s="14" t="n">
        <x:v>0.14</x:v>
      </x:c>
      <x:c r="H541" s="14" t="n">
        <x:v>0.08</x:v>
      </x:c>
      <x:c r="I541" s="14" t="n">
        <x:v>0</x:v>
      </x:c>
      <x:c r="J541" s="7" t="str">
        <x:v>intake</x:v>
      </x:c>
      <x:c r="K541" s="7" t="str">
        <x:v>none</x:v>
      </x:c>
      <x:c r="L541" s="14" t="n">
        <x:f>IF(G541&lt;=I541,0,MAX(0,L540)+IF(E541="via",MAX(0,G541-MAX(F541,I541)),0))</x:f>
        <x:v>0.14</x:v>
      </x:c>
    </x:row>
    <x:row r="542" ht="42" customHeight="1">
      <x:c r="A542" s="12" t="str">
        <x:v>DP2-B</x:v>
      </x:c>
      <x:c r="B542" s="12" t="str">
        <x:v>U15</x:v>
      </x:c>
      <x:c r="C542" s="12" t="str">
        <x:v>meaning</x:v>
      </x:c>
      <x:c r="D542" s="12" t="str">
        <x:v>최초 요청 의미 채택 packet 생성</x:v>
      </x:c>
      <x:c r="E542" s="12" t="str">
        <x:v>via</x:v>
      </x:c>
      <x:c r="F542" s="13" t="n">
        <x:v>0.14</x:v>
      </x:c>
      <x:c r="G542" s="13" t="n">
        <x:v>1.2400000000000002</x:v>
      </x:c>
      <x:c r="H542" s="13" t="n">
        <x:v>1.1</x:v>
      </x:c>
      <x:c r="I542" s="13" t="n">
        <x:v>0</x:v>
      </x:c>
      <x:c r="J542" s="12" t="str">
        <x:v>read</x:v>
      </x:c>
      <x:c r="K542" s="12" t="str">
        <x:v>semantic</x:v>
      </x:c>
      <x:c r="L542" s="13" t="n">
        <x:f>IF(G542&lt;=I542,0,MAX(0,L541)+IF(E542="via",MAX(0,G542-MAX(F542,I542)),0))</x:f>
        <x:v>1.2400000000000002</x:v>
      </x:c>
    </x:row>
    <x:row r="543" ht="42" customHeight="1">
      <x:c r="A543" s="7" t="str">
        <x:v>DP2-B</x:v>
      </x:c>
      <x:c r="B543" s="7" t="str">
        <x:v>U15</x:v>
      </x:c>
      <x:c r="C543" s="7" t="str">
        <x:v>adopt</x:v>
      </x:c>
      <x:c r="D543" s="7" t="str">
        <x:v>현재 revision과 권한 검사 및 채택</x:v>
      </x:c>
      <x:c r="E543" s="7" t="str">
        <x:v>via</x:v>
      </x:c>
      <x:c r="F543" s="14" t="n">
        <x:v>1.2400000000000002</x:v>
      </x:c>
      <x:c r="G543" s="14" t="n">
        <x:v>1.2700000000000002</x:v>
      </x:c>
      <x:c r="H543" s="14" t="n">
        <x:v>0.03</x:v>
      </x:c>
      <x:c r="I543" s="14" t="n">
        <x:v>0</x:v>
      </x:c>
      <x:c r="J543" s="7" t="str">
        <x:v>meaning</x:v>
      </x:c>
      <x:c r="K543" s="7" t="str">
        <x:v>none</x:v>
      </x:c>
      <x:c r="L543" s="14" t="n">
        <x:f>IF(G543&lt;=I543,0,MAX(0,L542)+IF(E543="via",MAX(0,G543-MAX(F543,I543)),0))</x:f>
        <x:v>1.2700000000000002</x:v>
      </x:c>
    </x:row>
    <x:row r="544" ht="42" customHeight="1">
      <x:c r="A544" s="12" t="str">
        <x:v>DP2-B</x:v>
      </x:c>
      <x:c r="B544" s="12" t="str">
        <x:v>U15</x:v>
      </x:c>
      <x:c r="C544" s="12" t="str">
        <x:v>first_display</x:v>
      </x:c>
      <x:c r="D544" s="12" t="str">
        <x:v>첫 구체적 채택 내용 화면 표시</x:v>
      </x:c>
      <x:c r="E544" s="12" t="str">
        <x:v>via</x:v>
      </x:c>
      <x:c r="F544" s="13" t="n">
        <x:v>1.2700000000000002</x:v>
      </x:c>
      <x:c r="G544" s="13" t="n">
        <x:v>1.3100000000000003</x:v>
      </x:c>
      <x:c r="H544" s="13" t="n">
        <x:v>0.04</x:v>
      </x:c>
      <x:c r="I544" s="13" t="n">
        <x:v>0</x:v>
      </x:c>
      <x:c r="J544" s="12" t="str">
        <x:v>adopt</x:v>
      </x:c>
      <x:c r="K544" s="12" t="str">
        <x:v>none</x:v>
      </x:c>
      <x:c r="L544" s="13" t="n">
        <x:f>IF(G544&lt;=I544,0,MAX(0,L543)+IF(E544="via",MAX(0,G544-MAX(F544,I544)),0))</x:f>
        <x:v>1.3100000000000003</x:v>
      </x:c>
    </x:row>
    <x:row r="545" ht="42" customHeight="1">
      <x:c r="A545" s="7" t="str">
        <x:v>DP2-B</x:v>
      </x:c>
      <x:c r="B545" s="7" t="str">
        <x:v>U15</x:v>
      </x:c>
      <x:c r="C545" s="7" t="str">
        <x:v>agent_ingress</x:v>
      </x:c>
      <x:c r="D545" s="7" t="str">
        <x:v>Agent 요청 전송</x:v>
      </x:c>
      <x:c r="E545" s="7" t="str">
        <x:v>via</x:v>
      </x:c>
      <x:c r="F545" s="14" t="n">
        <x:v>1.2700000000000002</x:v>
      </x:c>
      <x:c r="G545" s="14" t="n">
        <x:v>1.3100000000000003</x:v>
      </x:c>
      <x:c r="H545" s="14" t="n">
        <x:v>0.04</x:v>
      </x:c>
      <x:c r="I545" s="14" t="n">
        <x:v>0</x:v>
      </x:c>
      <x:c r="J545" s="7" t="str">
        <x:v>adopt</x:v>
      </x:c>
      <x:c r="K545" s="7" t="str">
        <x:v>none</x:v>
      </x:c>
      <x:c r="L545" s="14" t="n">
        <x:f>IF(G545&lt;=I545,0,MAX(0,L543)+IF(E545="via",MAX(0,G545-MAX(F545,I545)),0))</x:f>
        <x:v>1.3100000000000003</x:v>
      </x:c>
    </x:row>
    <x:row r="546" ht="42" customHeight="1">
      <x:c r="A546" s="12" t="str">
        <x:v>DP2-B</x:v>
      </x:c>
      <x:c r="B546" s="12" t="str">
        <x:v>U15</x:v>
      </x:c>
      <x:c r="C546" s="12" t="str">
        <x:v>agent_result</x:v>
      </x:c>
      <x:c r="D546" s="12" t="str">
        <x:v>외부 Agent 업무</x:v>
      </x:c>
      <x:c r="E546" s="12" t="str">
        <x:v>external</x:v>
      </x:c>
      <x:c r="F546" s="13" t="n">
        <x:v>1.3100000000000003</x:v>
      </x:c>
      <x:c r="G546" s="13" t="n">
        <x:v>9.31</x:v>
      </x:c>
      <x:c r="H546" s="13" t="n">
        <x:v>8</x:v>
      </x:c>
      <x:c r="I546" s="13" t="n">
        <x:v>0</x:v>
      </x:c>
      <x:c r="J546" s="12" t="str">
        <x:v>agent_ingress</x:v>
      </x:c>
      <x:c r="K546" s="12" t="str">
        <x:v>none</x:v>
      </x:c>
      <x:c r="L546" s="13" t="n">
        <x:f>IF(G546&lt;=I546,0,MAX(0,L545)+IF(E546="via",MAX(0,G546-MAX(F546,I546)),0))</x:f>
        <x:v>1.3100000000000003</x:v>
      </x:c>
    </x:row>
    <x:row r="547" ht="42" customHeight="1">
      <x:c r="A547" s="7" t="str">
        <x:v>DP2-B</x:v>
      </x:c>
      <x:c r="B547" s="7" t="str">
        <x:v>U15</x:v>
      </x:c>
      <x:c r="C547" s="7" t="str">
        <x:v>result_display</x:v>
      </x:c>
      <x:c r="D547" s="7" t="str">
        <x:v>최종 결과 상세 표시</x:v>
      </x:c>
      <x:c r="E547" s="7" t="str">
        <x:v>via</x:v>
      </x:c>
      <x:c r="F547" s="14" t="n">
        <x:v>9.31</x:v>
      </x:c>
      <x:c r="G547" s="14" t="n">
        <x:v>9.35</x:v>
      </x:c>
      <x:c r="H547" s="14" t="n">
        <x:v>0.04</x:v>
      </x:c>
      <x:c r="I547" s="14" t="n">
        <x:v>0</x:v>
      </x:c>
      <x:c r="J547" s="7" t="str">
        <x:v>agent_result</x:v>
      </x:c>
      <x:c r="K547" s="7" t="str">
        <x:v>none</x:v>
      </x:c>
      <x:c r="L547" s="14" t="n">
        <x:f>IF(G547&lt;=I547,0,MAX(0,L546)+IF(E547="via",MAX(0,G547-MAX(F547,I547)),0))</x:f>
        <x:v>1.3499999999999994</x:v>
      </x:c>
    </x:row>
    <x:row r="548" ht="42" customHeight="1">
      <x:c r="A548" s="12" t="str">
        <x:v>DP2-B</x:v>
      </x:c>
      <x:c r="B548" s="12" t="str">
        <x:v>U15</x:v>
      </x:c>
      <x:c r="C548" s="12" t="str">
        <x:v>response_audio</x:v>
      </x:c>
      <x:c r="D548" s="12" t="str">
        <x:v>선택한 응답 음성 생성</x:v>
      </x:c>
      <x:c r="E548" s="12" t="str">
        <x:v>via</x:v>
      </x:c>
      <x:c r="F548" s="13" t="n">
        <x:v>9.31</x:v>
      </x:c>
      <x:c r="G548" s="13" t="n">
        <x:v>11.198</x:v>
      </x:c>
      <x:c r="H548" s="13" t="n">
        <x:v>1.888</x:v>
      </x:c>
      <x:c r="I548" s="13" t="n">
        <x:v>0</x:v>
      </x:c>
      <x:c r="J548" s="12" t="str">
        <x:v>agent_result</x:v>
      </x:c>
      <x:c r="K548" s="12" t="str">
        <x:v>speech</x:v>
      </x:c>
      <x:c r="L548" s="13" t="n">
        <x:f>IF(G548&lt;=I548,0,MAX(0,L546)+IF(E548="via",MAX(0,G548-MAX(F548,I548)),0))</x:f>
        <x:v>3.1980000000000004</x:v>
      </x:c>
    </x:row>
    <x:row r="549" ht="42" customHeight="1">
      <x:c r="A549" s="7" t="str">
        <x:v>DP2-B</x:v>
      </x:c>
      <x:c r="B549" s="7" t="str">
        <x:v>U15</x:v>
      </x:c>
      <x:c r="C549" s="7" t="str">
        <x:v>intent_audio</x:v>
      </x:c>
      <x:c r="D549" s="7" t="str">
        <x:v>채택한 구체적 수행 의도의 짧은 음성</x:v>
      </x:c>
      <x:c r="E549" s="7" t="str">
        <x:v>via</x:v>
      </x:c>
      <x:c r="F549" s="14" t="n">
        <x:v>1.2700000000000002</x:v>
      </x:c>
      <x:c r="G549" s="14" t="n">
        <x:v>2.404</x:v>
      </x:c>
      <x:c r="H549" s="14" t="n">
        <x:v>1.134</x:v>
      </x:c>
      <x:c r="I549" s="14" t="n">
        <x:v>0</x:v>
      </x:c>
      <x:c r="J549" s="7" t="str">
        <x:v>adopt</x:v>
      </x:c>
      <x:c r="K549" s="7" t="str">
        <x:v>speech</x:v>
      </x:c>
      <x:c r="L549" s="14" t="n">
        <x:f>IF(G549&lt;=I549,0,MAX(0,L543)+IF(E549="via",MAX(0,G549-MAX(F549,I549)),0))</x:f>
        <x:v>2.404</x:v>
      </x:c>
    </x:row>
    <x:row r="550" ht="42" customHeight="1">
      <x:c r="A550" s="12" t="str">
        <x:v>DP2-B</x:v>
      </x:c>
      <x:c r="B550" s="12" t="str">
        <x:v>U15</x:v>
      </x:c>
      <x:c r="C550" s="12" t="str">
        <x:v>first_chunk</x:v>
      </x:c>
      <x:c r="D550" s="12" t="str">
        <x:v>같은 생성 job의 유효 첫 chunk 관측</x:v>
      </x:c>
      <x:c r="E550" s="12" t="str">
        <x:v>via</x:v>
      </x:c>
      <x:c r="F550" s="13" t="n">
        <x:v>1.2700000000000002</x:v>
      </x:c>
      <x:c r="G550" s="13" t="n">
        <x:v>1.7040000000000002</x:v>
      </x:c>
      <x:c r="H550" s="13" t="n">
        <x:v>0.434</x:v>
      </x:c>
      <x:c r="I550" s="13" t="n">
        <x:v>0</x:v>
      </x:c>
      <x:c r="J550" s="12" t="str">
        <x:v>adopt</x:v>
      </x:c>
      <x:c r="K550" s="12" t="str">
        <x:v>none</x:v>
      </x:c>
      <x:c r="L550" s="13" t="n">
        <x:f>IF(G550&lt;=I550,0,MAX(0,L543)+IF(E550="via",MAX(0,G550-MAX(F550,I550)),0))</x:f>
        <x:v>1.7040000000000002</x:v>
      </x:c>
    </x:row>
    <x:row r="551" ht="42" customHeight="1">
      <x:c r="A551" s="7" t="str">
        <x:v>DP2-B</x:v>
      </x:c>
      <x:c r="B551" s="7" t="str">
        <x:v>U15</x:v>
      </x:c>
      <x:c r="C551" s="7" t="str">
        <x:v>first_audio_output</x:v>
      </x:c>
      <x:c r="D551" s="7" t="str">
        <x:v>공통 장치의 첫 음성 출력</x:v>
      </x:c>
      <x:c r="E551" s="7" t="str">
        <x:v>via</x:v>
      </x:c>
      <x:c r="F551" s="14" t="n">
        <x:v>1.7040000000000002</x:v>
      </x:c>
      <x:c r="G551" s="14" t="n">
        <x:v>1.7440000000000002</x:v>
      </x:c>
      <x:c r="H551" s="14" t="n">
        <x:v>0.04</x:v>
      </x:c>
      <x:c r="I551" s="14" t="n">
        <x:v>0</x:v>
      </x:c>
      <x:c r="J551" s="7" t="str">
        <x:v>adopt, first_chunk</x:v>
      </x:c>
      <x:c r="K551" s="7" t="str">
        <x:v>none</x:v>
      </x:c>
      <x:c r="L551" s="14" t="n">
        <x:f>IF(G551&lt;=I551,0,MAX(0,L543,L550)+IF(E551="via",MAX(0,G551-MAX(F551,I551)),0))</x:f>
        <x:v>1.7440000000000002</x:v>
      </x:c>
    </x:row>
    <x:row r="552" ht="42" customHeight="1">
      <x:c r="A552" s="12" t="str">
        <x:v>DP2-B</x:v>
      </x:c>
      <x:c r="B552" s="12" t="str">
        <x:v>U15</x:v>
      </x:c>
      <x:c r="C552" s="12" t="str">
        <x:v>next_speech_selection</x:v>
      </x:c>
      <x:c r="D552" s="12" t="str">
        <x:v>현재 발화 재생 후 다음 응답 선택</x:v>
      </x:c>
      <x:c r="E552" s="12" t="str">
        <x:v>external</x:v>
      </x:c>
      <x:c r="F552" s="13" t="n">
        <x:v>1.7440000000000002</x:v>
      </x:c>
      <x:c r="G552" s="13" t="n">
        <x:v>4.744</x:v>
      </x:c>
      <x:c r="H552" s="13" t="n">
        <x:v>3</x:v>
      </x:c>
      <x:c r="I552" s="13" t="n">
        <x:v>0</x:v>
      </x:c>
      <x:c r="J552" s="12" t="str">
        <x:v>first_audio_output</x:v>
      </x:c>
      <x:c r="K552" s="12" t="str">
        <x:v>none</x:v>
      </x:c>
      <x:c r="L552" s="13" t="n">
        <x:f>IF(G552&lt;=I552,0,MAX(0,L551)+IF(E552="via",MAX(0,G552-MAX(F552,I552)),0))</x:f>
        <x:v>1.7440000000000002</x:v>
      </x:c>
    </x:row>
    <x:row r="553" ht="42" customHeight="1">
      <x:c r="A553" s="7" t="str">
        <x:v>DP2-B</x:v>
      </x:c>
      <x:c r="B553" s="7" t="str">
        <x:v>U15</x:v>
      </x:c>
      <x:c r="C553" s="7" t="str">
        <x:v>terminal</x:v>
      </x:c>
      <x:c r="D553" s="7" t="str">
        <x:v>공통 목표 최종 상태와 전체 음성 준비</x:v>
      </x:c>
      <x:c r="E553" s="7" t="str">
        <x:v>via</x:v>
      </x:c>
      <x:c r="F553" s="14" t="n">
        <x:v>11.198</x:v>
      </x:c>
      <x:c r="G553" s="14" t="n">
        <x:v>11.198</x:v>
      </x:c>
      <x:c r="H553" s="14" t="n">
        <x:v>0</x:v>
      </x:c>
      <x:c r="I553" s="14" t="n">
        <x:v>0</x:v>
      </x:c>
      <x:c r="J553" s="7" t="str">
        <x:v>result_display, response_audio, intent_audio, first_audio_output</x:v>
      </x:c>
      <x:c r="K553" s="7" t="str">
        <x:v>none</x:v>
      </x:c>
      <x:c r="L553" s="14" t="n">
        <x:f>IF(G553&lt;=I553,0,MAX(0,L547,L548,L549,L551)+IF(E553="via",MAX(0,G553-MAX(F553,I553)),0))</x:f>
        <x:v>3.1980000000000004</x:v>
      </x:c>
    </x:row>
    <x:row r="554" ht="42" customHeight="1">
      <x:c r="A554" s="12" t="str">
        <x:v>DP2-B</x:v>
      </x:c>
      <x:c r="B554" s="12" t="str">
        <x:v>U16</x:v>
      </x:c>
      <x:c r="C554" s="12" t="str">
        <x:v>original_work</x:v>
      </x:c>
      <x:c r="D554" s="12" t="str">
        <x:v>원래 목표의 최초 VIA 처리</x:v>
      </x:c>
      <x:c r="E554" s="12" t="str">
        <x:v>via</x:v>
      </x:c>
      <x:c r="F554" s="13" t="n">
        <x:v>-6</x:v>
      </x:c>
      <x:c r="G554" s="13" t="n">
        <x:v>-4</x:v>
      </x:c>
      <x:c r="H554" s="13" t="n">
        <x:v>2</x:v>
      </x:c>
      <x:c r="I554" s="13" t="n">
        <x:v>-6</x:v>
      </x:c>
      <x:c r="J554" s="12" t="str"/>
      <x:c r="K554" s="12" t="str">
        <x:v>none</x:v>
      </x:c>
      <x:c r="L554" s="13" t="n">
        <x:f>IF(G554&lt;=I554,0,MAX(0)+IF(E554="via",MAX(0,G554-MAX(F554,I554)),0))</x:f>
        <x:v>2</x:v>
      </x:c>
    </x:row>
    <x:row r="555" ht="42" customHeight="1">
      <x:c r="A555" s="7" t="str">
        <x:v>DP2-B</x:v>
      </x:c>
      <x:c r="B555" s="7" t="str">
        <x:v>U16</x:v>
      </x:c>
      <x:c r="C555" s="7" t="str">
        <x:v>input_end</x:v>
      </x:c>
      <x:c r="D555" s="7" t="str">
        <x:v>사용자 입력 종료</x:v>
      </x:c>
      <x:c r="E555" s="7" t="str">
        <x:v>external</x:v>
      </x:c>
      <x:c r="F555" s="14" t="n">
        <x:v>0</x:v>
      </x:c>
      <x:c r="G555" s="14" t="n">
        <x:v>0</x:v>
      </x:c>
      <x:c r="H555" s="14" t="n">
        <x:v>0</x:v>
      </x:c>
      <x:c r="I555" s="14" t="n">
        <x:v>-6</x:v>
      </x:c>
      <x:c r="J555" s="7" t="str">
        <x:v>original_work</x:v>
      </x:c>
      <x:c r="K555" s="7" t="str">
        <x:v>none</x:v>
      </x:c>
      <x:c r="L555" s="14" t="n">
        <x:f>IF(G555&lt;=I555,0,MAX(0,L554)+IF(E555="via",MAX(0,G555-MAX(F555,I555)),0))</x:f>
        <x:v>2</x:v>
      </x:c>
    </x:row>
    <x:row r="556" ht="42" customHeight="1">
      <x:c r="A556" s="12" t="str">
        <x:v>DP2-B</x:v>
      </x:c>
      <x:c r="B556" s="12" t="str">
        <x:v>U16</x:v>
      </x:c>
      <x:c r="C556" s="12" t="str">
        <x:v>intake</x:v>
      </x:c>
      <x:c r="D556" s="12" t="str">
        <x:v>입력 확정</x:v>
      </x:c>
      <x:c r="E556" s="12" t="str">
        <x:v>via</x:v>
      </x:c>
      <x:c r="F556" s="13" t="n">
        <x:v>0</x:v>
      </x:c>
      <x:c r="G556" s="13" t="n">
        <x:v>0.3</x:v>
      </x:c>
      <x:c r="H556" s="13" t="n">
        <x:v>0.3</x:v>
      </x:c>
      <x:c r="I556" s="13" t="n">
        <x:v>-6</x:v>
      </x:c>
      <x:c r="J556" s="12" t="str">
        <x:v>input_end</x:v>
      </x:c>
      <x:c r="K556" s="12" t="str">
        <x:v>none</x:v>
      </x:c>
      <x:c r="L556" s="13" t="n">
        <x:f>IF(G556&lt;=I556,0,MAX(0,L555)+IF(E556="via",MAX(0,G556-MAX(F556,I556)),0))</x:f>
        <x:v>2.3</x:v>
      </x:c>
    </x:row>
    <x:row r="557" ht="42" customHeight="1">
      <x:c r="A557" s="7" t="str">
        <x:v>DP2-B</x:v>
      </x:c>
      <x:c r="B557" s="7" t="str">
        <x:v>U16</x:v>
      </x:c>
      <x:c r="C557" s="7" t="str">
        <x:v>read</x:v>
      </x:c>
      <x:c r="D557" s="7" t="str">
        <x:v>공통 허용 원본 조회</x:v>
      </x:c>
      <x:c r="E557" s="7" t="str">
        <x:v>via</x:v>
      </x:c>
      <x:c r="F557" s="14" t="n">
        <x:v>0.3</x:v>
      </x:c>
      <x:c r="G557" s="14" t="n">
        <x:v>0.38</x:v>
      </x:c>
      <x:c r="H557" s="14" t="n">
        <x:v>0.08</x:v>
      </x:c>
      <x:c r="I557" s="14" t="n">
        <x:v>-6</x:v>
      </x:c>
      <x:c r="J557" s="7" t="str">
        <x:v>intake</x:v>
      </x:c>
      <x:c r="K557" s="7" t="str">
        <x:v>none</x:v>
      </x:c>
      <x:c r="L557" s="14" t="n">
        <x:f>IF(G557&lt;=I557,0,MAX(0,L556)+IF(E557="via",MAX(0,G557-MAX(F557,I557)),0))</x:f>
        <x:v>2.38</x:v>
      </x:c>
    </x:row>
    <x:row r="558" ht="42" customHeight="1">
      <x:c r="A558" s="12" t="str">
        <x:v>DP2-B</x:v>
      </x:c>
      <x:c r="B558" s="12" t="str">
        <x:v>U16</x:v>
      </x:c>
      <x:c r="C558" s="12" t="str">
        <x:v>meaning</x:v>
      </x:c>
      <x:c r="D558" s="12" t="str">
        <x:v>최초 요청 의미 채택 packet 생성</x:v>
      </x:c>
      <x:c r="E558" s="12" t="str">
        <x:v>via</x:v>
      </x:c>
      <x:c r="F558" s="13" t="n">
        <x:v>0.38</x:v>
      </x:c>
      <x:c r="G558" s="13" t="n">
        <x:v>1.88</x:v>
      </x:c>
      <x:c r="H558" s="13" t="n">
        <x:v>1.5</x:v>
      </x:c>
      <x:c r="I558" s="13" t="n">
        <x:v>-6</x:v>
      </x:c>
      <x:c r="J558" s="12" t="str">
        <x:v>read</x:v>
      </x:c>
      <x:c r="K558" s="12" t="str">
        <x:v>semantic</x:v>
      </x:c>
      <x:c r="L558" s="13" t="n">
        <x:f>IF(G558&lt;=I558,0,MAX(0,L557)+IF(E558="via",MAX(0,G558-MAX(F558,I558)),0))</x:f>
        <x:v>3.88</x:v>
      </x:c>
    </x:row>
    <x:row r="559" ht="42" customHeight="1">
      <x:c r="A559" s="7" t="str">
        <x:v>DP2-B</x:v>
      </x:c>
      <x:c r="B559" s="7" t="str">
        <x:v>U16</x:v>
      </x:c>
      <x:c r="C559" s="7" t="str">
        <x:v>adopt</x:v>
      </x:c>
      <x:c r="D559" s="7" t="str">
        <x:v>현재 revision과 권한 검사 및 채택</x:v>
      </x:c>
      <x:c r="E559" s="7" t="str">
        <x:v>via</x:v>
      </x:c>
      <x:c r="F559" s="14" t="n">
        <x:v>1.88</x:v>
      </x:c>
      <x:c r="G559" s="14" t="n">
        <x:v>1.91</x:v>
      </x:c>
      <x:c r="H559" s="14" t="n">
        <x:v>0.03</x:v>
      </x:c>
      <x:c r="I559" s="14" t="n">
        <x:v>-6</x:v>
      </x:c>
      <x:c r="J559" s="7" t="str">
        <x:v>meaning</x:v>
      </x:c>
      <x:c r="K559" s="7" t="str">
        <x:v>none</x:v>
      </x:c>
      <x:c r="L559" s="14" t="n">
        <x:f>IF(G559&lt;=I559,0,MAX(0,L558)+IF(E559="via",MAX(0,G559-MAX(F559,I559)),0))</x:f>
        <x:v>3.91</x:v>
      </x:c>
    </x:row>
    <x:row r="560" ht="42" customHeight="1">
      <x:c r="A560" s="12" t="str">
        <x:v>DP2-B</x:v>
      </x:c>
      <x:c r="B560" s="12" t="str">
        <x:v>U16</x:v>
      </x:c>
      <x:c r="C560" s="12" t="str">
        <x:v>first_display</x:v>
      </x:c>
      <x:c r="D560" s="12" t="str">
        <x:v>첫 구체적 채택 내용 화면 표시</x:v>
      </x:c>
      <x:c r="E560" s="12" t="str">
        <x:v>via</x:v>
      </x:c>
      <x:c r="F560" s="13" t="n">
        <x:v>1.91</x:v>
      </x:c>
      <x:c r="G560" s="13" t="n">
        <x:v>1.95</x:v>
      </x:c>
      <x:c r="H560" s="13" t="n">
        <x:v>0.04</x:v>
      </x:c>
      <x:c r="I560" s="13" t="n">
        <x:v>-6</x:v>
      </x:c>
      <x:c r="J560" s="12" t="str">
        <x:v>adopt</x:v>
      </x:c>
      <x:c r="K560" s="12" t="str">
        <x:v>none</x:v>
      </x:c>
      <x:c r="L560" s="13" t="n">
        <x:f>IF(G560&lt;=I560,0,MAX(0,L559)+IF(E560="via",MAX(0,G560-MAX(F560,I560)),0))</x:f>
        <x:v>3.95</x:v>
      </x:c>
    </x:row>
    <x:row r="561" ht="42" customHeight="1">
      <x:c r="A561" s="7" t="str">
        <x:v>DP2-B</x:v>
      </x:c>
      <x:c r="B561" s="7" t="str">
        <x:v>U16</x:v>
      </x:c>
      <x:c r="C561" s="7" t="str">
        <x:v>agent_ingress</x:v>
      </x:c>
      <x:c r="D561" s="7" t="str">
        <x:v>Agent 요청 전송</x:v>
      </x:c>
      <x:c r="E561" s="7" t="str">
        <x:v>via</x:v>
      </x:c>
      <x:c r="F561" s="14" t="n">
        <x:v>1.91</x:v>
      </x:c>
      <x:c r="G561" s="14" t="n">
        <x:v>1.95</x:v>
      </x:c>
      <x:c r="H561" s="14" t="n">
        <x:v>0.04</x:v>
      </x:c>
      <x:c r="I561" s="14" t="n">
        <x:v>-6</x:v>
      </x:c>
      <x:c r="J561" s="7" t="str">
        <x:v>adopt</x:v>
      </x:c>
      <x:c r="K561" s="7" t="str">
        <x:v>none</x:v>
      </x:c>
      <x:c r="L561" s="14" t="n">
        <x:f>IF(G561&lt;=I561,0,MAX(0,L559)+IF(E561="via",MAX(0,G561-MAX(F561,I561)),0))</x:f>
        <x:v>3.95</x:v>
      </x:c>
    </x:row>
    <x:row r="562" ht="42" customHeight="1">
      <x:c r="A562" s="12" t="str">
        <x:v>DP2-B</x:v>
      </x:c>
      <x:c r="B562" s="12" t="str">
        <x:v>U16</x:v>
      </x:c>
      <x:c r="C562" s="12" t="str">
        <x:v>agent_result</x:v>
      </x:c>
      <x:c r="D562" s="12" t="str">
        <x:v>외부 Agent 업무</x:v>
      </x:c>
      <x:c r="E562" s="12" t="str">
        <x:v>external</x:v>
      </x:c>
      <x:c r="F562" s="13" t="n">
        <x:v>1.95</x:v>
      </x:c>
      <x:c r="G562" s="13" t="n">
        <x:v>9.95</x:v>
      </x:c>
      <x:c r="H562" s="13" t="n">
        <x:v>8</x:v>
      </x:c>
      <x:c r="I562" s="13" t="n">
        <x:v>-6</x:v>
      </x:c>
      <x:c r="J562" s="12" t="str">
        <x:v>agent_ingress</x:v>
      </x:c>
      <x:c r="K562" s="12" t="str">
        <x:v>none</x:v>
      </x:c>
      <x:c r="L562" s="13" t="n">
        <x:f>IF(G562&lt;=I562,0,MAX(0,L561)+IF(E562="via",MAX(0,G562-MAX(F562,I562)),0))</x:f>
        <x:v>3.95</x:v>
      </x:c>
    </x:row>
    <x:row r="563" ht="42" customHeight="1">
      <x:c r="A563" s="7" t="str">
        <x:v>DP2-B</x:v>
      </x:c>
      <x:c r="B563" s="7" t="str">
        <x:v>U16</x:v>
      </x:c>
      <x:c r="C563" s="7" t="str">
        <x:v>result_display</x:v>
      </x:c>
      <x:c r="D563" s="7" t="str">
        <x:v>최종 결과 상세 표시</x:v>
      </x:c>
      <x:c r="E563" s="7" t="str">
        <x:v>via</x:v>
      </x:c>
      <x:c r="F563" s="14" t="n">
        <x:v>9.95</x:v>
      </x:c>
      <x:c r="G563" s="14" t="n">
        <x:v>9.989999999999998</x:v>
      </x:c>
      <x:c r="H563" s="14" t="n">
        <x:v>0.04</x:v>
      </x:c>
      <x:c r="I563" s="14" t="n">
        <x:v>-6</x:v>
      </x:c>
      <x:c r="J563" s="7" t="str">
        <x:v>agent_result</x:v>
      </x:c>
      <x:c r="K563" s="7" t="str">
        <x:v>none</x:v>
      </x:c>
      <x:c r="L563" s="14" t="n">
        <x:f>IF(G563&lt;=I563,0,MAX(0,L562)+IF(E563="via",MAX(0,G563-MAX(F563,I563)),0))</x:f>
        <x:v>3.9899999999999993</x:v>
      </x:c>
    </x:row>
    <x:row r="564" ht="42" customHeight="1">
      <x:c r="A564" s="12" t="str">
        <x:v>DP2-B</x:v>
      </x:c>
      <x:c r="B564" s="12" t="str">
        <x:v>U16</x:v>
      </x:c>
      <x:c r="C564" s="12" t="str">
        <x:v>response_audio</x:v>
      </x:c>
      <x:c r="D564" s="12" t="str">
        <x:v>선택한 응답 음성 생성</x:v>
      </x:c>
      <x:c r="E564" s="12" t="str">
        <x:v>via</x:v>
      </x:c>
      <x:c r="F564" s="13" t="n">
        <x:v>9.95</x:v>
      </x:c>
      <x:c r="G564" s="13" t="n">
        <x:v>11.838</x:v>
      </x:c>
      <x:c r="H564" s="13" t="n">
        <x:v>1.888</x:v>
      </x:c>
      <x:c r="I564" s="13" t="n">
        <x:v>-6</x:v>
      </x:c>
      <x:c r="J564" s="12" t="str">
        <x:v>agent_result</x:v>
      </x:c>
      <x:c r="K564" s="12" t="str">
        <x:v>speech</x:v>
      </x:c>
      <x:c r="L564" s="13" t="n">
        <x:f>IF(G564&lt;=I564,0,MAX(0,L562)+IF(E564="via",MAX(0,G564-MAX(F564,I564)),0))</x:f>
        <x:v>5.838</x:v>
      </x:c>
    </x:row>
    <x:row r="565" ht="42" customHeight="1">
      <x:c r="A565" s="7" t="str">
        <x:v>DP2-B</x:v>
      </x:c>
      <x:c r="B565" s="7" t="str">
        <x:v>U16</x:v>
      </x:c>
      <x:c r="C565" s="7" t="str">
        <x:v>intent_audio</x:v>
      </x:c>
      <x:c r="D565" s="7" t="str">
        <x:v>채택한 구체적 수행 의도의 짧은 음성</x:v>
      </x:c>
      <x:c r="E565" s="7" t="str">
        <x:v>via</x:v>
      </x:c>
      <x:c r="F565" s="14" t="n">
        <x:v>1.91</x:v>
      </x:c>
      <x:c r="G565" s="14" t="n">
        <x:v>3.0439999999999996</x:v>
      </x:c>
      <x:c r="H565" s="14" t="n">
        <x:v>1.134</x:v>
      </x:c>
      <x:c r="I565" s="14" t="n">
        <x:v>-6</x:v>
      </x:c>
      <x:c r="J565" s="7" t="str">
        <x:v>adopt</x:v>
      </x:c>
      <x:c r="K565" s="7" t="str">
        <x:v>speech</x:v>
      </x:c>
      <x:c r="L565" s="14" t="n">
        <x:f>IF(G565&lt;=I565,0,MAX(0,L559)+IF(E565="via",MAX(0,G565-MAX(F565,I565)),0))</x:f>
        <x:v>5.044</x:v>
      </x:c>
    </x:row>
    <x:row r="566" ht="42" customHeight="1">
      <x:c r="A566" s="12" t="str">
        <x:v>DP2-B</x:v>
      </x:c>
      <x:c r="B566" s="12" t="str">
        <x:v>U16</x:v>
      </x:c>
      <x:c r="C566" s="12" t="str">
        <x:v>first_chunk</x:v>
      </x:c>
      <x:c r="D566" s="12" t="str">
        <x:v>같은 생성 job의 유효 첫 chunk 관측</x:v>
      </x:c>
      <x:c r="E566" s="12" t="str">
        <x:v>via</x:v>
      </x:c>
      <x:c r="F566" s="13" t="n">
        <x:v>1.91</x:v>
      </x:c>
      <x:c r="G566" s="13" t="n">
        <x:v>2.344</x:v>
      </x:c>
      <x:c r="H566" s="13" t="n">
        <x:v>0.434</x:v>
      </x:c>
      <x:c r="I566" s="13" t="n">
        <x:v>-6</x:v>
      </x:c>
      <x:c r="J566" s="12" t="str">
        <x:v>adopt</x:v>
      </x:c>
      <x:c r="K566" s="12" t="str">
        <x:v>none</x:v>
      </x:c>
      <x:c r="L566" s="13" t="n">
        <x:f>IF(G566&lt;=I566,0,MAX(0,L559)+IF(E566="via",MAX(0,G566-MAX(F566,I566)),0))</x:f>
        <x:v>4.344</x:v>
      </x:c>
    </x:row>
    <x:row r="567" ht="42" customHeight="1">
      <x:c r="A567" s="7" t="str">
        <x:v>DP2-B</x:v>
      </x:c>
      <x:c r="B567" s="7" t="str">
        <x:v>U16</x:v>
      </x:c>
      <x:c r="C567" s="7" t="str">
        <x:v>first_audio_output</x:v>
      </x:c>
      <x:c r="D567" s="7" t="str">
        <x:v>공통 장치의 첫 음성 출력</x:v>
      </x:c>
      <x:c r="E567" s="7" t="str">
        <x:v>via</x:v>
      </x:c>
      <x:c r="F567" s="14" t="n">
        <x:v>2.344</x:v>
      </x:c>
      <x:c r="G567" s="14" t="n">
        <x:v>2.384</x:v>
      </x:c>
      <x:c r="H567" s="14" t="n">
        <x:v>0.04</x:v>
      </x:c>
      <x:c r="I567" s="14" t="n">
        <x:v>-6</x:v>
      </x:c>
      <x:c r="J567" s="7" t="str">
        <x:v>adopt, first_chunk</x:v>
      </x:c>
      <x:c r="K567" s="7" t="str">
        <x:v>none</x:v>
      </x:c>
      <x:c r="L567" s="14" t="n">
        <x:f>IF(G567&lt;=I567,0,MAX(0,L559,L566)+IF(E567="via",MAX(0,G567-MAX(F567,I567)),0))</x:f>
        <x:v>4.384</x:v>
      </x:c>
    </x:row>
    <x:row r="568" ht="42" customHeight="1">
      <x:c r="A568" s="12" t="str">
        <x:v>DP2-B</x:v>
      </x:c>
      <x:c r="B568" s="12" t="str">
        <x:v>U16</x:v>
      </x:c>
      <x:c r="C568" s="12" t="str">
        <x:v>next_speech_selection</x:v>
      </x:c>
      <x:c r="D568" s="12" t="str">
        <x:v>현재 발화 재생 후 다음 응답 선택</x:v>
      </x:c>
      <x:c r="E568" s="12" t="str">
        <x:v>external</x:v>
      </x:c>
      <x:c r="F568" s="13" t="n">
        <x:v>2.384</x:v>
      </x:c>
      <x:c r="G568" s="13" t="n">
        <x:v>5.384</x:v>
      </x:c>
      <x:c r="H568" s="13" t="n">
        <x:v>3</x:v>
      </x:c>
      <x:c r="I568" s="13" t="n">
        <x:v>-6</x:v>
      </x:c>
      <x:c r="J568" s="12" t="str">
        <x:v>first_audio_output</x:v>
      </x:c>
      <x:c r="K568" s="12" t="str">
        <x:v>none</x:v>
      </x:c>
      <x:c r="L568" s="13" t="n">
        <x:f>IF(G568&lt;=I568,0,MAX(0,L567)+IF(E568="via",MAX(0,G568-MAX(F568,I568)),0))</x:f>
        <x:v>4.384</x:v>
      </x:c>
    </x:row>
    <x:row r="569" ht="42" customHeight="1">
      <x:c r="A569" s="7" t="str">
        <x:v>DP2-B</x:v>
      </x:c>
      <x:c r="B569" s="7" t="str">
        <x:v>U16</x:v>
      </x:c>
      <x:c r="C569" s="7" t="str">
        <x:v>terminal</x:v>
      </x:c>
      <x:c r="D569" s="7" t="str">
        <x:v>공통 목표 최종 상태와 전체 음성 준비</x:v>
      </x:c>
      <x:c r="E569" s="7" t="str">
        <x:v>via</x:v>
      </x:c>
      <x:c r="F569" s="14" t="n">
        <x:v>11.838</x:v>
      </x:c>
      <x:c r="G569" s="14" t="n">
        <x:v>11.838</x:v>
      </x:c>
      <x:c r="H569" s="14" t="n">
        <x:v>0</x:v>
      </x:c>
      <x:c r="I569" s="14" t="n">
        <x:v>-6</x:v>
      </x:c>
      <x:c r="J569" s="7" t="str">
        <x:v>result_display, response_audio, intent_audio, first_audio_output</x:v>
      </x:c>
      <x:c r="K569" s="7" t="str">
        <x:v>none</x:v>
      </x:c>
      <x:c r="L569" s="14" t="n">
        <x:f>IF(G569&lt;=I569,0,MAX(0,L563,L564,L565,L567)+IF(E569="via",MAX(0,G569-MAX(F569,I569)),0))</x:f>
        <x:v>5.838</x:v>
      </x:c>
    </x:row>
    <x:row r="570" ht="42" customHeight="1">
      <x:c r="A570" s="12" t="str">
        <x:v>DP2-B</x:v>
      </x:c>
      <x:c r="B570" s="12" t="str">
        <x:v>U17</x:v>
      </x:c>
      <x:c r="C570" s="12" t="str">
        <x:v>input_end</x:v>
      </x:c>
      <x:c r="D570" s="12" t="str">
        <x:v>사용자 입력 종료</x:v>
      </x:c>
      <x:c r="E570" s="12" t="str">
        <x:v>external</x:v>
      </x:c>
      <x:c r="F570" s="13" t="n">
        <x:v>0</x:v>
      </x:c>
      <x:c r="G570" s="13" t="n">
        <x:v>0</x:v>
      </x:c>
      <x:c r="H570" s="13" t="n">
        <x:v>0</x:v>
      </x:c>
      <x:c r="I570" s="13" t="n">
        <x:v>0</x:v>
      </x:c>
      <x:c r="J570" s="12" t="str"/>
      <x:c r="K570" s="12" t="str">
        <x:v>none</x:v>
      </x:c>
      <x:c r="L570" s="13" t="n">
        <x:f>IF(G570&lt;=I570,0,MAX(0)+IF(E570="via",MAX(0,G570-MAX(F570,I570)),0))</x:f>
        <x:v>0</x:v>
      </x:c>
    </x:row>
    <x:row r="571" ht="42" customHeight="1">
      <x:c r="A571" s="7" t="str">
        <x:v>DP2-B</x:v>
      </x:c>
      <x:c r="B571" s="7" t="str">
        <x:v>U17</x:v>
      </x:c>
      <x:c r="C571" s="7" t="str">
        <x:v>intake</x:v>
      </x:c>
      <x:c r="D571" s="7" t="str">
        <x:v>입력 확정</x:v>
      </x:c>
      <x:c r="E571" s="7" t="str">
        <x:v>via</x:v>
      </x:c>
      <x:c r="F571" s="14" t="n">
        <x:v>0</x:v>
      </x:c>
      <x:c r="G571" s="14" t="n">
        <x:v>0.3</x:v>
      </x:c>
      <x:c r="H571" s="14" t="n">
        <x:v>0.3</x:v>
      </x:c>
      <x:c r="I571" s="14" t="n">
        <x:v>0</x:v>
      </x:c>
      <x:c r="J571" s="7" t="str">
        <x:v>input_end</x:v>
      </x:c>
      <x:c r="K571" s="7" t="str">
        <x:v>none</x:v>
      </x:c>
      <x:c r="L571" s="14" t="n">
        <x:f>IF(G571&lt;=I571,0,MAX(0,L570)+IF(E571="via",MAX(0,G571-MAX(F571,I571)),0))</x:f>
        <x:v>0.3</x:v>
      </x:c>
    </x:row>
    <x:row r="572" ht="42" customHeight="1">
      <x:c r="A572" s="12" t="str">
        <x:v>DP2-B</x:v>
      </x:c>
      <x:c r="B572" s="12" t="str">
        <x:v>U17</x:v>
      </x:c>
      <x:c r="C572" s="12" t="str">
        <x:v>read</x:v>
      </x:c>
      <x:c r="D572" s="12" t="str">
        <x:v>공통 허용 원본 조회</x:v>
      </x:c>
      <x:c r="E572" s="12" t="str">
        <x:v>via</x:v>
      </x:c>
      <x:c r="F572" s="13" t="n">
        <x:v>0.3</x:v>
      </x:c>
      <x:c r="G572" s="13" t="n">
        <x:v>0.38</x:v>
      </x:c>
      <x:c r="H572" s="13" t="n">
        <x:v>0.08</x:v>
      </x:c>
      <x:c r="I572" s="13" t="n">
        <x:v>0</x:v>
      </x:c>
      <x:c r="J572" s="12" t="str">
        <x:v>intake</x:v>
      </x:c>
      <x:c r="K572" s="12" t="str">
        <x:v>none</x:v>
      </x:c>
      <x:c r="L572" s="13" t="n">
        <x:f>IF(G572&lt;=I572,0,MAX(0,L571)+IF(E572="via",MAX(0,G572-MAX(F572,I572)),0))</x:f>
        <x:v>0.38</x:v>
      </x:c>
    </x:row>
    <x:row r="573" ht="42" customHeight="1">
      <x:c r="A573" s="7" t="str">
        <x:v>DP2-B</x:v>
      </x:c>
      <x:c r="B573" s="7" t="str">
        <x:v>U17</x:v>
      </x:c>
      <x:c r="C573" s="7" t="str">
        <x:v>meaning</x:v>
      </x:c>
      <x:c r="D573" s="7" t="str">
        <x:v>최초 요청 의미 채택 packet 생성</x:v>
      </x:c>
      <x:c r="E573" s="7" t="str">
        <x:v>via</x:v>
      </x:c>
      <x:c r="F573" s="14" t="n">
        <x:v>0.38</x:v>
      </x:c>
      <x:c r="G573" s="14" t="n">
        <x:v>1.48</x:v>
      </x:c>
      <x:c r="H573" s="14" t="n">
        <x:v>1.1</x:v>
      </x:c>
      <x:c r="I573" s="14" t="n">
        <x:v>0</x:v>
      </x:c>
      <x:c r="J573" s="7" t="str">
        <x:v>read</x:v>
      </x:c>
      <x:c r="K573" s="7" t="str">
        <x:v>semantic</x:v>
      </x:c>
      <x:c r="L573" s="14" t="n">
        <x:f>IF(G573&lt;=I573,0,MAX(0,L572)+IF(E573="via",MAX(0,G573-MAX(F573,I573)),0))</x:f>
        <x:v>1.48</x:v>
      </x:c>
    </x:row>
    <x:row r="574" ht="42" customHeight="1">
      <x:c r="A574" s="12" t="str">
        <x:v>DP2-B</x:v>
      </x:c>
      <x:c r="B574" s="12" t="str">
        <x:v>U17</x:v>
      </x:c>
      <x:c r="C574" s="12" t="str">
        <x:v>adopt</x:v>
      </x:c>
      <x:c r="D574" s="12" t="str">
        <x:v>현재 revision과 권한 검사 및 채택</x:v>
      </x:c>
      <x:c r="E574" s="12" t="str">
        <x:v>via</x:v>
      </x:c>
      <x:c r="F574" s="13" t="n">
        <x:v>1.48</x:v>
      </x:c>
      <x:c r="G574" s="13" t="n">
        <x:v>1.51</x:v>
      </x:c>
      <x:c r="H574" s="13" t="n">
        <x:v>0.03</x:v>
      </x:c>
      <x:c r="I574" s="13" t="n">
        <x:v>0</x:v>
      </x:c>
      <x:c r="J574" s="12" t="str">
        <x:v>meaning</x:v>
      </x:c>
      <x:c r="K574" s="12" t="str">
        <x:v>none</x:v>
      </x:c>
      <x:c r="L574" s="13" t="n">
        <x:f>IF(G574&lt;=I574,0,MAX(0,L573)+IF(E574="via",MAX(0,G574-MAX(F574,I574)),0))</x:f>
        <x:v>1.51</x:v>
      </x:c>
    </x:row>
    <x:row r="575" ht="42" customHeight="1">
      <x:c r="A575" s="7" t="str">
        <x:v>DP2-B</x:v>
      </x:c>
      <x:c r="B575" s="7" t="str">
        <x:v>U17</x:v>
      </x:c>
      <x:c r="C575" s="7" t="str">
        <x:v>first_display</x:v>
      </x:c>
      <x:c r="D575" s="7" t="str">
        <x:v>첫 구체적 채택 내용 화면 표시</x:v>
      </x:c>
      <x:c r="E575" s="7" t="str">
        <x:v>via</x:v>
      </x:c>
      <x:c r="F575" s="14" t="n">
        <x:v>1.51</x:v>
      </x:c>
      <x:c r="G575" s="14" t="n">
        <x:v>1.55</x:v>
      </x:c>
      <x:c r="H575" s="14" t="n">
        <x:v>0.04</x:v>
      </x:c>
      <x:c r="I575" s="14" t="n">
        <x:v>0</x:v>
      </x:c>
      <x:c r="J575" s="7" t="str">
        <x:v>adopt</x:v>
      </x:c>
      <x:c r="K575" s="7" t="str">
        <x:v>none</x:v>
      </x:c>
      <x:c r="L575" s="14" t="n">
        <x:f>IF(G575&lt;=I575,0,MAX(0,L574)+IF(E575="via",MAX(0,G575-MAX(F575,I575)),0))</x:f>
        <x:v>1.55</x:v>
      </x:c>
    </x:row>
    <x:row r="576" ht="42" customHeight="1">
      <x:c r="A576" s="12" t="str">
        <x:v>DP2-B</x:v>
      </x:c>
      <x:c r="B576" s="12" t="str">
        <x:v>U17</x:v>
      </x:c>
      <x:c r="C576" s="12" t="str">
        <x:v>question_arrival</x:v>
      </x:c>
      <x:c r="D576" s="12" t="str">
        <x:v>Agent 질문 텍스트 도착</x:v>
      </x:c>
      <x:c r="E576" s="12" t="str">
        <x:v>external</x:v>
      </x:c>
      <x:c r="F576" s="13" t="n">
        <x:v>-2</x:v>
      </x:c>
      <x:c r="G576" s="13" t="n">
        <x:v>-2</x:v>
      </x:c>
      <x:c r="H576" s="13" t="n">
        <x:v>0</x:v>
      </x:c>
      <x:c r="I576" s="13" t="n">
        <x:v>0</x:v>
      </x:c>
      <x:c r="J576" s="12" t="str"/>
      <x:c r="K576" s="12" t="str">
        <x:v>none</x:v>
      </x:c>
      <x:c r="L576" s="13" t="n">
        <x:f>IF(G576&lt;=I576,0,MAX(0)+IF(E576="via",MAX(0,G576-MAX(F576,I576)),0))</x:f>
        <x:v>0</x:v>
      </x:c>
    </x:row>
    <x:row r="577" ht="42" customHeight="1">
      <x:c r="A577" s="7" t="str">
        <x:v>DP2-B</x:v>
      </x:c>
      <x:c r="B577" s="7" t="str">
        <x:v>U17</x:v>
      </x:c>
      <x:c r="C577" s="7" t="str">
        <x:v>question_audio</x:v>
      </x:c>
      <x:c r="D577" s="7" t="str">
        <x:v>선택한 응답 음성 생성</x:v>
      </x:c>
      <x:c r="E577" s="7" t="str">
        <x:v>via</x:v>
      </x:c>
      <x:c r="F577" s="14" t="n">
        <x:v>-2</x:v>
      </x:c>
      <x:c r="G577" s="14" t="n">
        <x:v>0.3906666666666667</x:v>
      </x:c>
      <x:c r="H577" s="14" t="n">
        <x:v>2.3906666666666667</x:v>
      </x:c>
      <x:c r="I577" s="14" t="n">
        <x:v>0</x:v>
      </x:c>
      <x:c r="J577" s="7" t="str">
        <x:v>question_arrival</x:v>
      </x:c>
      <x:c r="K577" s="7" t="str">
        <x:v>speech</x:v>
      </x:c>
      <x:c r="L577" s="14" t="n">
        <x:f>IF(G577&lt;=I577,0,MAX(0,L576)+IF(E577="via",MAX(0,G577-MAX(F577,I577)),0))</x:f>
        <x:v>0.3906666666666667</x:v>
      </x:c>
    </x:row>
    <x:row r="578" ht="42" customHeight="1">
      <x:c r="A578" s="12" t="str">
        <x:v>DP2-B</x:v>
      </x:c>
      <x:c r="B578" s="12" t="str">
        <x:v>U17</x:v>
      </x:c>
      <x:c r="C578" s="12" t="str">
        <x:v>first_chunk</x:v>
      </x:c>
      <x:c r="D578" s="12" t="str">
        <x:v>같은 생성 job의 유효 첫 chunk 관측</x:v>
      </x:c>
      <x:c r="E578" s="12" t="str">
        <x:v>via</x:v>
      </x:c>
      <x:c r="F578" s="13" t="n">
        <x:v>-2</x:v>
      </x:c>
      <x:c r="G578" s="13" t="n">
        <x:v>-1.5593333333333335</x:v>
      </x:c>
      <x:c r="H578" s="13" t="n">
        <x:v>0.44066666666666665</x:v>
      </x:c>
      <x:c r="I578" s="13" t="n">
        <x:v>0</x:v>
      </x:c>
      <x:c r="J578" s="12" t="str">
        <x:v>question_arrival</x:v>
      </x:c>
      <x:c r="K578" s="12" t="str">
        <x:v>none</x:v>
      </x:c>
      <x:c r="L578" s="13" t="n">
        <x:f>IF(G578&lt;=I578,0,MAX(0,L576)+IF(E578="via",MAX(0,G578-MAX(F578,I578)),0))</x:f>
        <x:v>0</x:v>
      </x:c>
    </x:row>
    <x:row r="579" ht="42" customHeight="1">
      <x:c r="A579" s="7" t="str">
        <x:v>DP2-B</x:v>
      </x:c>
      <x:c r="B579" s="7" t="str">
        <x:v>U17</x:v>
      </x:c>
      <x:c r="C579" s="7" t="str">
        <x:v>first_audio_output</x:v>
      </x:c>
      <x:c r="D579" s="7" t="str">
        <x:v>공통 장치의 첫 음성 출력</x:v>
      </x:c>
      <x:c r="E579" s="7" t="str">
        <x:v>via</x:v>
      </x:c>
      <x:c r="F579" s="14" t="n">
        <x:v>1.51</x:v>
      </x:c>
      <x:c r="G579" s="14" t="n">
        <x:v>1.55</x:v>
      </x:c>
      <x:c r="H579" s="14" t="n">
        <x:v>0.04</x:v>
      </x:c>
      <x:c r="I579" s="14" t="n">
        <x:v>0</x:v>
      </x:c>
      <x:c r="J579" s="7" t="str">
        <x:v>adopt, first_chunk</x:v>
      </x:c>
      <x:c r="K579" s="7" t="str">
        <x:v>none</x:v>
      </x:c>
      <x:c r="L579" s="14" t="n">
        <x:f>IF(G579&lt;=I579,0,MAX(0,L574,L578)+IF(E579="via",MAX(0,G579-MAX(F579,I579)),0))</x:f>
        <x:v>1.55</x:v>
      </x:c>
    </x:row>
    <x:row r="580" ht="42" customHeight="1">
      <x:c r="A580" s="12" t="str">
        <x:v>DP2-B</x:v>
      </x:c>
      <x:c r="B580" s="12" t="str">
        <x:v>U17</x:v>
      </x:c>
      <x:c r="C580" s="12" t="str">
        <x:v>terminal</x:v>
      </x:c>
      <x:c r="D580" s="12" t="str">
        <x:v>공통 목표 최종 상태와 전체 음성 준비</x:v>
      </x:c>
      <x:c r="E580" s="12" t="str">
        <x:v>via</x:v>
      </x:c>
      <x:c r="F580" s="13" t="n">
        <x:v>1.55</x:v>
      </x:c>
      <x:c r="G580" s="13" t="n">
        <x:v>1.55</x:v>
      </x:c>
      <x:c r="H580" s="13" t="n">
        <x:v>0</x:v>
      </x:c>
      <x:c r="I580" s="13" t="n">
        <x:v>0</x:v>
      </x:c>
      <x:c r="J580" s="12" t="str">
        <x:v>first_display, question_audio, first_audio_output</x:v>
      </x:c>
      <x:c r="K580" s="12" t="str">
        <x:v>none</x:v>
      </x:c>
      <x:c r="L580" s="13" t="n">
        <x:f>IF(G580&lt;=I580,0,MAX(0,L575,L577,L579)+IF(E580="via",MAX(0,G580-MAX(F580,I580)),0))</x:f>
        <x:v>1.55</x:v>
      </x:c>
    </x:row>
    <x:row r="581" ht="42" customHeight="1">
      <x:c r="A581" s="7" t="str">
        <x:v>DP2-B</x:v>
      </x:c>
      <x:c r="B581" s="7" t="str">
        <x:v>U18</x:v>
      </x:c>
      <x:c r="C581" s="7" t="str">
        <x:v>input_end</x:v>
      </x:c>
      <x:c r="D581" s="7" t="str">
        <x:v>사용자 입력 종료</x:v>
      </x:c>
      <x:c r="E581" s="7" t="str">
        <x:v>external</x:v>
      </x:c>
      <x:c r="F581" s="14" t="n">
        <x:v>0</x:v>
      </x:c>
      <x:c r="G581" s="14" t="n">
        <x:v>0</x:v>
      </x:c>
      <x:c r="H581" s="14" t="n">
        <x:v>0</x:v>
      </x:c>
      <x:c r="I581" s="14" t="n">
        <x:v>0</x:v>
      </x:c>
      <x:c r="J581" s="7" t="str"/>
      <x:c r="K581" s="7" t="str">
        <x:v>none</x:v>
      </x:c>
      <x:c r="L581" s="14" t="n">
        <x:f>IF(G581&lt;=I581,0,MAX(0)+IF(E581="via",MAX(0,G581-MAX(F581,I581)),0))</x:f>
        <x:v>0</x:v>
      </x:c>
    </x:row>
    <x:row r="582" ht="42" customHeight="1">
      <x:c r="A582" s="12" t="str">
        <x:v>DP2-B</x:v>
      </x:c>
      <x:c r="B582" s="12" t="str">
        <x:v>U18</x:v>
      </x:c>
      <x:c r="C582" s="12" t="str">
        <x:v>intake</x:v>
      </x:c>
      <x:c r="D582" s="12" t="str">
        <x:v>입력 확정</x:v>
      </x:c>
      <x:c r="E582" s="12" t="str">
        <x:v>via</x:v>
      </x:c>
      <x:c r="F582" s="13" t="n">
        <x:v>0</x:v>
      </x:c>
      <x:c r="G582" s="13" t="n">
        <x:v>0.3</x:v>
      </x:c>
      <x:c r="H582" s="13" t="n">
        <x:v>0.3</x:v>
      </x:c>
      <x:c r="I582" s="13" t="n">
        <x:v>0</x:v>
      </x:c>
      <x:c r="J582" s="12" t="str">
        <x:v>input_end</x:v>
      </x:c>
      <x:c r="K582" s="12" t="str">
        <x:v>none</x:v>
      </x:c>
      <x:c r="L582" s="13" t="n">
        <x:f>IF(G582&lt;=I582,0,MAX(0,L581)+IF(E582="via",MAX(0,G582-MAX(F582,I582)),0))</x:f>
        <x:v>0.3</x:v>
      </x:c>
    </x:row>
    <x:row r="583" ht="42" customHeight="1">
      <x:c r="A583" s="7" t="str">
        <x:v>DP2-B</x:v>
      </x:c>
      <x:c r="B583" s="7" t="str">
        <x:v>U18</x:v>
      </x:c>
      <x:c r="C583" s="7" t="str">
        <x:v>read</x:v>
      </x:c>
      <x:c r="D583" s="7" t="str">
        <x:v>공통 허용 원본 조회</x:v>
      </x:c>
      <x:c r="E583" s="7" t="str">
        <x:v>via</x:v>
      </x:c>
      <x:c r="F583" s="14" t="n">
        <x:v>0.3</x:v>
      </x:c>
      <x:c r="G583" s="14" t="n">
        <x:v>0.38</x:v>
      </x:c>
      <x:c r="H583" s="14" t="n">
        <x:v>0.08</x:v>
      </x:c>
      <x:c r="I583" s="14" t="n">
        <x:v>0</x:v>
      </x:c>
      <x:c r="J583" s="7" t="str">
        <x:v>intake</x:v>
      </x:c>
      <x:c r="K583" s="7" t="str">
        <x:v>none</x:v>
      </x:c>
      <x:c r="L583" s="14" t="n">
        <x:f>IF(G583&lt;=I583,0,MAX(0,L582)+IF(E583="via",MAX(0,G583-MAX(F583,I583)),0))</x:f>
        <x:v>0.38</x:v>
      </x:c>
    </x:row>
    <x:row r="584" ht="42" customHeight="1">
      <x:c r="A584" s="12" t="str">
        <x:v>DP2-B</x:v>
      </x:c>
      <x:c r="B584" s="12" t="str">
        <x:v>U18</x:v>
      </x:c>
      <x:c r="C584" s="12" t="str">
        <x:v>meaning</x:v>
      </x:c>
      <x:c r="D584" s="12" t="str">
        <x:v>최초 요청 의미 채택 packet 생성</x:v>
      </x:c>
      <x:c r="E584" s="12" t="str">
        <x:v>via</x:v>
      </x:c>
      <x:c r="F584" s="13" t="n">
        <x:v>0.38</x:v>
      </x:c>
      <x:c r="G584" s="13" t="n">
        <x:v>1.48</x:v>
      </x:c>
      <x:c r="H584" s="13" t="n">
        <x:v>1.1</x:v>
      </x:c>
      <x:c r="I584" s="13" t="n">
        <x:v>0</x:v>
      </x:c>
      <x:c r="J584" s="12" t="str">
        <x:v>read</x:v>
      </x:c>
      <x:c r="K584" s="12" t="str">
        <x:v>semantic</x:v>
      </x:c>
      <x:c r="L584" s="13" t="n">
        <x:f>IF(G584&lt;=I584,0,MAX(0,L583)+IF(E584="via",MAX(0,G584-MAX(F584,I584)),0))</x:f>
        <x:v>1.48</x:v>
      </x:c>
    </x:row>
    <x:row r="585" ht="42" customHeight="1">
      <x:c r="A585" s="7" t="str">
        <x:v>DP2-B</x:v>
      </x:c>
      <x:c r="B585" s="7" t="str">
        <x:v>U18</x:v>
      </x:c>
      <x:c r="C585" s="7" t="str">
        <x:v>adopt</x:v>
      </x:c>
      <x:c r="D585" s="7" t="str">
        <x:v>현재 revision과 권한 검사 및 채택</x:v>
      </x:c>
      <x:c r="E585" s="7" t="str">
        <x:v>via</x:v>
      </x:c>
      <x:c r="F585" s="14" t="n">
        <x:v>1.48</x:v>
      </x:c>
      <x:c r="G585" s="14" t="n">
        <x:v>1.51</x:v>
      </x:c>
      <x:c r="H585" s="14" t="n">
        <x:v>0.03</x:v>
      </x:c>
      <x:c r="I585" s="14" t="n">
        <x:v>0</x:v>
      </x:c>
      <x:c r="J585" s="7" t="str">
        <x:v>meaning</x:v>
      </x:c>
      <x:c r="K585" s="7" t="str">
        <x:v>none</x:v>
      </x:c>
      <x:c r="L585" s="14" t="n">
        <x:f>IF(G585&lt;=I585,0,MAX(0,L584)+IF(E585="via",MAX(0,G585-MAX(F585,I585)),0))</x:f>
        <x:v>1.51</x:v>
      </x:c>
    </x:row>
    <x:row r="586" ht="42" customHeight="1">
      <x:c r="A586" s="12" t="str">
        <x:v>DP2-B</x:v>
      </x:c>
      <x:c r="B586" s="12" t="str">
        <x:v>U18</x:v>
      </x:c>
      <x:c r="C586" s="12" t="str">
        <x:v>first_display</x:v>
      </x:c>
      <x:c r="D586" s="12" t="str">
        <x:v>첫 구체적 채택 내용 화면 표시</x:v>
      </x:c>
      <x:c r="E586" s="12" t="str">
        <x:v>via</x:v>
      </x:c>
      <x:c r="F586" s="13" t="n">
        <x:v>1.51</x:v>
      </x:c>
      <x:c r="G586" s="13" t="n">
        <x:v>1.55</x:v>
      </x:c>
      <x:c r="H586" s="13" t="n">
        <x:v>0.04</x:v>
      </x:c>
      <x:c r="I586" s="13" t="n">
        <x:v>0</x:v>
      </x:c>
      <x:c r="J586" s="12" t="str">
        <x:v>adopt</x:v>
      </x:c>
      <x:c r="K586" s="12" t="str">
        <x:v>none</x:v>
      </x:c>
      <x:c r="L586" s="13" t="n">
        <x:f>IF(G586&lt;=I586,0,MAX(0,L585)+IF(E586="via",MAX(0,G586-MAX(F586,I586)),0))</x:f>
        <x:v>1.55</x:v>
      </x:c>
    </x:row>
    <x:row r="587" ht="42" customHeight="1">
      <x:c r="A587" s="7" t="str">
        <x:v>DP2-B</x:v>
      </x:c>
      <x:c r="B587" s="7" t="str">
        <x:v>U18</x:v>
      </x:c>
      <x:c r="C587" s="7" t="str">
        <x:v>question_arrival</x:v>
      </x:c>
      <x:c r="D587" s="7" t="str">
        <x:v>Agent 질문 텍스트 도착</x:v>
      </x:c>
      <x:c r="E587" s="7" t="str">
        <x:v>external</x:v>
      </x:c>
      <x:c r="F587" s="14" t="n">
        <x:v>-2</x:v>
      </x:c>
      <x:c r="G587" s="14" t="n">
        <x:v>-2</x:v>
      </x:c>
      <x:c r="H587" s="14" t="n">
        <x:v>0</x:v>
      </x:c>
      <x:c r="I587" s="14" t="n">
        <x:v>0</x:v>
      </x:c>
      <x:c r="J587" s="7" t="str"/>
      <x:c r="K587" s="7" t="str">
        <x:v>none</x:v>
      </x:c>
      <x:c r="L587" s="14" t="n">
        <x:f>IF(G587&lt;=I587,0,MAX(0)+IF(E587="via",MAX(0,G587-MAX(F587,I587)),0))</x:f>
        <x:v>0</x:v>
      </x:c>
    </x:row>
    <x:row r="588" ht="42" customHeight="1">
      <x:c r="A588" s="12" t="str">
        <x:v>DP2-B</x:v>
      </x:c>
      <x:c r="B588" s="12" t="str">
        <x:v>U18</x:v>
      </x:c>
      <x:c r="C588" s="12" t="str">
        <x:v>question_audio</x:v>
      </x:c>
      <x:c r="D588" s="12" t="str">
        <x:v>선택한 응답 음성 생성</x:v>
      </x:c>
      <x:c r="E588" s="12" t="str">
        <x:v>via</x:v>
      </x:c>
      <x:c r="F588" s="13" t="n">
        <x:v>-2</x:v>
      </x:c>
      <x:c r="G588" s="13" t="n">
        <x:v>0.3906666666666667</x:v>
      </x:c>
      <x:c r="H588" s="13" t="n">
        <x:v>2.3906666666666667</x:v>
      </x:c>
      <x:c r="I588" s="13" t="n">
        <x:v>0</x:v>
      </x:c>
      <x:c r="J588" s="12" t="str">
        <x:v>question_arrival</x:v>
      </x:c>
      <x:c r="K588" s="12" t="str">
        <x:v>speech</x:v>
      </x:c>
      <x:c r="L588" s="13" t="n">
        <x:f>IF(G588&lt;=I588,0,MAX(0,L587)+IF(E588="via",MAX(0,G588-MAX(F588,I588)),0))</x:f>
        <x:v>0.3906666666666667</x:v>
      </x:c>
    </x:row>
    <x:row r="589" ht="42" customHeight="1">
      <x:c r="A589" s="7" t="str">
        <x:v>DP2-B</x:v>
      </x:c>
      <x:c r="B589" s="7" t="str">
        <x:v>U18</x:v>
      </x:c>
      <x:c r="C589" s="7" t="str">
        <x:v>obsolete_audio</x:v>
      </x:c>
      <x:c r="D589" s="7" t="str">
        <x:v>철회되는 보고서의 선행 생성</x:v>
      </x:c>
      <x:c r="E589" s="7" t="str">
        <x:v>via</x:v>
      </x:c>
      <x:c r="F589" s="14" t="n">
        <x:v>-2</x:v>
      </x:c>
      <x:c r="G589" s="14" t="n">
        <x:v>0.8933333333333335</x:v>
      </x:c>
      <x:c r="H589" s="14" t="n">
        <x:v>2.8933333333333335</x:v>
      </x:c>
      <x:c r="I589" s="14" t="n">
        <x:v>0</x:v>
      </x:c>
      <x:c r="J589" s="7" t="str"/>
      <x:c r="K589" s="7" t="str">
        <x:v>speech</x:v>
      </x:c>
      <x:c r="L589" s="14" t="n">
        <x:f>IF(G589&lt;=I589,0,MAX(0)+IF(E589="via",MAX(0,G589-MAX(F589,I589)),0))</x:f>
        <x:v>0.8933333333333335</x:v>
      </x:c>
    </x:row>
    <x:row r="590" ht="42" customHeight="1">
      <x:c r="A590" s="12" t="str">
        <x:v>DP2-B</x:v>
      </x:c>
      <x:c r="B590" s="12" t="str">
        <x:v>U18</x:v>
      </x:c>
      <x:c r="C590" s="12" t="str">
        <x:v>first_chunk</x:v>
      </x:c>
      <x:c r="D590" s="12" t="str">
        <x:v>같은 생성 job의 유효 첫 chunk 관측</x:v>
      </x:c>
      <x:c r="E590" s="12" t="str">
        <x:v>via</x:v>
      </x:c>
      <x:c r="F590" s="13" t="n">
        <x:v>-2</x:v>
      </x:c>
      <x:c r="G590" s="13" t="n">
        <x:v>-1.5593333333333335</x:v>
      </x:c>
      <x:c r="H590" s="13" t="n">
        <x:v>0.44066666666666665</x:v>
      </x:c>
      <x:c r="I590" s="13" t="n">
        <x:v>0</x:v>
      </x:c>
      <x:c r="J590" s="12" t="str">
        <x:v>question_arrival</x:v>
      </x:c>
      <x:c r="K590" s="12" t="str">
        <x:v>none</x:v>
      </x:c>
      <x:c r="L590" s="13" t="n">
        <x:f>IF(G590&lt;=I590,0,MAX(0,L587)+IF(E590="via",MAX(0,G590-MAX(F590,I590)),0))</x:f>
        <x:v>0</x:v>
      </x:c>
    </x:row>
    <x:row r="591" ht="42" customHeight="1">
      <x:c r="A591" s="7" t="str">
        <x:v>DP2-B</x:v>
      </x:c>
      <x:c r="B591" s="7" t="str">
        <x:v>U18</x:v>
      </x:c>
      <x:c r="C591" s="7" t="str">
        <x:v>first_audio_output</x:v>
      </x:c>
      <x:c r="D591" s="7" t="str">
        <x:v>공통 장치의 첫 음성 출력</x:v>
      </x:c>
      <x:c r="E591" s="7" t="str">
        <x:v>via</x:v>
      </x:c>
      <x:c r="F591" s="14" t="n">
        <x:v>1.51</x:v>
      </x:c>
      <x:c r="G591" s="14" t="n">
        <x:v>1.55</x:v>
      </x:c>
      <x:c r="H591" s="14" t="n">
        <x:v>0.04</x:v>
      </x:c>
      <x:c r="I591" s="14" t="n">
        <x:v>0</x:v>
      </x:c>
      <x:c r="J591" s="7" t="str">
        <x:v>adopt, first_chunk</x:v>
      </x:c>
      <x:c r="K591" s="7" t="str">
        <x:v>none</x:v>
      </x:c>
      <x:c r="L591" s="14" t="n">
        <x:f>IF(G591&lt;=I591,0,MAX(0,L585,L590)+IF(E591="via",MAX(0,G591-MAX(F591,I591)),0))</x:f>
        <x:v>1.55</x:v>
      </x:c>
    </x:row>
    <x:row r="592" ht="42" customHeight="1">
      <x:c r="A592" s="12" t="str">
        <x:v>DP2-B</x:v>
      </x:c>
      <x:c r="B592" s="12" t="str">
        <x:v>U18</x:v>
      </x:c>
      <x:c r="C592" s="12" t="str">
        <x:v>terminal</x:v>
      </x:c>
      <x:c r="D592" s="12" t="str">
        <x:v>공통 목표 최종 상태와 전체 음성 준비</x:v>
      </x:c>
      <x:c r="E592" s="12" t="str">
        <x:v>via</x:v>
      </x:c>
      <x:c r="F592" s="13" t="n">
        <x:v>1.55</x:v>
      </x:c>
      <x:c r="G592" s="13" t="n">
        <x:v>1.55</x:v>
      </x:c>
      <x:c r="H592" s="13" t="n">
        <x:v>0</x:v>
      </x:c>
      <x:c r="I592" s="13" t="n">
        <x:v>0</x:v>
      </x:c>
      <x:c r="J592" s="12" t="str">
        <x:v>first_display, question_audio, first_audio_output, obsolete_audio</x:v>
      </x:c>
      <x:c r="K592" s="12" t="str">
        <x:v>none</x:v>
      </x:c>
      <x:c r="L592" s="13" t="n">
        <x:f>IF(G592&lt;=I592,0,MAX(0,L586,L588,L591,L589)+IF(E592="via",MAX(0,G592-MAX(F592,I592)),0))</x:f>
        <x:v>1.55</x:v>
      </x:c>
    </x:row>
    <x:row r="593" ht="42" customHeight="1">
      <x:c r="A593" s="7" t="str">
        <x:v>DP2-B</x:v>
      </x:c>
      <x:c r="B593" s="7" t="str">
        <x:v>U19</x:v>
      </x:c>
      <x:c r="C593" s="7" t="str">
        <x:v>input_end</x:v>
      </x:c>
      <x:c r="D593" s="7" t="str">
        <x:v>사용자 입력 종료</x:v>
      </x:c>
      <x:c r="E593" s="7" t="str">
        <x:v>external</x:v>
      </x:c>
      <x:c r="F593" s="14" t="n">
        <x:v>0</x:v>
      </x:c>
      <x:c r="G593" s="14" t="n">
        <x:v>0</x:v>
      </x:c>
      <x:c r="H593" s="14" t="n">
        <x:v>0</x:v>
      </x:c>
      <x:c r="I593" s="14" t="n">
        <x:v>0</x:v>
      </x:c>
      <x:c r="J593" s="7" t="str"/>
      <x:c r="K593" s="7" t="str">
        <x:v>none</x:v>
      </x:c>
      <x:c r="L593" s="14" t="n">
        <x:f>IF(G593&lt;=I593,0,MAX(0)+IF(E593="via",MAX(0,G593-MAX(F593,I593)),0))</x:f>
        <x:v>0</x:v>
      </x:c>
    </x:row>
    <x:row r="594" ht="42" customHeight="1">
      <x:c r="A594" s="12" t="str">
        <x:v>DP2-B</x:v>
      </x:c>
      <x:c r="B594" s="12" t="str">
        <x:v>U19</x:v>
      </x:c>
      <x:c r="C594" s="12" t="str">
        <x:v>intake</x:v>
      </x:c>
      <x:c r="D594" s="12" t="str">
        <x:v>입력 확정</x:v>
      </x:c>
      <x:c r="E594" s="12" t="str">
        <x:v>via</x:v>
      </x:c>
      <x:c r="F594" s="13" t="n">
        <x:v>0</x:v>
      </x:c>
      <x:c r="G594" s="13" t="n">
        <x:v>0.3</x:v>
      </x:c>
      <x:c r="H594" s="13" t="n">
        <x:v>0.3</x:v>
      </x:c>
      <x:c r="I594" s="13" t="n">
        <x:v>0</x:v>
      </x:c>
      <x:c r="J594" s="12" t="str">
        <x:v>input_end</x:v>
      </x:c>
      <x:c r="K594" s="12" t="str">
        <x:v>none</x:v>
      </x:c>
      <x:c r="L594" s="13" t="n">
        <x:f>IF(G594&lt;=I594,0,MAX(0,L593)+IF(E594="via",MAX(0,G594-MAX(F594,I594)),0))</x:f>
        <x:v>0.3</x:v>
      </x:c>
    </x:row>
    <x:row r="595" ht="42" customHeight="1">
      <x:c r="A595" s="7" t="str">
        <x:v>DP2-B</x:v>
      </x:c>
      <x:c r="B595" s="7" t="str">
        <x:v>U19</x:v>
      </x:c>
      <x:c r="C595" s="7" t="str">
        <x:v>read</x:v>
      </x:c>
      <x:c r="D595" s="7" t="str">
        <x:v>공통 허용 원본 조회</x:v>
      </x:c>
      <x:c r="E595" s="7" t="str">
        <x:v>via</x:v>
      </x:c>
      <x:c r="F595" s="14" t="n">
        <x:v>0.3</x:v>
      </x:c>
      <x:c r="G595" s="14" t="n">
        <x:v>0.38</x:v>
      </x:c>
      <x:c r="H595" s="14" t="n">
        <x:v>0.08</x:v>
      </x:c>
      <x:c r="I595" s="14" t="n">
        <x:v>0</x:v>
      </x:c>
      <x:c r="J595" s="7" t="str">
        <x:v>intake</x:v>
      </x:c>
      <x:c r="K595" s="7" t="str">
        <x:v>none</x:v>
      </x:c>
      <x:c r="L595" s="14" t="n">
        <x:f>IF(G595&lt;=I595,0,MAX(0,L594)+IF(E595="via",MAX(0,G595-MAX(F595,I595)),0))</x:f>
        <x:v>0.38</x:v>
      </x:c>
    </x:row>
    <x:row r="596" ht="42" customHeight="1">
      <x:c r="A596" s="12" t="str">
        <x:v>DP2-B</x:v>
      </x:c>
      <x:c r="B596" s="12" t="str">
        <x:v>U19</x:v>
      </x:c>
      <x:c r="C596" s="12" t="str">
        <x:v>meaning</x:v>
      </x:c>
      <x:c r="D596" s="12" t="str">
        <x:v>최초 요청 의미 채택 packet 생성</x:v>
      </x:c>
      <x:c r="E596" s="12" t="str">
        <x:v>via</x:v>
      </x:c>
      <x:c r="F596" s="13" t="n">
        <x:v>0.38</x:v>
      </x:c>
      <x:c r="G596" s="13" t="n">
        <x:v>1.48</x:v>
      </x:c>
      <x:c r="H596" s="13" t="n">
        <x:v>1.1</x:v>
      </x:c>
      <x:c r="I596" s="13" t="n">
        <x:v>0</x:v>
      </x:c>
      <x:c r="J596" s="12" t="str">
        <x:v>read</x:v>
      </x:c>
      <x:c r="K596" s="12" t="str">
        <x:v>semantic</x:v>
      </x:c>
      <x:c r="L596" s="13" t="n">
        <x:f>IF(G596&lt;=I596,0,MAX(0,L595)+IF(E596="via",MAX(0,G596-MAX(F596,I596)),0))</x:f>
        <x:v>1.48</x:v>
      </x:c>
    </x:row>
    <x:row r="597" ht="42" customHeight="1">
      <x:c r="A597" s="7" t="str">
        <x:v>DP2-B</x:v>
      </x:c>
      <x:c r="B597" s="7" t="str">
        <x:v>U19</x:v>
      </x:c>
      <x:c r="C597" s="7" t="str">
        <x:v>adopt</x:v>
      </x:c>
      <x:c r="D597" s="7" t="str">
        <x:v>현재 revision과 권한 검사 및 채택</x:v>
      </x:c>
      <x:c r="E597" s="7" t="str">
        <x:v>via</x:v>
      </x:c>
      <x:c r="F597" s="14" t="n">
        <x:v>1.48</x:v>
      </x:c>
      <x:c r="G597" s="14" t="n">
        <x:v>1.51</x:v>
      </x:c>
      <x:c r="H597" s="14" t="n">
        <x:v>0.03</x:v>
      </x:c>
      <x:c r="I597" s="14" t="n">
        <x:v>0</x:v>
      </x:c>
      <x:c r="J597" s="7" t="str">
        <x:v>meaning</x:v>
      </x:c>
      <x:c r="K597" s="7" t="str">
        <x:v>none</x:v>
      </x:c>
      <x:c r="L597" s="14" t="n">
        <x:f>IF(G597&lt;=I597,0,MAX(0,L596)+IF(E597="via",MAX(0,G597-MAX(F597,I597)),0))</x:f>
        <x:v>1.51</x:v>
      </x:c>
    </x:row>
    <x:row r="598" ht="42" customHeight="1">
      <x:c r="A598" s="12" t="str">
        <x:v>DP2-B</x:v>
      </x:c>
      <x:c r="B598" s="12" t="str">
        <x:v>U19</x:v>
      </x:c>
      <x:c r="C598" s="12" t="str">
        <x:v>first_display</x:v>
      </x:c>
      <x:c r="D598" s="12" t="str">
        <x:v>첫 구체적 채택 내용 화면 표시</x:v>
      </x:c>
      <x:c r="E598" s="12" t="str">
        <x:v>via</x:v>
      </x:c>
      <x:c r="F598" s="13" t="n">
        <x:v>1.51</x:v>
      </x:c>
      <x:c r="G598" s="13" t="n">
        <x:v>1.55</x:v>
      </x:c>
      <x:c r="H598" s="13" t="n">
        <x:v>0.04</x:v>
      </x:c>
      <x:c r="I598" s="13" t="n">
        <x:v>0</x:v>
      </x:c>
      <x:c r="J598" s="12" t="str">
        <x:v>adopt</x:v>
      </x:c>
      <x:c r="K598" s="12" t="str">
        <x:v>none</x:v>
      </x:c>
      <x:c r="L598" s="13" t="n">
        <x:f>IF(G598&lt;=I598,0,MAX(0,L597)+IF(E598="via",MAX(0,G598-MAX(F598,I598)),0))</x:f>
        <x:v>1.55</x:v>
      </x:c>
    </x:row>
    <x:row r="599" ht="42" customHeight="1">
      <x:c r="A599" s="7" t="str">
        <x:v>DP2-B</x:v>
      </x:c>
      <x:c r="B599" s="7" t="str">
        <x:v>U19</x:v>
      </x:c>
      <x:c r="C599" s="7" t="str">
        <x:v>question_arrival</x:v>
      </x:c>
      <x:c r="D599" s="7" t="str">
        <x:v>Agent 질문 텍스트 도착</x:v>
      </x:c>
      <x:c r="E599" s="7" t="str">
        <x:v>external</x:v>
      </x:c>
      <x:c r="F599" s="14" t="n">
        <x:v>-0.5</x:v>
      </x:c>
      <x:c r="G599" s="14" t="n">
        <x:v>-0.5</x:v>
      </x:c>
      <x:c r="H599" s="14" t="n">
        <x:v>0</x:v>
      </x:c>
      <x:c r="I599" s="14" t="n">
        <x:v>0</x:v>
      </x:c>
      <x:c r="J599" s="7" t="str"/>
      <x:c r="K599" s="7" t="str">
        <x:v>none</x:v>
      </x:c>
      <x:c r="L599" s="14" t="n">
        <x:f>IF(G599&lt;=I599,0,MAX(0)+IF(E599="via",MAX(0,G599-MAX(F599,I599)),0))</x:f>
        <x:v>0</x:v>
      </x:c>
    </x:row>
    <x:row r="600" ht="42" customHeight="1">
      <x:c r="A600" s="12" t="str">
        <x:v>DP2-B</x:v>
      </x:c>
      <x:c r="B600" s="12" t="str">
        <x:v>U19</x:v>
      </x:c>
      <x:c r="C600" s="12" t="str">
        <x:v>question_audio</x:v>
      </x:c>
      <x:c r="D600" s="12" t="str">
        <x:v>선택한 응답 음성 생성</x:v>
      </x:c>
      <x:c r="E600" s="12" t="str">
        <x:v>via</x:v>
      </x:c>
      <x:c r="F600" s="13" t="n">
        <x:v>-0.5</x:v>
      </x:c>
      <x:c r="G600" s="13" t="n">
        <x:v>1.388</x:v>
      </x:c>
      <x:c r="H600" s="13" t="n">
        <x:v>1.888</x:v>
      </x:c>
      <x:c r="I600" s="13" t="n">
        <x:v>0</x:v>
      </x:c>
      <x:c r="J600" s="12" t="str">
        <x:v>question_arrival</x:v>
      </x:c>
      <x:c r="K600" s="12" t="str">
        <x:v>speech</x:v>
      </x:c>
      <x:c r="L600" s="13" t="n">
        <x:f>IF(G600&lt;=I600,0,MAX(0,L599)+IF(E600="via",MAX(0,G600-MAX(F600,I600)),0))</x:f>
        <x:v>1.388</x:v>
      </x:c>
    </x:row>
    <x:row r="601" ht="42" customHeight="1">
      <x:c r="A601" s="7" t="str">
        <x:v>DP2-B</x:v>
      </x:c>
      <x:c r="B601" s="7" t="str">
        <x:v>U19</x:v>
      </x:c>
      <x:c r="C601" s="7" t="str">
        <x:v>old_audio</x:v>
      </x:c>
      <x:c r="D601" s="7" t="str">
        <x:v>중단 전 설명 생성</x:v>
      </x:c>
      <x:c r="E601" s="7" t="str">
        <x:v>via</x:v>
      </x:c>
      <x:c r="F601" s="14" t="n">
        <x:v>-2</x:v>
      </x:c>
      <x:c r="G601" s="14" t="n">
        <x:v>7.428000000000001</x:v>
      </x:c>
      <x:c r="H601" s="14" t="n">
        <x:v>9.428</x:v>
      </x:c>
      <x:c r="I601" s="14" t="n">
        <x:v>0</x:v>
      </x:c>
      <x:c r="J601" s="7" t="str"/>
      <x:c r="K601" s="7" t="str">
        <x:v>speech</x:v>
      </x:c>
      <x:c r="L601" s="14" t="n">
        <x:f>IF(G601&lt;=I601,0,MAX(0)+IF(E601="via",MAX(0,G601-MAX(F601,I601)),0))</x:f>
        <x:v>7.428000000000001</x:v>
      </x:c>
    </x:row>
    <x:row r="602" ht="42" customHeight="1">
      <x:c r="A602" s="12" t="str">
        <x:v>DP2-B</x:v>
      </x:c>
      <x:c r="B602" s="12" t="str">
        <x:v>U19</x:v>
      </x:c>
      <x:c r="C602" s="12" t="str">
        <x:v>first_chunk</x:v>
      </x:c>
      <x:c r="D602" s="12" t="str">
        <x:v>같은 생성 job의 유효 첫 chunk 관측</x:v>
      </x:c>
      <x:c r="E602" s="12" t="str">
        <x:v>via</x:v>
      </x:c>
      <x:c r="F602" s="13" t="n">
        <x:v>-0.5</x:v>
      </x:c>
      <x:c r="G602" s="13" t="n">
        <x:v>-0.062</x:v>
      </x:c>
      <x:c r="H602" s="13" t="n">
        <x:v>0.438</x:v>
      </x:c>
      <x:c r="I602" s="13" t="n">
        <x:v>0</x:v>
      </x:c>
      <x:c r="J602" s="12" t="str">
        <x:v>question_arrival</x:v>
      </x:c>
      <x:c r="K602" s="12" t="str">
        <x:v>none</x:v>
      </x:c>
      <x:c r="L602" s="13" t="n">
        <x:f>IF(G602&lt;=I602,0,MAX(0,L599)+IF(E602="via",MAX(0,G602-MAX(F602,I602)),0))</x:f>
        <x:v>0</x:v>
      </x:c>
    </x:row>
    <x:row r="603" ht="42" customHeight="1">
      <x:c r="A603" s="7" t="str">
        <x:v>DP2-B</x:v>
      </x:c>
      <x:c r="B603" s="7" t="str">
        <x:v>U19</x:v>
      </x:c>
      <x:c r="C603" s="7" t="str">
        <x:v>first_audio_output</x:v>
      </x:c>
      <x:c r="D603" s="7" t="str">
        <x:v>공통 장치의 첫 음성 출력</x:v>
      </x:c>
      <x:c r="E603" s="7" t="str">
        <x:v>via</x:v>
      </x:c>
      <x:c r="F603" s="14" t="n">
        <x:v>1.51</x:v>
      </x:c>
      <x:c r="G603" s="14" t="n">
        <x:v>1.55</x:v>
      </x:c>
      <x:c r="H603" s="14" t="n">
        <x:v>0.04</x:v>
      </x:c>
      <x:c r="I603" s="14" t="n">
        <x:v>0</x:v>
      </x:c>
      <x:c r="J603" s="7" t="str">
        <x:v>adopt, first_chunk</x:v>
      </x:c>
      <x:c r="K603" s="7" t="str">
        <x:v>none</x:v>
      </x:c>
      <x:c r="L603" s="14" t="n">
        <x:f>IF(G603&lt;=I603,0,MAX(0,L597,L602)+IF(E603="via",MAX(0,G603-MAX(F603,I603)),0))</x:f>
        <x:v>1.55</x:v>
      </x:c>
    </x:row>
    <x:row r="604" ht="42" customHeight="1">
      <x:c r="A604" s="12" t="str">
        <x:v>DP2-B</x:v>
      </x:c>
      <x:c r="B604" s="12" t="str">
        <x:v>U19</x:v>
      </x:c>
      <x:c r="C604" s="12" t="str">
        <x:v>question_play</x:v>
      </x:c>
      <x:c r="D604" s="12" t="str">
        <x:v>첫 출력부터 질문 순수 재생 및 차례</x:v>
      </x:c>
      <x:c r="E604" s="12" t="str">
        <x:v>external</x:v>
      </x:c>
      <x:c r="F604" s="13" t="n">
        <x:v>1.55</x:v>
      </x:c>
      <x:c r="G604" s="13" t="n">
        <x:v>7.55</x:v>
      </x:c>
      <x:c r="H604" s="13" t="n">
        <x:v>6</x:v>
      </x:c>
      <x:c r="I604" s="13" t="n">
        <x:v>0</x:v>
      </x:c>
      <x:c r="J604" s="12" t="str">
        <x:v>first_audio_output</x:v>
      </x:c>
      <x:c r="K604" s="12" t="str">
        <x:v>none</x:v>
      </x:c>
      <x:c r="L604" s="13" t="n">
        <x:f>IF(G604&lt;=I604,0,MAX(0,L603)+IF(E604="via",MAX(0,G604-MAX(F604,I604)),0))</x:f>
        <x:v>1.55</x:v>
      </x:c>
    </x:row>
    <x:row r="605" ht="42" customHeight="1">
      <x:c r="A605" s="7" t="str">
        <x:v>DP2-B</x:v>
      </x:c>
      <x:c r="B605" s="7" t="str">
        <x:v>U19</x:v>
      </x:c>
      <x:c r="C605" s="7" t="str">
        <x:v>terminal</x:v>
      </x:c>
      <x:c r="D605" s="7" t="str">
        <x:v>공통 목표 최종 상태와 전체 음성 준비</x:v>
      </x:c>
      <x:c r="E605" s="7" t="str">
        <x:v>via</x:v>
      </x:c>
      <x:c r="F605" s="14" t="n">
        <x:v>7.55</x:v>
      </x:c>
      <x:c r="G605" s="14" t="n">
        <x:v>7.55</x:v>
      </x:c>
      <x:c r="H605" s="14" t="n">
        <x:v>0</x:v>
      </x:c>
      <x:c r="I605" s="14" t="n">
        <x:v>0</x:v>
      </x:c>
      <x:c r="J605" s="7" t="str">
        <x:v>first_display, question_audio, first_audio_output, question_play, old_audio</x:v>
      </x:c>
      <x:c r="K605" s="7" t="str">
        <x:v>none</x:v>
      </x:c>
      <x:c r="L605" s="14" t="n">
        <x:f>IF(G605&lt;=I605,0,MAX(0,L598,L600,L603,L604,L601)+IF(E605="via",MAX(0,G605-MAX(F605,I605)),0))</x:f>
        <x:v>7.428000000000001</x:v>
      </x:c>
    </x:row>
    <x:row r="606" ht="42" customHeight="1">
      <x:c r="A606" s="12" t="str">
        <x:v>DP2-B</x:v>
      </x:c>
      <x:c r="B606" s="12" t="str">
        <x:v>U20</x:v>
      </x:c>
      <x:c r="C606" s="12" t="str">
        <x:v>input_end</x:v>
      </x:c>
      <x:c r="D606" s="12" t="str">
        <x:v>사용자 입력 종료</x:v>
      </x:c>
      <x:c r="E606" s="12" t="str">
        <x:v>external</x:v>
      </x:c>
      <x:c r="F606" s="13" t="n">
        <x:v>0</x:v>
      </x:c>
      <x:c r="G606" s="13" t="n">
        <x:v>0</x:v>
      </x:c>
      <x:c r="H606" s="13" t="n">
        <x:v>0</x:v>
      </x:c>
      <x:c r="I606" s="13" t="n">
        <x:v>0</x:v>
      </x:c>
      <x:c r="J606" s="12" t="str"/>
      <x:c r="K606" s="12" t="str">
        <x:v>none</x:v>
      </x:c>
      <x:c r="L606" s="13" t="n">
        <x:f>IF(G606&lt;=I606,0,MAX(0)+IF(E606="via",MAX(0,G606-MAX(F606,I606)),0))</x:f>
        <x:v>0</x:v>
      </x:c>
    </x:row>
    <x:row r="607" ht="42" customHeight="1">
      <x:c r="A607" s="7" t="str">
        <x:v>DP2-B</x:v>
      </x:c>
      <x:c r="B607" s="7" t="str">
        <x:v>U20</x:v>
      </x:c>
      <x:c r="C607" s="7" t="str">
        <x:v>intake</x:v>
      </x:c>
      <x:c r="D607" s="7" t="str">
        <x:v>입력 확정</x:v>
      </x:c>
      <x:c r="E607" s="7" t="str">
        <x:v>via</x:v>
      </x:c>
      <x:c r="F607" s="14" t="n">
        <x:v>0</x:v>
      </x:c>
      <x:c r="G607" s="14" t="n">
        <x:v>0.3</x:v>
      </x:c>
      <x:c r="H607" s="14" t="n">
        <x:v>0.3</x:v>
      </x:c>
      <x:c r="I607" s="14" t="n">
        <x:v>0</x:v>
      </x:c>
      <x:c r="J607" s="7" t="str">
        <x:v>input_end</x:v>
      </x:c>
      <x:c r="K607" s="7" t="str">
        <x:v>none</x:v>
      </x:c>
      <x:c r="L607" s="14" t="n">
        <x:f>IF(G607&lt;=I607,0,MAX(0,L606)+IF(E607="via",MAX(0,G607-MAX(F607,I607)),0))</x:f>
        <x:v>0.3</x:v>
      </x:c>
    </x:row>
    <x:row r="608" ht="42" customHeight="1">
      <x:c r="A608" s="12" t="str">
        <x:v>DP2-B</x:v>
      </x:c>
      <x:c r="B608" s="12" t="str">
        <x:v>U20</x:v>
      </x:c>
      <x:c r="C608" s="12" t="str">
        <x:v>read</x:v>
      </x:c>
      <x:c r="D608" s="12" t="str">
        <x:v>공통 허용 원본 조회</x:v>
      </x:c>
      <x:c r="E608" s="12" t="str">
        <x:v>via</x:v>
      </x:c>
      <x:c r="F608" s="13" t="n">
        <x:v>0.3</x:v>
      </x:c>
      <x:c r="G608" s="13" t="n">
        <x:v>0.38</x:v>
      </x:c>
      <x:c r="H608" s="13" t="n">
        <x:v>0.08</x:v>
      </x:c>
      <x:c r="I608" s="13" t="n">
        <x:v>0</x:v>
      </x:c>
      <x:c r="J608" s="12" t="str">
        <x:v>intake</x:v>
      </x:c>
      <x:c r="K608" s="12" t="str">
        <x:v>none</x:v>
      </x:c>
      <x:c r="L608" s="13" t="n">
        <x:f>IF(G608&lt;=I608,0,MAX(0,L607)+IF(E608="via",MAX(0,G608-MAX(F608,I608)),0))</x:f>
        <x:v>0.38</x:v>
      </x:c>
    </x:row>
    <x:row r="609" ht="42" customHeight="1">
      <x:c r="A609" s="7" t="str">
        <x:v>DP2-B</x:v>
      </x:c>
      <x:c r="B609" s="7" t="str">
        <x:v>U20</x:v>
      </x:c>
      <x:c r="C609" s="7" t="str">
        <x:v>meaning</x:v>
      </x:c>
      <x:c r="D609" s="7" t="str">
        <x:v>최초 요청 의미 채택 packet 생성</x:v>
      </x:c>
      <x:c r="E609" s="7" t="str">
        <x:v>via</x:v>
      </x:c>
      <x:c r="F609" s="14" t="n">
        <x:v>0.38</x:v>
      </x:c>
      <x:c r="G609" s="14" t="n">
        <x:v>1.48</x:v>
      </x:c>
      <x:c r="H609" s="14" t="n">
        <x:v>1.1</x:v>
      </x:c>
      <x:c r="I609" s="14" t="n">
        <x:v>0</x:v>
      </x:c>
      <x:c r="J609" s="7" t="str">
        <x:v>read</x:v>
      </x:c>
      <x:c r="K609" s="7" t="str">
        <x:v>semantic</x:v>
      </x:c>
      <x:c r="L609" s="14" t="n">
        <x:f>IF(G609&lt;=I609,0,MAX(0,L608)+IF(E609="via",MAX(0,G609-MAX(F609,I609)),0))</x:f>
        <x:v>1.48</x:v>
      </x:c>
    </x:row>
    <x:row r="610" ht="42" customHeight="1">
      <x:c r="A610" s="12" t="str">
        <x:v>DP2-B</x:v>
      </x:c>
      <x:c r="B610" s="12" t="str">
        <x:v>U20</x:v>
      </x:c>
      <x:c r="C610" s="12" t="str">
        <x:v>adopt</x:v>
      </x:c>
      <x:c r="D610" s="12" t="str">
        <x:v>현재 revision과 권한 검사 및 채택</x:v>
      </x:c>
      <x:c r="E610" s="12" t="str">
        <x:v>via</x:v>
      </x:c>
      <x:c r="F610" s="13" t="n">
        <x:v>1.48</x:v>
      </x:c>
      <x:c r="G610" s="13" t="n">
        <x:v>1.51</x:v>
      </x:c>
      <x:c r="H610" s="13" t="n">
        <x:v>0.03</x:v>
      </x:c>
      <x:c r="I610" s="13" t="n">
        <x:v>0</x:v>
      </x:c>
      <x:c r="J610" s="12" t="str">
        <x:v>meaning</x:v>
      </x:c>
      <x:c r="K610" s="12" t="str">
        <x:v>none</x:v>
      </x:c>
      <x:c r="L610" s="13" t="n">
        <x:f>IF(G610&lt;=I610,0,MAX(0,L609)+IF(E610="via",MAX(0,G610-MAX(F610,I610)),0))</x:f>
        <x:v>1.51</x:v>
      </x:c>
    </x:row>
    <x:row r="611" ht="42" customHeight="1">
      <x:c r="A611" s="7" t="str">
        <x:v>DP2-B</x:v>
      </x:c>
      <x:c r="B611" s="7" t="str">
        <x:v>U20</x:v>
      </x:c>
      <x:c r="C611" s="7" t="str">
        <x:v>first_display</x:v>
      </x:c>
      <x:c r="D611" s="7" t="str">
        <x:v>첫 구체적 채택 내용 화면 표시</x:v>
      </x:c>
      <x:c r="E611" s="7" t="str">
        <x:v>via</x:v>
      </x:c>
      <x:c r="F611" s="14" t="n">
        <x:v>1.51</x:v>
      </x:c>
      <x:c r="G611" s="14" t="n">
        <x:v>1.55</x:v>
      </x:c>
      <x:c r="H611" s="14" t="n">
        <x:v>0.04</x:v>
      </x:c>
      <x:c r="I611" s="14" t="n">
        <x:v>0</x:v>
      </x:c>
      <x:c r="J611" s="7" t="str">
        <x:v>adopt</x:v>
      </x:c>
      <x:c r="K611" s="7" t="str">
        <x:v>none</x:v>
      </x:c>
      <x:c r="L611" s="14" t="n">
        <x:f>IF(G611&lt;=I611,0,MAX(0,L610)+IF(E611="via",MAX(0,G611-MAX(F611,I611)),0))</x:f>
        <x:v>1.55</x:v>
      </x:c>
    </x:row>
    <x:row r="612" ht="42" customHeight="1">
      <x:c r="A612" s="12" t="str">
        <x:v>DP2-B</x:v>
      </x:c>
      <x:c r="B612" s="12" t="str">
        <x:v>U20</x:v>
      </x:c>
      <x:c r="C612" s="12" t="str">
        <x:v>existing_audio</x:v>
      </x:c>
      <x:c r="D612" s="12" t="str">
        <x:v>공통 유효 audio 초기 상태</x:v>
      </x:c>
      <x:c r="E612" s="12" t="str">
        <x:v>external</x:v>
      </x:c>
      <x:c r="F612" s="13" t="n">
        <x:v>-12</x:v>
      </x:c>
      <x:c r="G612" s="13" t="n">
        <x:v>-12</x:v>
      </x:c>
      <x:c r="H612" s="13" t="n">
        <x:v>0</x:v>
      </x:c>
      <x:c r="I612" s="13" t="n">
        <x:v>0</x:v>
      </x:c>
      <x:c r="J612" s="12" t="str"/>
      <x:c r="K612" s="12" t="str">
        <x:v>none</x:v>
      </x:c>
      <x:c r="L612" s="13" t="n">
        <x:f>IF(G612&lt;=I612,0,MAX(0)+IF(E612="via",MAX(0,G612-MAX(F612,I612)),0))</x:f>
        <x:v>0</x:v>
      </x:c>
    </x:row>
    <x:row r="613" ht="42" customHeight="1">
      <x:c r="A613" s="7" t="str">
        <x:v>DP2-B</x:v>
      </x:c>
      <x:c r="B613" s="7" t="str">
        <x:v>U20</x:v>
      </x:c>
      <x:c r="C613" s="7" t="str">
        <x:v>first_audio_output</x:v>
      </x:c>
      <x:c r="D613" s="7" t="str">
        <x:v>공통 장치의 첫 음성 출력</x:v>
      </x:c>
      <x:c r="E613" s="7" t="str">
        <x:v>via</x:v>
      </x:c>
      <x:c r="F613" s="14" t="n">
        <x:v>1.51</x:v>
      </x:c>
      <x:c r="G613" s="14" t="n">
        <x:v>1.55</x:v>
      </x:c>
      <x:c r="H613" s="14" t="n">
        <x:v>0.04</x:v>
      </x:c>
      <x:c r="I613" s="14" t="n">
        <x:v>0</x:v>
      </x:c>
      <x:c r="J613" s="7" t="str">
        <x:v>adopt, existing_audio</x:v>
      </x:c>
      <x:c r="K613" s="7" t="str">
        <x:v>none</x:v>
      </x:c>
      <x:c r="L613" s="14" t="n">
        <x:f>IF(G613&lt;=I613,0,MAX(0,L610,L612)+IF(E613="via",MAX(0,G613-MAX(F613,I613)),0))</x:f>
        <x:v>1.55</x:v>
      </x:c>
    </x:row>
    <x:row r="614" ht="42" customHeight="1">
      <x:c r="A614" s="12" t="str">
        <x:v>DP2-B</x:v>
      </x:c>
      <x:c r="B614" s="12" t="str">
        <x:v>U20</x:v>
      </x:c>
      <x:c r="C614" s="12" t="str">
        <x:v>terminal</x:v>
      </x:c>
      <x:c r="D614" s="12" t="str">
        <x:v>공통 목표 최종 상태와 전체 음성 준비</x:v>
      </x:c>
      <x:c r="E614" s="12" t="str">
        <x:v>via</x:v>
      </x:c>
      <x:c r="F614" s="13" t="n">
        <x:v>1.55</x:v>
      </x:c>
      <x:c r="G614" s="13" t="n">
        <x:v>1.55</x:v>
      </x:c>
      <x:c r="H614" s="13" t="n">
        <x:v>0</x:v>
      </x:c>
      <x:c r="I614" s="13" t="n">
        <x:v>0</x:v>
      </x:c>
      <x:c r="J614" s="12" t="str">
        <x:v>first_display, existing_audio, first_audio_output</x:v>
      </x:c>
      <x:c r="K614" s="12" t="str">
        <x:v>none</x:v>
      </x:c>
      <x:c r="L614" s="13" t="n">
        <x:f>IF(G614&lt;=I614,0,MAX(0,L611,L612,L613)+IF(E614="via",MAX(0,G614-MAX(F614,I614)),0))</x:f>
        <x:v>1.55</x:v>
      </x:c>
    </x:row>
    <x:row r="615" ht="42" customHeight="1">
      <x:c r="A615" s="7" t="str">
        <x:v>DP2-B</x:v>
      </x:c>
      <x:c r="B615" s="7" t="str">
        <x:v>U21</x:v>
      </x:c>
      <x:c r="C615" s="7" t="str">
        <x:v>bg1</x:v>
      </x:c>
      <x:c r="D615" s="7" t="str">
        <x:v>진행 중인 현재 대화의 의미 step</x:v>
      </x:c>
      <x:c r="E615" s="7" t="str">
        <x:v>via</x:v>
      </x:c>
      <x:c r="F615" s="14" t="n">
        <x:v>-1</x:v>
      </x:c>
      <x:c r="G615" s="14" t="n">
        <x:v>2.4</x:v>
      </x:c>
      <x:c r="H615" s="14" t="n">
        <x:v>3.4</x:v>
      </x:c>
      <x:c r="I615" s="14" t="n">
        <x:v>0</x:v>
      </x:c>
      <x:c r="J615" s="7" t="str"/>
      <x:c r="K615" s="7" t="str">
        <x:v>semantic</x:v>
      </x:c>
      <x:c r="L615" s="14" t="n">
        <x:f>IF(G615&lt;=I615,0,MAX(0)+IF(E615="via",MAX(0,G615-MAX(F615,I615)),0))</x:f>
        <x:v>2.4</x:v>
      </x:c>
    </x:row>
    <x:row r="616" ht="42" customHeight="1">
      <x:c r="A616" s="12" t="str">
        <x:v>DP2-B</x:v>
      </x:c>
      <x:c r="B616" s="12" t="str">
        <x:v>U21</x:v>
      </x:c>
      <x:c r="C616" s="12" t="str">
        <x:v>input_end</x:v>
      </x:c>
      <x:c r="D616" s="12" t="str">
        <x:v>사용자 입력 종료</x:v>
      </x:c>
      <x:c r="E616" s="12" t="str">
        <x:v>external</x:v>
      </x:c>
      <x:c r="F616" s="13" t="n">
        <x:v>0</x:v>
      </x:c>
      <x:c r="G616" s="13" t="n">
        <x:v>0</x:v>
      </x:c>
      <x:c r="H616" s="13" t="n">
        <x:v>0</x:v>
      </x:c>
      <x:c r="I616" s="13" t="n">
        <x:v>0</x:v>
      </x:c>
      <x:c r="J616" s="12" t="str"/>
      <x:c r="K616" s="12" t="str">
        <x:v>none</x:v>
      </x:c>
      <x:c r="L616" s="13" t="n">
        <x:f>IF(G616&lt;=I616,0,MAX(0)+IF(E616="via",MAX(0,G616-MAX(F616,I616)),0))</x:f>
        <x:v>0</x:v>
      </x:c>
    </x:row>
    <x:row r="617" ht="42" customHeight="1">
      <x:c r="A617" s="7" t="str">
        <x:v>DP2-B</x:v>
      </x:c>
      <x:c r="B617" s="7" t="str">
        <x:v>U21</x:v>
      </x:c>
      <x:c r="C617" s="7" t="str">
        <x:v>intake</x:v>
      </x:c>
      <x:c r="D617" s="7" t="str">
        <x:v>입력 확정</x:v>
      </x:c>
      <x:c r="E617" s="7" t="str">
        <x:v>via</x:v>
      </x:c>
      <x:c r="F617" s="14" t="n">
        <x:v>0</x:v>
      </x:c>
      <x:c r="G617" s="14" t="n">
        <x:v>0.3</x:v>
      </x:c>
      <x:c r="H617" s="14" t="n">
        <x:v>0.3</x:v>
      </x:c>
      <x:c r="I617" s="14" t="n">
        <x:v>0</x:v>
      </x:c>
      <x:c r="J617" s="7" t="str">
        <x:v>input_end</x:v>
      </x:c>
      <x:c r="K617" s="7" t="str">
        <x:v>none</x:v>
      </x:c>
      <x:c r="L617" s="14" t="n">
        <x:f>IF(G617&lt;=I617,0,MAX(0,L616)+IF(E617="via",MAX(0,G617-MAX(F617,I617)),0))</x:f>
        <x:v>0.3</x:v>
      </x:c>
    </x:row>
    <x:row r="618" ht="42" customHeight="1">
      <x:c r="A618" s="12" t="str">
        <x:v>DP2-B</x:v>
      </x:c>
      <x:c r="B618" s="12" t="str">
        <x:v>U21</x:v>
      </x:c>
      <x:c r="C618" s="12" t="str">
        <x:v>read</x:v>
      </x:c>
      <x:c r="D618" s="12" t="str">
        <x:v>공통 허용 원본 조회</x:v>
      </x:c>
      <x:c r="E618" s="12" t="str">
        <x:v>via</x:v>
      </x:c>
      <x:c r="F618" s="13" t="n">
        <x:v>0.3</x:v>
      </x:c>
      <x:c r="G618" s="13" t="n">
        <x:v>0.38</x:v>
      </x:c>
      <x:c r="H618" s="13" t="n">
        <x:v>0.08</x:v>
      </x:c>
      <x:c r="I618" s="13" t="n">
        <x:v>0</x:v>
      </x:c>
      <x:c r="J618" s="12" t="str">
        <x:v>intake</x:v>
      </x:c>
      <x:c r="K618" s="12" t="str">
        <x:v>none</x:v>
      </x:c>
      <x:c r="L618" s="13" t="n">
        <x:f>IF(G618&lt;=I618,0,MAX(0,L617)+IF(E618="via",MAX(0,G618-MAX(F618,I618)),0))</x:f>
        <x:v>0.38</x:v>
      </x:c>
    </x:row>
    <x:row r="619" ht="42" customHeight="1">
      <x:c r="A619" s="7" t="str">
        <x:v>DP2-B</x:v>
      </x:c>
      <x:c r="B619" s="7" t="str">
        <x:v>U21</x:v>
      </x:c>
      <x:c r="C619" s="7" t="str">
        <x:v>meaning</x:v>
      </x:c>
      <x:c r="D619" s="7" t="str">
        <x:v>최초 요청 의미 채택 packet 생성</x:v>
      </x:c>
      <x:c r="E619" s="7" t="str">
        <x:v>via</x:v>
      </x:c>
      <x:c r="F619" s="14" t="n">
        <x:v>0.38</x:v>
      </x:c>
      <x:c r="G619" s="14" t="n">
        <x:v>2.21</x:v>
      </x:c>
      <x:c r="H619" s="14" t="n">
        <x:v>1.83</x:v>
      </x:c>
      <x:c r="I619" s="14" t="n">
        <x:v>0</x:v>
      </x:c>
      <x:c r="J619" s="7" t="str">
        <x:v>read</x:v>
      </x:c>
      <x:c r="K619" s="7" t="str">
        <x:v>semantic</x:v>
      </x:c>
      <x:c r="L619" s="14" t="n">
        <x:f>IF(G619&lt;=I619,0,MAX(0,L618)+IF(E619="via",MAX(0,G619-MAX(F619,I619)),0))</x:f>
        <x:v>2.21</x:v>
      </x:c>
    </x:row>
    <x:row r="620" ht="42" customHeight="1">
      <x:c r="A620" s="12" t="str">
        <x:v>DP2-B</x:v>
      </x:c>
      <x:c r="B620" s="12" t="str">
        <x:v>U21</x:v>
      </x:c>
      <x:c r="C620" s="12" t="str">
        <x:v>adopt</x:v>
      </x:c>
      <x:c r="D620" s="12" t="str">
        <x:v>현재 revision과 권한 검사 및 채택</x:v>
      </x:c>
      <x:c r="E620" s="12" t="str">
        <x:v>via</x:v>
      </x:c>
      <x:c r="F620" s="13" t="n">
        <x:v>2.21</x:v>
      </x:c>
      <x:c r="G620" s="13" t="n">
        <x:v>2.2399999999999998</x:v>
      </x:c>
      <x:c r="H620" s="13" t="n">
        <x:v>0.03</x:v>
      </x:c>
      <x:c r="I620" s="13" t="n">
        <x:v>0</x:v>
      </x:c>
      <x:c r="J620" s="12" t="str">
        <x:v>meaning</x:v>
      </x:c>
      <x:c r="K620" s="12" t="str">
        <x:v>none</x:v>
      </x:c>
      <x:c r="L620" s="13" t="n">
        <x:f>IF(G620&lt;=I620,0,MAX(0,L619)+IF(E620="via",MAX(0,G620-MAX(F620,I620)),0))</x:f>
        <x:v>2.2399999999999998</x:v>
      </x:c>
    </x:row>
    <x:row r="621" ht="42" customHeight="1">
      <x:c r="A621" s="7" t="str">
        <x:v>DP2-B</x:v>
      </x:c>
      <x:c r="B621" s="7" t="str">
        <x:v>U21</x:v>
      </x:c>
      <x:c r="C621" s="7" t="str">
        <x:v>first_display</x:v>
      </x:c>
      <x:c r="D621" s="7" t="str">
        <x:v>첫 구체적 채택 내용 화면 표시</x:v>
      </x:c>
      <x:c r="E621" s="7" t="str">
        <x:v>via</x:v>
      </x:c>
      <x:c r="F621" s="14" t="n">
        <x:v>2.2399999999999998</x:v>
      </x:c>
      <x:c r="G621" s="14" t="n">
        <x:v>2.28</x:v>
      </x:c>
      <x:c r="H621" s="14" t="n">
        <x:v>0.04</x:v>
      </x:c>
      <x:c r="I621" s="14" t="n">
        <x:v>0</x:v>
      </x:c>
      <x:c r="J621" s="7" t="str">
        <x:v>adopt</x:v>
      </x:c>
      <x:c r="K621" s="7" t="str">
        <x:v>none</x:v>
      </x:c>
      <x:c r="L621" s="14" t="n">
        <x:f>IF(G621&lt;=I621,0,MAX(0,L620)+IF(E621="via",MAX(0,G621-MAX(F621,I621)),0))</x:f>
        <x:v>2.28</x:v>
      </x:c>
    </x:row>
    <x:row r="622" ht="42" customHeight="1">
      <x:c r="A622" s="12" t="str">
        <x:v>DP2-B</x:v>
      </x:c>
      <x:c r="B622" s="12" t="str">
        <x:v>U21</x:v>
      </x:c>
      <x:c r="C622" s="12" t="str">
        <x:v>agent_ingress</x:v>
      </x:c>
      <x:c r="D622" s="12" t="str">
        <x:v>Agent 요청 전송</x:v>
      </x:c>
      <x:c r="E622" s="12" t="str">
        <x:v>via</x:v>
      </x:c>
      <x:c r="F622" s="13" t="n">
        <x:v>2.2399999999999998</x:v>
      </x:c>
      <x:c r="G622" s="13" t="n">
        <x:v>2.28</x:v>
      </x:c>
      <x:c r="H622" s="13" t="n">
        <x:v>0.04</x:v>
      </x:c>
      <x:c r="I622" s="13" t="n">
        <x:v>0</x:v>
      </x:c>
      <x:c r="J622" s="12" t="str">
        <x:v>adopt</x:v>
      </x:c>
      <x:c r="K622" s="12" t="str">
        <x:v>none</x:v>
      </x:c>
      <x:c r="L622" s="13" t="n">
        <x:f>IF(G622&lt;=I622,0,MAX(0,L620)+IF(E622="via",MAX(0,G622-MAX(F622,I622)),0))</x:f>
        <x:v>2.28</x:v>
      </x:c>
    </x:row>
    <x:row r="623" ht="42" customHeight="1">
      <x:c r="A623" s="7" t="str">
        <x:v>DP2-B</x:v>
      </x:c>
      <x:c r="B623" s="7" t="str">
        <x:v>U21</x:v>
      </x:c>
      <x:c r="C623" s="7" t="str">
        <x:v>agent_result</x:v>
      </x:c>
      <x:c r="D623" s="7" t="str">
        <x:v>외부 Agent 업무</x:v>
      </x:c>
      <x:c r="E623" s="7" t="str">
        <x:v>external</x:v>
      </x:c>
      <x:c r="F623" s="14" t="n">
        <x:v>2.28</x:v>
      </x:c>
      <x:c r="G623" s="14" t="n">
        <x:v>10.28</x:v>
      </x:c>
      <x:c r="H623" s="14" t="n">
        <x:v>8</x:v>
      </x:c>
      <x:c r="I623" s="14" t="n">
        <x:v>0</x:v>
      </x:c>
      <x:c r="J623" s="7" t="str">
        <x:v>agent_ingress</x:v>
      </x:c>
      <x:c r="K623" s="7" t="str">
        <x:v>none</x:v>
      </x:c>
      <x:c r="L623" s="14" t="n">
        <x:f>IF(G623&lt;=I623,0,MAX(0,L622)+IF(E623="via",MAX(0,G623-MAX(F623,I623)),0))</x:f>
        <x:v>2.28</x:v>
      </x:c>
    </x:row>
    <x:row r="624" ht="42" customHeight="1">
      <x:c r="A624" s="12" t="str">
        <x:v>DP2-B</x:v>
      </x:c>
      <x:c r="B624" s="12" t="str">
        <x:v>U21</x:v>
      </x:c>
      <x:c r="C624" s="12" t="str">
        <x:v>result_display</x:v>
      </x:c>
      <x:c r="D624" s="12" t="str">
        <x:v>최종 결과 상세 표시</x:v>
      </x:c>
      <x:c r="E624" s="12" t="str">
        <x:v>via</x:v>
      </x:c>
      <x:c r="F624" s="13" t="n">
        <x:v>10.28</x:v>
      </x:c>
      <x:c r="G624" s="13" t="n">
        <x:v>10.319999999999999</x:v>
      </x:c>
      <x:c r="H624" s="13" t="n">
        <x:v>0.04</x:v>
      </x:c>
      <x:c r="I624" s="13" t="n">
        <x:v>0</x:v>
      </x:c>
      <x:c r="J624" s="12" t="str">
        <x:v>agent_result</x:v>
      </x:c>
      <x:c r="K624" s="12" t="str">
        <x:v>none</x:v>
      </x:c>
      <x:c r="L624" s="13" t="n">
        <x:f>IF(G624&lt;=I624,0,MAX(0,L623)+IF(E624="via",MAX(0,G624-MAX(F624,I624)),0))</x:f>
        <x:v>2.319999999999999</x:v>
      </x:c>
    </x:row>
    <x:row r="625" ht="42" customHeight="1">
      <x:c r="A625" s="7" t="str">
        <x:v>DP2-B</x:v>
      </x:c>
      <x:c r="B625" s="7" t="str">
        <x:v>U21</x:v>
      </x:c>
      <x:c r="C625" s="7" t="str">
        <x:v>response_audio</x:v>
      </x:c>
      <x:c r="D625" s="7" t="str">
        <x:v>선택한 응답 음성 생성</x:v>
      </x:c>
      <x:c r="E625" s="7" t="str">
        <x:v>via</x:v>
      </x:c>
      <x:c r="F625" s="14" t="n">
        <x:v>10.28</x:v>
      </x:c>
      <x:c r="G625" s="14" t="n">
        <x:v>12.168</x:v>
      </x:c>
      <x:c r="H625" s="14" t="n">
        <x:v>1.888</x:v>
      </x:c>
      <x:c r="I625" s="14" t="n">
        <x:v>0</x:v>
      </x:c>
      <x:c r="J625" s="7" t="str">
        <x:v>agent_result</x:v>
      </x:c>
      <x:c r="K625" s="7" t="str">
        <x:v>speech</x:v>
      </x:c>
      <x:c r="L625" s="14" t="n">
        <x:f>IF(G625&lt;=I625,0,MAX(0,L623)+IF(E625="via",MAX(0,G625-MAX(F625,I625)),0))</x:f>
        <x:v>4.167999999999999</x:v>
      </x:c>
    </x:row>
    <x:row r="626" ht="42" customHeight="1">
      <x:c r="A626" s="12" t="str">
        <x:v>DP2-B</x:v>
      </x:c>
      <x:c r="B626" s="12" t="str">
        <x:v>U21</x:v>
      </x:c>
      <x:c r="C626" s="12" t="str">
        <x:v>intent_audio</x:v>
      </x:c>
      <x:c r="D626" s="12" t="str">
        <x:v>채택한 구체적 수행 의도의 짧은 음성</x:v>
      </x:c>
      <x:c r="E626" s="12" t="str">
        <x:v>via</x:v>
      </x:c>
      <x:c r="F626" s="13" t="n">
        <x:v>2.2399999999999998</x:v>
      </x:c>
      <x:c r="G626" s="13" t="n">
        <x:v>3.3739999999999997</x:v>
      </x:c>
      <x:c r="H626" s="13" t="n">
        <x:v>1.134</x:v>
      </x:c>
      <x:c r="I626" s="13" t="n">
        <x:v>0</x:v>
      </x:c>
      <x:c r="J626" s="12" t="str">
        <x:v>adopt</x:v>
      </x:c>
      <x:c r="K626" s="12" t="str">
        <x:v>speech</x:v>
      </x:c>
      <x:c r="L626" s="13" t="n">
        <x:f>IF(G626&lt;=I626,0,MAX(0,L620)+IF(E626="via",MAX(0,G626-MAX(F626,I626)),0))</x:f>
        <x:v>3.3739999999999997</x:v>
      </x:c>
    </x:row>
    <x:row r="627" ht="42" customHeight="1">
      <x:c r="A627" s="7" t="str">
        <x:v>DP2-B</x:v>
      </x:c>
      <x:c r="B627" s="7" t="str">
        <x:v>U21</x:v>
      </x:c>
      <x:c r="C627" s="7" t="str">
        <x:v>first_chunk</x:v>
      </x:c>
      <x:c r="D627" s="7" t="str">
        <x:v>같은 생성 job의 유효 첫 chunk 관측</x:v>
      </x:c>
      <x:c r="E627" s="7" t="str">
        <x:v>via</x:v>
      </x:c>
      <x:c r="F627" s="14" t="n">
        <x:v>2.2399999999999998</x:v>
      </x:c>
      <x:c r="G627" s="14" t="n">
        <x:v>2.674</x:v>
      </x:c>
      <x:c r="H627" s="14" t="n">
        <x:v>0.434</x:v>
      </x:c>
      <x:c r="I627" s="14" t="n">
        <x:v>0</x:v>
      </x:c>
      <x:c r="J627" s="7" t="str">
        <x:v>adopt</x:v>
      </x:c>
      <x:c r="K627" s="7" t="str">
        <x:v>none</x:v>
      </x:c>
      <x:c r="L627" s="14" t="n">
        <x:f>IF(G627&lt;=I627,0,MAX(0,L620)+IF(E627="via",MAX(0,G627-MAX(F627,I627)),0))</x:f>
        <x:v>2.674</x:v>
      </x:c>
    </x:row>
    <x:row r="628" ht="42" customHeight="1">
      <x:c r="A628" s="12" t="str">
        <x:v>DP2-B</x:v>
      </x:c>
      <x:c r="B628" s="12" t="str">
        <x:v>U21</x:v>
      </x:c>
      <x:c r="C628" s="12" t="str">
        <x:v>first_audio_output</x:v>
      </x:c>
      <x:c r="D628" s="12" t="str">
        <x:v>공통 장치의 첫 음성 출력</x:v>
      </x:c>
      <x:c r="E628" s="12" t="str">
        <x:v>via</x:v>
      </x:c>
      <x:c r="F628" s="13" t="n">
        <x:v>2.674</x:v>
      </x:c>
      <x:c r="G628" s="13" t="n">
        <x:v>2.714</x:v>
      </x:c>
      <x:c r="H628" s="13" t="n">
        <x:v>0.04</x:v>
      </x:c>
      <x:c r="I628" s="13" t="n">
        <x:v>0</x:v>
      </x:c>
      <x:c r="J628" s="12" t="str">
        <x:v>adopt, first_chunk</x:v>
      </x:c>
      <x:c r="K628" s="12" t="str">
        <x:v>none</x:v>
      </x:c>
      <x:c r="L628" s="13" t="n">
        <x:f>IF(G628&lt;=I628,0,MAX(0,L620,L627)+IF(E628="via",MAX(0,G628-MAX(F628,I628)),0))</x:f>
        <x:v>2.714</x:v>
      </x:c>
    </x:row>
    <x:row r="629" ht="42" customHeight="1">
      <x:c r="A629" s="7" t="str">
        <x:v>DP2-B</x:v>
      </x:c>
      <x:c r="B629" s="7" t="str">
        <x:v>U21</x:v>
      </x:c>
      <x:c r="C629" s="7" t="str">
        <x:v>next_speech_selection</x:v>
      </x:c>
      <x:c r="D629" s="7" t="str">
        <x:v>현재 발화 재생 후 다음 응답 선택</x:v>
      </x:c>
      <x:c r="E629" s="7" t="str">
        <x:v>external</x:v>
      </x:c>
      <x:c r="F629" s="14" t="n">
        <x:v>2.714</x:v>
      </x:c>
      <x:c r="G629" s="14" t="n">
        <x:v>5.714</x:v>
      </x:c>
      <x:c r="H629" s="14" t="n">
        <x:v>3</x:v>
      </x:c>
      <x:c r="I629" s="14" t="n">
        <x:v>0</x:v>
      </x:c>
      <x:c r="J629" s="7" t="str">
        <x:v>first_audio_output</x:v>
      </x:c>
      <x:c r="K629" s="7" t="str">
        <x:v>none</x:v>
      </x:c>
      <x:c r="L629" s="14" t="n">
        <x:f>IF(G629&lt;=I629,0,MAX(0,L628)+IF(E629="via",MAX(0,G629-MAX(F629,I629)),0))</x:f>
        <x:v>2.714</x:v>
      </x:c>
    </x:row>
    <x:row r="630" ht="42" customHeight="1">
      <x:c r="A630" s="12" t="str">
        <x:v>DP2-B</x:v>
      </x:c>
      <x:c r="B630" s="12" t="str">
        <x:v>U21</x:v>
      </x:c>
      <x:c r="C630" s="12" t="str">
        <x:v>terminal</x:v>
      </x:c>
      <x:c r="D630" s="12" t="str">
        <x:v>공통 목표 최종 상태와 전체 음성 준비</x:v>
      </x:c>
      <x:c r="E630" s="12" t="str">
        <x:v>via</x:v>
      </x:c>
      <x:c r="F630" s="13" t="n">
        <x:v>12.168</x:v>
      </x:c>
      <x:c r="G630" s="13" t="n">
        <x:v>12.168</x:v>
      </x:c>
      <x:c r="H630" s="13" t="n">
        <x:v>0</x:v>
      </x:c>
      <x:c r="I630" s="13" t="n">
        <x:v>0</x:v>
      </x:c>
      <x:c r="J630" s="12" t="str">
        <x:v>result_display, response_audio, intent_audio, first_audio_output</x:v>
      </x:c>
      <x:c r="K630" s="12" t="str">
        <x:v>none</x:v>
      </x:c>
      <x:c r="L630" s="13" t="n">
        <x:f>IF(G630&lt;=I630,0,MAX(0,L624,L625,L626,L628)+IF(E630="via",MAX(0,G630-MAX(F630,I630)),0))</x:f>
        <x:v>4.167999999999999</x:v>
      </x:c>
    </x:row>
    <x:row r="631" ht="42" customHeight="1">
      <x:c r="A631" s="7" t="str">
        <x:v>DP2-B</x:v>
      </x:c>
      <x:c r="B631" s="7" t="str">
        <x:v>U22</x:v>
      </x:c>
      <x:c r="C631" s="7" t="str">
        <x:v>input_end</x:v>
      </x:c>
      <x:c r="D631" s="7" t="str">
        <x:v>사용자 입력 종료</x:v>
      </x:c>
      <x:c r="E631" s="7" t="str">
        <x:v>external</x:v>
      </x:c>
      <x:c r="F631" s="14" t="n">
        <x:v>0</x:v>
      </x:c>
      <x:c r="G631" s="14" t="n">
        <x:v>0</x:v>
      </x:c>
      <x:c r="H631" s="14" t="n">
        <x:v>0</x:v>
      </x:c>
      <x:c r="I631" s="14" t="n">
        <x:v>0</x:v>
      </x:c>
      <x:c r="J631" s="7" t="str"/>
      <x:c r="K631" s="7" t="str">
        <x:v>none</x:v>
      </x:c>
      <x:c r="L631" s="14" t="n">
        <x:f>IF(G631&lt;=I631,0,MAX(0)+IF(E631="via",MAX(0,G631-MAX(F631,I631)),0))</x:f>
        <x:v>0</x:v>
      </x:c>
    </x:row>
    <x:row r="632" ht="42" customHeight="1">
      <x:c r="A632" s="12" t="str">
        <x:v>DP2-B</x:v>
      </x:c>
      <x:c r="B632" s="12" t="str">
        <x:v>U22</x:v>
      </x:c>
      <x:c r="C632" s="12" t="str">
        <x:v>intake</x:v>
      </x:c>
      <x:c r="D632" s="12" t="str">
        <x:v>입력 확정</x:v>
      </x:c>
      <x:c r="E632" s="12" t="str">
        <x:v>via</x:v>
      </x:c>
      <x:c r="F632" s="13" t="n">
        <x:v>0</x:v>
      </x:c>
      <x:c r="G632" s="13" t="n">
        <x:v>0.3</x:v>
      </x:c>
      <x:c r="H632" s="13" t="n">
        <x:v>0.3</x:v>
      </x:c>
      <x:c r="I632" s="13" t="n">
        <x:v>0</x:v>
      </x:c>
      <x:c r="J632" s="12" t="str">
        <x:v>input_end</x:v>
      </x:c>
      <x:c r="K632" s="12" t="str">
        <x:v>none</x:v>
      </x:c>
      <x:c r="L632" s="13" t="n">
        <x:f>IF(G632&lt;=I632,0,MAX(0,L631)+IF(E632="via",MAX(0,G632-MAX(F632,I632)),0))</x:f>
        <x:v>0.3</x:v>
      </x:c>
    </x:row>
    <x:row r="633" ht="42" customHeight="1">
      <x:c r="A633" s="7" t="str">
        <x:v>DP2-B</x:v>
      </x:c>
      <x:c r="B633" s="7" t="str">
        <x:v>U22</x:v>
      </x:c>
      <x:c r="C633" s="7" t="str">
        <x:v>read</x:v>
      </x:c>
      <x:c r="D633" s="7" t="str">
        <x:v>공통 허용 원본 조회</x:v>
      </x:c>
      <x:c r="E633" s="7" t="str">
        <x:v>via</x:v>
      </x:c>
      <x:c r="F633" s="14" t="n">
        <x:v>0.3</x:v>
      </x:c>
      <x:c r="G633" s="14" t="n">
        <x:v>0.38</x:v>
      </x:c>
      <x:c r="H633" s="14" t="n">
        <x:v>0.08</x:v>
      </x:c>
      <x:c r="I633" s="14" t="n">
        <x:v>0</x:v>
      </x:c>
      <x:c r="J633" s="7" t="str">
        <x:v>intake</x:v>
      </x:c>
      <x:c r="K633" s="7" t="str">
        <x:v>none</x:v>
      </x:c>
      <x:c r="L633" s="14" t="n">
        <x:f>IF(G633&lt;=I633,0,MAX(0,L632)+IF(E633="via",MAX(0,G633-MAX(F633,I633)),0))</x:f>
        <x:v>0.38</x:v>
      </x:c>
    </x:row>
    <x:row r="634" ht="42" customHeight="1">
      <x:c r="A634" s="12" t="str">
        <x:v>DP2-B</x:v>
      </x:c>
      <x:c r="B634" s="12" t="str">
        <x:v>U22</x:v>
      </x:c>
      <x:c r="C634" s="12" t="str">
        <x:v>pre_raw</x:v>
      </x:c>
      <x:c r="D634" s="12" t="str">
        <x:v>선행 원본 화면 해석</x:v>
      </x:c>
      <x:c r="E634" s="12" t="str">
        <x:v>via</x:v>
      </x:c>
      <x:c r="F634" s="13" t="n">
        <x:v>-12</x:v>
      </x:c>
      <x:c r="G634" s="13" t="n">
        <x:v>-10.6</x:v>
      </x:c>
      <x:c r="H634" s="13" t="n">
        <x:v>1.4000000000000001</x:v>
      </x:c>
      <x:c r="I634" s="13" t="n">
        <x:v>0</x:v>
      </x:c>
      <x:c r="J634" s="12" t="str"/>
      <x:c r="K634" s="12" t="str">
        <x:v>semantic</x:v>
      </x:c>
      <x:c r="L634" s="13" t="n">
        <x:f>IF(G634&lt;=I634,0,MAX(0)+IF(E634="via",MAX(0,G634-MAX(F634,I634)),0))</x:f>
        <x:v>0</x:v>
      </x:c>
    </x:row>
    <x:row r="635" ht="42" customHeight="1">
      <x:c r="A635" s="7" t="str">
        <x:v>DP2-B</x:v>
      </x:c>
      <x:c r="B635" s="7" t="str">
        <x:v>U22</x:v>
      </x:c>
      <x:c r="C635" s="7" t="str">
        <x:v>read_new_view</x:v>
      </x:c>
      <x:c r="D635" s="7" t="str">
        <x:v>새 viewport 원본 조회</x:v>
      </x:c>
      <x:c r="E635" s="7" t="str">
        <x:v>via</x:v>
      </x:c>
      <x:c r="F635" s="14" t="n">
        <x:v>0.38</x:v>
      </x:c>
      <x:c r="G635" s="14" t="n">
        <x:v>0.46</x:v>
      </x:c>
      <x:c r="H635" s="14" t="n">
        <x:v>0.08</x:v>
      </x:c>
      <x:c r="I635" s="14" t="n">
        <x:v>0</x:v>
      </x:c>
      <x:c r="J635" s="7" t="str">
        <x:v>read, pre_raw</x:v>
      </x:c>
      <x:c r="K635" s="7" t="str">
        <x:v>none</x:v>
      </x:c>
      <x:c r="L635" s="14" t="n">
        <x:f>IF(G635&lt;=I635,0,MAX(0,L633,L634)+IF(E635="via",MAX(0,G635-MAX(F635,I635)),0))</x:f>
        <x:v>0.46</x:v>
      </x:c>
    </x:row>
    <x:row r="636" ht="42" customHeight="1">
      <x:c r="A636" s="12" t="str">
        <x:v>DP2-B</x:v>
      </x:c>
      <x:c r="B636" s="12" t="str">
        <x:v>U22</x:v>
      </x:c>
      <x:c r="C636" s="12" t="str">
        <x:v>meaning</x:v>
      </x:c>
      <x:c r="D636" s="12" t="str">
        <x:v>최초 요청 의미 채택 packet 생성</x:v>
      </x:c>
      <x:c r="E636" s="12" t="str">
        <x:v>via</x:v>
      </x:c>
      <x:c r="F636" s="13" t="n">
        <x:v>0.46</x:v>
      </x:c>
      <x:c r="G636" s="13" t="n">
        <x:v>1.86</x:v>
      </x:c>
      <x:c r="H636" s="13" t="n">
        <x:v>1.4000000000000001</x:v>
      </x:c>
      <x:c r="I636" s="13" t="n">
        <x:v>0</x:v>
      </x:c>
      <x:c r="J636" s="12" t="str">
        <x:v>read_new_view</x:v>
      </x:c>
      <x:c r="K636" s="12" t="str">
        <x:v>semantic</x:v>
      </x:c>
      <x:c r="L636" s="13" t="n">
        <x:f>IF(G636&lt;=I636,0,MAX(0,L635)+IF(E636="via",MAX(0,G636-MAX(F636,I636)),0))</x:f>
        <x:v>1.86</x:v>
      </x:c>
    </x:row>
    <x:row r="637" ht="42" customHeight="1">
      <x:c r="A637" s="7" t="str">
        <x:v>DP2-B</x:v>
      </x:c>
      <x:c r="B637" s="7" t="str">
        <x:v>U22</x:v>
      </x:c>
      <x:c r="C637" s="7" t="str">
        <x:v>adopt</x:v>
      </x:c>
      <x:c r="D637" s="7" t="str">
        <x:v>현재 revision과 권한 검사 및 채택</x:v>
      </x:c>
      <x:c r="E637" s="7" t="str">
        <x:v>via</x:v>
      </x:c>
      <x:c r="F637" s="14" t="n">
        <x:v>1.86</x:v>
      </x:c>
      <x:c r="G637" s="14" t="n">
        <x:v>1.8900000000000001</x:v>
      </x:c>
      <x:c r="H637" s="14" t="n">
        <x:v>0.03</x:v>
      </x:c>
      <x:c r="I637" s="14" t="n">
        <x:v>0</x:v>
      </x:c>
      <x:c r="J637" s="7" t="str">
        <x:v>meaning</x:v>
      </x:c>
      <x:c r="K637" s="7" t="str">
        <x:v>none</x:v>
      </x:c>
      <x:c r="L637" s="14" t="n">
        <x:f>IF(G637&lt;=I637,0,MAX(0,L636)+IF(E637="via",MAX(0,G637-MAX(F637,I637)),0))</x:f>
        <x:v>1.8900000000000001</x:v>
      </x:c>
    </x:row>
    <x:row r="638" ht="42" customHeight="1">
      <x:c r="A638" s="12" t="str">
        <x:v>DP2-B</x:v>
      </x:c>
      <x:c r="B638" s="12" t="str">
        <x:v>U22</x:v>
      </x:c>
      <x:c r="C638" s="12" t="str">
        <x:v>first_display</x:v>
      </x:c>
      <x:c r="D638" s="12" t="str">
        <x:v>첫 구체적 채택 내용 화면 표시</x:v>
      </x:c>
      <x:c r="E638" s="12" t="str">
        <x:v>via</x:v>
      </x:c>
      <x:c r="F638" s="13" t="n">
        <x:v>1.8900000000000001</x:v>
      </x:c>
      <x:c r="G638" s="13" t="n">
        <x:v>1.9300000000000002</x:v>
      </x:c>
      <x:c r="H638" s="13" t="n">
        <x:v>0.04</x:v>
      </x:c>
      <x:c r="I638" s="13" t="n">
        <x:v>0</x:v>
      </x:c>
      <x:c r="J638" s="12" t="str">
        <x:v>adopt</x:v>
      </x:c>
      <x:c r="K638" s="12" t="str">
        <x:v>none</x:v>
      </x:c>
      <x:c r="L638" s="13" t="n">
        <x:f>IF(G638&lt;=I638,0,MAX(0,L637)+IF(E638="via",MAX(0,G638-MAX(F638,I638)),0))</x:f>
        <x:v>1.9300000000000002</x:v>
      </x:c>
    </x:row>
    <x:row r="639" ht="42" customHeight="1">
      <x:c r="A639" s="7" t="str">
        <x:v>DP2-B</x:v>
      </x:c>
      <x:c r="B639" s="7" t="str">
        <x:v>U22</x:v>
      </x:c>
      <x:c r="C639" s="7" t="str">
        <x:v>agent_ingress</x:v>
      </x:c>
      <x:c r="D639" s="7" t="str">
        <x:v>Agent 요청 전송</x:v>
      </x:c>
      <x:c r="E639" s="7" t="str">
        <x:v>via</x:v>
      </x:c>
      <x:c r="F639" s="14" t="n">
        <x:v>1.8900000000000001</x:v>
      </x:c>
      <x:c r="G639" s="14" t="n">
        <x:v>1.9300000000000002</x:v>
      </x:c>
      <x:c r="H639" s="14" t="n">
        <x:v>0.04</x:v>
      </x:c>
      <x:c r="I639" s="14" t="n">
        <x:v>0</x:v>
      </x:c>
      <x:c r="J639" s="7" t="str">
        <x:v>adopt</x:v>
      </x:c>
      <x:c r="K639" s="7" t="str">
        <x:v>none</x:v>
      </x:c>
      <x:c r="L639" s="14" t="n">
        <x:f>IF(G639&lt;=I639,0,MAX(0,L637)+IF(E639="via",MAX(0,G639-MAX(F639,I639)),0))</x:f>
        <x:v>1.9300000000000002</x:v>
      </x:c>
    </x:row>
    <x:row r="640" ht="42" customHeight="1">
      <x:c r="A640" s="12" t="str">
        <x:v>DP2-B</x:v>
      </x:c>
      <x:c r="B640" s="12" t="str">
        <x:v>U22</x:v>
      </x:c>
      <x:c r="C640" s="12" t="str">
        <x:v>agent_result</x:v>
      </x:c>
      <x:c r="D640" s="12" t="str">
        <x:v>외부 Agent 업무</x:v>
      </x:c>
      <x:c r="E640" s="12" t="str">
        <x:v>external</x:v>
      </x:c>
      <x:c r="F640" s="13" t="n">
        <x:v>1.9300000000000002</x:v>
      </x:c>
      <x:c r="G640" s="13" t="n">
        <x:v>9.93</x:v>
      </x:c>
      <x:c r="H640" s="13" t="n">
        <x:v>8</x:v>
      </x:c>
      <x:c r="I640" s="13" t="n">
        <x:v>0</x:v>
      </x:c>
      <x:c r="J640" s="12" t="str">
        <x:v>agent_ingress</x:v>
      </x:c>
      <x:c r="K640" s="12" t="str">
        <x:v>none</x:v>
      </x:c>
      <x:c r="L640" s="13" t="n">
        <x:f>IF(G640&lt;=I640,0,MAX(0,L639)+IF(E640="via",MAX(0,G640-MAX(F640,I640)),0))</x:f>
        <x:v>1.9300000000000002</x:v>
      </x:c>
    </x:row>
    <x:row r="641" ht="42" customHeight="1">
      <x:c r="A641" s="7" t="str">
        <x:v>DP2-B</x:v>
      </x:c>
      <x:c r="B641" s="7" t="str">
        <x:v>U22</x:v>
      </x:c>
      <x:c r="C641" s="7" t="str">
        <x:v>result_display</x:v>
      </x:c>
      <x:c r="D641" s="7" t="str">
        <x:v>최종 결과 상세 표시</x:v>
      </x:c>
      <x:c r="E641" s="7" t="str">
        <x:v>via</x:v>
      </x:c>
      <x:c r="F641" s="14" t="n">
        <x:v>9.93</x:v>
      </x:c>
      <x:c r="G641" s="14" t="n">
        <x:v>9.969999999999999</x:v>
      </x:c>
      <x:c r="H641" s="14" t="n">
        <x:v>0.04</x:v>
      </x:c>
      <x:c r="I641" s="14" t="n">
        <x:v>0</x:v>
      </x:c>
      <x:c r="J641" s="7" t="str">
        <x:v>agent_result</x:v>
      </x:c>
      <x:c r="K641" s="7" t="str">
        <x:v>none</x:v>
      </x:c>
      <x:c r="L641" s="14" t="n">
        <x:f>IF(G641&lt;=I641,0,MAX(0,L640)+IF(E641="via",MAX(0,G641-MAX(F641,I641)),0))</x:f>
        <x:v>1.9699999999999993</x:v>
      </x:c>
    </x:row>
    <x:row r="642" ht="42" customHeight="1">
      <x:c r="A642" s="12" t="str">
        <x:v>DP2-B</x:v>
      </x:c>
      <x:c r="B642" s="12" t="str">
        <x:v>U22</x:v>
      </x:c>
      <x:c r="C642" s="12" t="str">
        <x:v>question_arrival</x:v>
      </x:c>
      <x:c r="D642" s="12" t="str">
        <x:v>Agent 질문 텍스트 도착</x:v>
      </x:c>
      <x:c r="E642" s="12" t="str">
        <x:v>external</x:v>
      </x:c>
      <x:c r="F642" s="13" t="n">
        <x:v>-2</x:v>
      </x:c>
      <x:c r="G642" s="13" t="n">
        <x:v>-2</x:v>
      </x:c>
      <x:c r="H642" s="13" t="n">
        <x:v>0</x:v>
      </x:c>
      <x:c r="I642" s="13" t="n">
        <x:v>0</x:v>
      </x:c>
      <x:c r="J642" s="12" t="str"/>
      <x:c r="K642" s="12" t="str">
        <x:v>none</x:v>
      </x:c>
      <x:c r="L642" s="13" t="n">
        <x:f>IF(G642&lt;=I642,0,MAX(0)+IF(E642="via",MAX(0,G642-MAX(F642,I642)),0))</x:f>
        <x:v>0</x:v>
      </x:c>
    </x:row>
    <x:row r="643" ht="42" customHeight="1">
      <x:c r="A643" s="7" t="str">
        <x:v>DP2-B</x:v>
      </x:c>
      <x:c r="B643" s="7" t="str">
        <x:v>U22</x:v>
      </x:c>
      <x:c r="C643" s="7" t="str">
        <x:v>question_audio</x:v>
      </x:c>
      <x:c r="D643" s="7" t="str">
        <x:v>선택한 응답 음성 생성</x:v>
      </x:c>
      <x:c r="E643" s="7" t="str">
        <x:v>via</x:v>
      </x:c>
      <x:c r="F643" s="14" t="n">
        <x:v>-2</x:v>
      </x:c>
      <x:c r="G643" s="14" t="n">
        <x:v>-0.1120000000000001</x:v>
      </x:c>
      <x:c r="H643" s="14" t="n">
        <x:v>1.888</x:v>
      </x:c>
      <x:c r="I643" s="14" t="n">
        <x:v>0</x:v>
      </x:c>
      <x:c r="J643" s="7" t="str">
        <x:v>question_arrival</x:v>
      </x:c>
      <x:c r="K643" s="7" t="str">
        <x:v>speech</x:v>
      </x:c>
      <x:c r="L643" s="14" t="n">
        <x:f>IF(G643&lt;=I643,0,MAX(0,L642)+IF(E643="via",MAX(0,G643-MAX(F643,I643)),0))</x:f>
        <x:v>0</x:v>
      </x:c>
    </x:row>
    <x:row r="644" ht="42" customHeight="1">
      <x:c r="A644" s="12" t="str">
        <x:v>DP2-B</x:v>
      </x:c>
      <x:c r="B644" s="12" t="str">
        <x:v>U22</x:v>
      </x:c>
      <x:c r="C644" s="12" t="str">
        <x:v>final_result_audio</x:v>
      </x:c>
      <x:c r="D644" s="12" t="str">
        <x:v>새 업무 최종 결과 음성 준비</x:v>
      </x:c>
      <x:c r="E644" s="12" t="str">
        <x:v>via</x:v>
      </x:c>
      <x:c r="F644" s="13" t="n">
        <x:v>9.93</x:v>
      </x:c>
      <x:c r="G644" s="13" t="n">
        <x:v>11.818</x:v>
      </x:c>
      <x:c r="H644" s="13" t="n">
        <x:v>1.888</x:v>
      </x:c>
      <x:c r="I644" s="13" t="n">
        <x:v>0</x:v>
      </x:c>
      <x:c r="J644" s="12" t="str">
        <x:v>agent_result</x:v>
      </x:c>
      <x:c r="K644" s="12" t="str">
        <x:v>speech</x:v>
      </x:c>
      <x:c r="L644" s="13" t="n">
        <x:f>IF(G644&lt;=I644,0,MAX(0,L640)+IF(E644="via",MAX(0,G644-MAX(F644,I644)),0))</x:f>
        <x:v>3.818</x:v>
      </x:c>
    </x:row>
    <x:row r="645" ht="42" customHeight="1">
      <x:c r="A645" s="7" t="str">
        <x:v>DP2-B</x:v>
      </x:c>
      <x:c r="B645" s="7" t="str">
        <x:v>U22</x:v>
      </x:c>
      <x:c r="C645" s="7" t="str">
        <x:v>first_chunk</x:v>
      </x:c>
      <x:c r="D645" s="7" t="str">
        <x:v>같은 생성 job의 유효 첫 chunk 관측</x:v>
      </x:c>
      <x:c r="E645" s="7" t="str">
        <x:v>via</x:v>
      </x:c>
      <x:c r="F645" s="14" t="n">
        <x:v>-2</x:v>
      </x:c>
      <x:c r="G645" s="14" t="n">
        <x:v>-1.562</x:v>
      </x:c>
      <x:c r="H645" s="14" t="n">
        <x:v>0.438</x:v>
      </x:c>
      <x:c r="I645" s="14" t="n">
        <x:v>0</x:v>
      </x:c>
      <x:c r="J645" s="7" t="str">
        <x:v>question_arrival</x:v>
      </x:c>
      <x:c r="K645" s="7" t="str">
        <x:v>none</x:v>
      </x:c>
      <x:c r="L645" s="14" t="n">
        <x:f>IF(G645&lt;=I645,0,MAX(0,L642)+IF(E645="via",MAX(0,G645-MAX(F645,I645)),0))</x:f>
        <x:v>0</x:v>
      </x:c>
    </x:row>
    <x:row r="646" ht="42" customHeight="1">
      <x:c r="A646" s="12" t="str">
        <x:v>DP2-B</x:v>
      </x:c>
      <x:c r="B646" s="12" t="str">
        <x:v>U22</x:v>
      </x:c>
      <x:c r="C646" s="12" t="str">
        <x:v>first_audio_output</x:v>
      </x:c>
      <x:c r="D646" s="12" t="str">
        <x:v>공통 장치의 첫 음성 출력</x:v>
      </x:c>
      <x:c r="E646" s="12" t="str">
        <x:v>via</x:v>
      </x:c>
      <x:c r="F646" s="13" t="n">
        <x:v>1.8900000000000001</x:v>
      </x:c>
      <x:c r="G646" s="13" t="n">
        <x:v>1.9300000000000002</x:v>
      </x:c>
      <x:c r="H646" s="13" t="n">
        <x:v>0.04</x:v>
      </x:c>
      <x:c r="I646" s="13" t="n">
        <x:v>0</x:v>
      </x:c>
      <x:c r="J646" s="12" t="str">
        <x:v>adopt, first_chunk</x:v>
      </x:c>
      <x:c r="K646" s="12" t="str">
        <x:v>none</x:v>
      </x:c>
      <x:c r="L646" s="13" t="n">
        <x:f>IF(G646&lt;=I646,0,MAX(0,L637,L645)+IF(E646="via",MAX(0,G646-MAX(F646,I646)),0))</x:f>
        <x:v>1.9300000000000002</x:v>
      </x:c>
    </x:row>
    <x:row r="647" ht="42" customHeight="1">
      <x:c r="A647" s="7" t="str">
        <x:v>DP2-B</x:v>
      </x:c>
      <x:c r="B647" s="7" t="str">
        <x:v>U22</x:v>
      </x:c>
      <x:c r="C647" s="7" t="str">
        <x:v>next_speech_selection</x:v>
      </x:c>
      <x:c r="D647" s="7" t="str">
        <x:v>현재 발화 재생 후 다음 응답 선택</x:v>
      </x:c>
      <x:c r="E647" s="7" t="str">
        <x:v>external</x:v>
      </x:c>
      <x:c r="F647" s="14" t="n">
        <x:v>1.9300000000000002</x:v>
      </x:c>
      <x:c r="G647" s="14" t="n">
        <x:v>7.93</x:v>
      </x:c>
      <x:c r="H647" s="14" t="n">
        <x:v>6</x:v>
      </x:c>
      <x:c r="I647" s="14" t="n">
        <x:v>0</x:v>
      </x:c>
      <x:c r="J647" s="7" t="str">
        <x:v>first_audio_output</x:v>
      </x:c>
      <x:c r="K647" s="7" t="str">
        <x:v>none</x:v>
      </x:c>
      <x:c r="L647" s="14" t="n">
        <x:f>IF(G647&lt;=I647,0,MAX(0,L646)+IF(E647="via",MAX(0,G647-MAX(F647,I647)),0))</x:f>
        <x:v>1.9300000000000002</x:v>
      </x:c>
    </x:row>
    <x:row r="648" ht="42" customHeight="1">
      <x:c r="A648" s="12" t="str">
        <x:v>DP2-B</x:v>
      </x:c>
      <x:c r="B648" s="12" t="str">
        <x:v>U22</x:v>
      </x:c>
      <x:c r="C648" s="12" t="str">
        <x:v>terminal</x:v>
      </x:c>
      <x:c r="D648" s="12" t="str">
        <x:v>공통 목표 최종 상태와 전체 음성 준비</x:v>
      </x:c>
      <x:c r="E648" s="12" t="str">
        <x:v>via</x:v>
      </x:c>
      <x:c r="F648" s="13" t="n">
        <x:v>11.818</x:v>
      </x:c>
      <x:c r="G648" s="13" t="n">
        <x:v>11.818</x:v>
      </x:c>
      <x:c r="H648" s="13" t="n">
        <x:v>0</x:v>
      </x:c>
      <x:c r="I648" s="13" t="n">
        <x:v>0</x:v>
      </x:c>
      <x:c r="J648" s="12" t="str">
        <x:v>result_display, question_audio, first_audio_output, final_result_audio</x:v>
      </x:c>
      <x:c r="K648" s="12" t="str">
        <x:v>none</x:v>
      </x:c>
      <x:c r="L648" s="13" t="n">
        <x:f>IF(G648&lt;=I648,0,MAX(0,L641,L643,L646,L644)+IF(E648="via",MAX(0,G648-MAX(F648,I648)),0))</x:f>
        <x:v>3.818</x:v>
      </x:c>
    </x:row>
    <x:row r="649" ht="42" customHeight="1">
      <x:c r="A649" s="7" t="str">
        <x:v>DP2-B</x:v>
      </x:c>
      <x:c r="B649" s="7" t="str">
        <x:v>U23</x:v>
      </x:c>
      <x:c r="C649" s="7" t="str">
        <x:v>input_end</x:v>
      </x:c>
      <x:c r="D649" s="7" t="str">
        <x:v>사용자 입력 종료</x:v>
      </x:c>
      <x:c r="E649" s="7" t="str">
        <x:v>external</x:v>
      </x:c>
      <x:c r="F649" s="14" t="n">
        <x:v>0</x:v>
      </x:c>
      <x:c r="G649" s="14" t="n">
        <x:v>0</x:v>
      </x:c>
      <x:c r="H649" s="14" t="n">
        <x:v>0</x:v>
      </x:c>
      <x:c r="I649" s="14" t="n">
        <x:v>0</x:v>
      </x:c>
      <x:c r="J649" s="7" t="str"/>
      <x:c r="K649" s="7" t="str">
        <x:v>none</x:v>
      </x:c>
      <x:c r="L649" s="14" t="n">
        <x:f>IF(G649&lt;=I649,0,MAX(0)+IF(E649="via",MAX(0,G649-MAX(F649,I649)),0))</x:f>
        <x:v>0</x:v>
      </x:c>
    </x:row>
    <x:row r="650" ht="42" customHeight="1">
      <x:c r="A650" s="12" t="str">
        <x:v>DP2-B</x:v>
      </x:c>
      <x:c r="B650" s="12" t="str">
        <x:v>U23</x:v>
      </x:c>
      <x:c r="C650" s="12" t="str">
        <x:v>intake</x:v>
      </x:c>
      <x:c r="D650" s="12" t="str">
        <x:v>입력 확정</x:v>
      </x:c>
      <x:c r="E650" s="12" t="str">
        <x:v>via</x:v>
      </x:c>
      <x:c r="F650" s="13" t="n">
        <x:v>0</x:v>
      </x:c>
      <x:c r="G650" s="13" t="n">
        <x:v>0.06</x:v>
      </x:c>
      <x:c r="H650" s="13" t="n">
        <x:v>0.06</x:v>
      </x:c>
      <x:c r="I650" s="13" t="n">
        <x:v>0</x:v>
      </x:c>
      <x:c r="J650" s="12" t="str">
        <x:v>input_end</x:v>
      </x:c>
      <x:c r="K650" s="12" t="str">
        <x:v>none</x:v>
      </x:c>
      <x:c r="L650" s="13" t="n">
        <x:f>IF(G650&lt;=I650,0,MAX(0,L649)+IF(E650="via",MAX(0,G650-MAX(F650,I650)),0))</x:f>
        <x:v>0.06</x:v>
      </x:c>
    </x:row>
    <x:row r="651" ht="42" customHeight="1">
      <x:c r="A651" s="7" t="str">
        <x:v>DP2-B</x:v>
      </x:c>
      <x:c r="B651" s="7" t="str">
        <x:v>U23</x:v>
      </x:c>
      <x:c r="C651" s="7" t="str">
        <x:v>read</x:v>
      </x:c>
      <x:c r="D651" s="7" t="str">
        <x:v>공통 허용 원본 조회</x:v>
      </x:c>
      <x:c r="E651" s="7" t="str">
        <x:v>via</x:v>
      </x:c>
      <x:c r="F651" s="14" t="n">
        <x:v>0.06</x:v>
      </x:c>
      <x:c r="G651" s="14" t="n">
        <x:v>0.14</x:v>
      </x:c>
      <x:c r="H651" s="14" t="n">
        <x:v>0.08</x:v>
      </x:c>
      <x:c r="I651" s="14" t="n">
        <x:v>0</x:v>
      </x:c>
      <x:c r="J651" s="7" t="str">
        <x:v>intake</x:v>
      </x:c>
      <x:c r="K651" s="7" t="str">
        <x:v>none</x:v>
      </x:c>
      <x:c r="L651" s="14" t="n">
        <x:f>IF(G651&lt;=I651,0,MAX(0,L650)+IF(E651="via",MAX(0,G651-MAX(F651,I651)),0))</x:f>
        <x:v>0.14</x:v>
      </x:c>
    </x:row>
    <x:row r="652" ht="42" customHeight="1">
      <x:c r="A652" s="12" t="str">
        <x:v>DP2-B</x:v>
      </x:c>
      <x:c r="B652" s="12" t="str">
        <x:v>U23</x:v>
      </x:c>
      <x:c r="C652" s="12" t="str">
        <x:v>meaning</x:v>
      </x:c>
      <x:c r="D652" s="12" t="str">
        <x:v>최초 요청 의미 채택 packet 생성</x:v>
      </x:c>
      <x:c r="E652" s="12" t="str">
        <x:v>via</x:v>
      </x:c>
      <x:c r="F652" s="13" t="n">
        <x:v>0.14</x:v>
      </x:c>
      <x:c r="G652" s="13" t="n">
        <x:v>1.6400000000000001</x:v>
      </x:c>
      <x:c r="H652" s="13" t="n">
        <x:v>1.5</x:v>
      </x:c>
      <x:c r="I652" s="13" t="n">
        <x:v>0</x:v>
      </x:c>
      <x:c r="J652" s="12" t="str">
        <x:v>read</x:v>
      </x:c>
      <x:c r="K652" s="12" t="str">
        <x:v>semantic</x:v>
      </x:c>
      <x:c r="L652" s="13" t="n">
        <x:f>IF(G652&lt;=I652,0,MAX(0,L651)+IF(E652="via",MAX(0,G652-MAX(F652,I652)),0))</x:f>
        <x:v>1.6400000000000001</x:v>
      </x:c>
    </x:row>
    <x:row r="653" ht="42" customHeight="1">
      <x:c r="A653" s="7" t="str">
        <x:v>DP2-B</x:v>
      </x:c>
      <x:c r="B653" s="7" t="str">
        <x:v>U23</x:v>
      </x:c>
      <x:c r="C653" s="7" t="str">
        <x:v>adopt</x:v>
      </x:c>
      <x:c r="D653" s="7" t="str">
        <x:v>현재 revision과 권한 검사 및 채택</x:v>
      </x:c>
      <x:c r="E653" s="7" t="str">
        <x:v>via</x:v>
      </x:c>
      <x:c r="F653" s="14" t="n">
        <x:v>1.6400000000000001</x:v>
      </x:c>
      <x:c r="G653" s="14" t="n">
        <x:v>1.6700000000000002</x:v>
      </x:c>
      <x:c r="H653" s="14" t="n">
        <x:v>0.03</x:v>
      </x:c>
      <x:c r="I653" s="14" t="n">
        <x:v>0</x:v>
      </x:c>
      <x:c r="J653" s="7" t="str">
        <x:v>meaning</x:v>
      </x:c>
      <x:c r="K653" s="7" t="str">
        <x:v>none</x:v>
      </x:c>
      <x:c r="L653" s="14" t="n">
        <x:f>IF(G653&lt;=I653,0,MAX(0,L652)+IF(E653="via",MAX(0,G653-MAX(F653,I653)),0))</x:f>
        <x:v>1.6700000000000002</x:v>
      </x:c>
    </x:row>
    <x:row r="654" ht="42" customHeight="1">
      <x:c r="A654" s="12" t="str">
        <x:v>DP2-B</x:v>
      </x:c>
      <x:c r="B654" s="12" t="str">
        <x:v>U23</x:v>
      </x:c>
      <x:c r="C654" s="12" t="str">
        <x:v>first_display</x:v>
      </x:c>
      <x:c r="D654" s="12" t="str">
        <x:v>첫 구체적 채택 내용 화면 표시</x:v>
      </x:c>
      <x:c r="E654" s="12" t="str">
        <x:v>via</x:v>
      </x:c>
      <x:c r="F654" s="13" t="n">
        <x:v>1.6700000000000002</x:v>
      </x:c>
      <x:c r="G654" s="13" t="n">
        <x:v>1.7100000000000002</x:v>
      </x:c>
      <x:c r="H654" s="13" t="n">
        <x:v>0.04</x:v>
      </x:c>
      <x:c r="I654" s="13" t="n">
        <x:v>0</x:v>
      </x:c>
      <x:c r="J654" s="12" t="str">
        <x:v>adopt</x:v>
      </x:c>
      <x:c r="K654" s="12" t="str">
        <x:v>none</x:v>
      </x:c>
      <x:c r="L654" s="13" t="n">
        <x:f>IF(G654&lt;=I654,0,MAX(0,L653)+IF(E654="via",MAX(0,G654-MAX(F654,I654)),0))</x:f>
        <x:v>1.7100000000000002</x:v>
      </x:c>
    </x:row>
    <x:row r="655" ht="42" customHeight="1">
      <x:c r="A655" s="7" t="str">
        <x:v>DP2-B</x:v>
      </x:c>
      <x:c r="B655" s="7" t="str">
        <x:v>U23</x:v>
      </x:c>
      <x:c r="C655" s="7" t="str">
        <x:v>agent_ingress</x:v>
      </x:c>
      <x:c r="D655" s="7" t="str">
        <x:v>Agent 요청 전송</x:v>
      </x:c>
      <x:c r="E655" s="7" t="str">
        <x:v>via</x:v>
      </x:c>
      <x:c r="F655" s="14" t="n">
        <x:v>1.6700000000000002</x:v>
      </x:c>
      <x:c r="G655" s="14" t="n">
        <x:v>1.7100000000000002</x:v>
      </x:c>
      <x:c r="H655" s="14" t="n">
        <x:v>0.04</x:v>
      </x:c>
      <x:c r="I655" s="14" t="n">
        <x:v>0</x:v>
      </x:c>
      <x:c r="J655" s="7" t="str">
        <x:v>adopt</x:v>
      </x:c>
      <x:c r="K655" s="7" t="str">
        <x:v>none</x:v>
      </x:c>
      <x:c r="L655" s="14" t="n">
        <x:f>IF(G655&lt;=I655,0,MAX(0,L653)+IF(E655="via",MAX(0,G655-MAX(F655,I655)),0))</x:f>
        <x:v>1.7100000000000002</x:v>
      </x:c>
    </x:row>
    <x:row r="656" ht="42" customHeight="1">
      <x:c r="A656" s="12" t="str">
        <x:v>DP2-B</x:v>
      </x:c>
      <x:c r="B656" s="12" t="str">
        <x:v>U23</x:v>
      </x:c>
      <x:c r="C656" s="12" t="str">
        <x:v>agent_result</x:v>
      </x:c>
      <x:c r="D656" s="12" t="str">
        <x:v>외부 Agent 업무</x:v>
      </x:c>
      <x:c r="E656" s="12" t="str">
        <x:v>external</x:v>
      </x:c>
      <x:c r="F656" s="13" t="n">
        <x:v>1.7100000000000002</x:v>
      </x:c>
      <x:c r="G656" s="13" t="n">
        <x:v>9.71</x:v>
      </x:c>
      <x:c r="H656" s="13" t="n">
        <x:v>8</x:v>
      </x:c>
      <x:c r="I656" s="13" t="n">
        <x:v>0</x:v>
      </x:c>
      <x:c r="J656" s="12" t="str">
        <x:v>agent_ingress</x:v>
      </x:c>
      <x:c r="K656" s="12" t="str">
        <x:v>none</x:v>
      </x:c>
      <x:c r="L656" s="13" t="n">
        <x:f>IF(G656&lt;=I656,0,MAX(0,L655)+IF(E656="via",MAX(0,G656-MAX(F656,I656)),0))</x:f>
        <x:v>1.7100000000000002</x:v>
      </x:c>
    </x:row>
    <x:row r="657" ht="42" customHeight="1">
      <x:c r="A657" s="7" t="str">
        <x:v>DP2-B</x:v>
      </x:c>
      <x:c r="B657" s="7" t="str">
        <x:v>U23</x:v>
      </x:c>
      <x:c r="C657" s="7" t="str">
        <x:v>result_display</x:v>
      </x:c>
      <x:c r="D657" s="7" t="str">
        <x:v>최종 결과 상세 표시</x:v>
      </x:c>
      <x:c r="E657" s="7" t="str">
        <x:v>via</x:v>
      </x:c>
      <x:c r="F657" s="14" t="n">
        <x:v>9.71</x:v>
      </x:c>
      <x:c r="G657" s="14" t="n">
        <x:v>9.75</x:v>
      </x:c>
      <x:c r="H657" s="14" t="n">
        <x:v>0.04</x:v>
      </x:c>
      <x:c r="I657" s="14" t="n">
        <x:v>0</x:v>
      </x:c>
      <x:c r="J657" s="7" t="str">
        <x:v>agent_result</x:v>
      </x:c>
      <x:c r="K657" s="7" t="str">
        <x:v>none</x:v>
      </x:c>
      <x:c r="L657" s="14" t="n">
        <x:f>IF(G657&lt;=I657,0,MAX(0,L656)+IF(E657="via",MAX(0,G657-MAX(F657,I657)),0))</x:f>
        <x:v>1.7499999999999993</x:v>
      </x:c>
    </x:row>
    <x:row r="658" ht="42" customHeight="1">
      <x:c r="A658" s="12" t="str">
        <x:v>DP2-B</x:v>
      </x:c>
      <x:c r="B658" s="12" t="str">
        <x:v>U23</x:v>
      </x:c>
      <x:c r="C658" s="12" t="str">
        <x:v>question_arrival</x:v>
      </x:c>
      <x:c r="D658" s="12" t="str">
        <x:v>Agent 질문 텍스트 도착</x:v>
      </x:c>
      <x:c r="E658" s="12" t="str">
        <x:v>external</x:v>
      </x:c>
      <x:c r="F658" s="13" t="n">
        <x:v>-2</x:v>
      </x:c>
      <x:c r="G658" s="13" t="n">
        <x:v>-2</x:v>
      </x:c>
      <x:c r="H658" s="13" t="n">
        <x:v>0</x:v>
      </x:c>
      <x:c r="I658" s="13" t="n">
        <x:v>0</x:v>
      </x:c>
      <x:c r="J658" s="12" t="str"/>
      <x:c r="K658" s="12" t="str">
        <x:v>none</x:v>
      </x:c>
      <x:c r="L658" s="13" t="n">
        <x:f>IF(G658&lt;=I658,0,MAX(0)+IF(E658="via",MAX(0,G658-MAX(F658,I658)),0))</x:f>
        <x:v>0</x:v>
      </x:c>
    </x:row>
    <x:row r="659" ht="42" customHeight="1">
      <x:c r="A659" s="7" t="str">
        <x:v>DP2-B</x:v>
      </x:c>
      <x:c r="B659" s="7" t="str">
        <x:v>U23</x:v>
      </x:c>
      <x:c r="C659" s="7" t="str">
        <x:v>question_audio</x:v>
      </x:c>
      <x:c r="D659" s="7" t="str">
        <x:v>선택한 응답 음성 생성</x:v>
      </x:c>
      <x:c r="E659" s="7" t="str">
        <x:v>via</x:v>
      </x:c>
      <x:c r="F659" s="14" t="n">
        <x:v>-2</x:v>
      </x:c>
      <x:c r="G659" s="14" t="n">
        <x:v>-0.1120000000000001</x:v>
      </x:c>
      <x:c r="H659" s="14" t="n">
        <x:v>1.888</x:v>
      </x:c>
      <x:c r="I659" s="14" t="n">
        <x:v>0</x:v>
      </x:c>
      <x:c r="J659" s="7" t="str">
        <x:v>question_arrival</x:v>
      </x:c>
      <x:c r="K659" s="7" t="str">
        <x:v>speech</x:v>
      </x:c>
      <x:c r="L659" s="14" t="n">
        <x:f>IF(G659&lt;=I659,0,MAX(0,L658)+IF(E659="via",MAX(0,G659-MAX(F659,I659)),0))</x:f>
        <x:v>0</x:v>
      </x:c>
    </x:row>
    <x:row r="660" ht="42" customHeight="1">
      <x:c r="A660" s="12" t="str">
        <x:v>DP2-B</x:v>
      </x:c>
      <x:c r="B660" s="12" t="str">
        <x:v>U23</x:v>
      </x:c>
      <x:c r="C660" s="12" t="str">
        <x:v>final_result_audio</x:v>
      </x:c>
      <x:c r="D660" s="12" t="str">
        <x:v>새 업무 최종 결과 음성 준비</x:v>
      </x:c>
      <x:c r="E660" s="12" t="str">
        <x:v>via</x:v>
      </x:c>
      <x:c r="F660" s="13" t="n">
        <x:v>9.71</x:v>
      </x:c>
      <x:c r="G660" s="13" t="n">
        <x:v>11.598</x:v>
      </x:c>
      <x:c r="H660" s="13" t="n">
        <x:v>1.888</x:v>
      </x:c>
      <x:c r="I660" s="13" t="n">
        <x:v>0</x:v>
      </x:c>
      <x:c r="J660" s="12" t="str">
        <x:v>agent_result</x:v>
      </x:c>
      <x:c r="K660" s="12" t="str">
        <x:v>speech</x:v>
      </x:c>
      <x:c r="L660" s="13" t="n">
        <x:f>IF(G660&lt;=I660,0,MAX(0,L656)+IF(E660="via",MAX(0,G660-MAX(F660,I660)),0))</x:f>
        <x:v>3.598</x:v>
      </x:c>
    </x:row>
    <x:row r="661" ht="42" customHeight="1">
      <x:c r="A661" s="7" t="str">
        <x:v>DP2-B</x:v>
      </x:c>
      <x:c r="B661" s="7" t="str">
        <x:v>U23</x:v>
      </x:c>
      <x:c r="C661" s="7" t="str">
        <x:v>first_chunk</x:v>
      </x:c>
      <x:c r="D661" s="7" t="str">
        <x:v>같은 생성 job의 유효 첫 chunk 관측</x:v>
      </x:c>
      <x:c r="E661" s="7" t="str">
        <x:v>via</x:v>
      </x:c>
      <x:c r="F661" s="14" t="n">
        <x:v>-2</x:v>
      </x:c>
      <x:c r="G661" s="14" t="n">
        <x:v>-1.562</x:v>
      </x:c>
      <x:c r="H661" s="14" t="n">
        <x:v>0.438</x:v>
      </x:c>
      <x:c r="I661" s="14" t="n">
        <x:v>0</x:v>
      </x:c>
      <x:c r="J661" s="7" t="str">
        <x:v>question_arrival</x:v>
      </x:c>
      <x:c r="K661" s="7" t="str">
        <x:v>none</x:v>
      </x:c>
      <x:c r="L661" s="14" t="n">
        <x:f>IF(G661&lt;=I661,0,MAX(0,L658)+IF(E661="via",MAX(0,G661-MAX(F661,I661)),0))</x:f>
        <x:v>0</x:v>
      </x:c>
    </x:row>
    <x:row r="662" ht="42" customHeight="1">
      <x:c r="A662" s="12" t="str">
        <x:v>DP2-B</x:v>
      </x:c>
      <x:c r="B662" s="12" t="str">
        <x:v>U23</x:v>
      </x:c>
      <x:c r="C662" s="12" t="str">
        <x:v>first_audio_output</x:v>
      </x:c>
      <x:c r="D662" s="12" t="str">
        <x:v>공통 장치의 첫 음성 출력</x:v>
      </x:c>
      <x:c r="E662" s="12" t="str">
        <x:v>via</x:v>
      </x:c>
      <x:c r="F662" s="13" t="n">
        <x:v>1.6700000000000002</x:v>
      </x:c>
      <x:c r="G662" s="13" t="n">
        <x:v>1.7100000000000002</x:v>
      </x:c>
      <x:c r="H662" s="13" t="n">
        <x:v>0.04</x:v>
      </x:c>
      <x:c r="I662" s="13" t="n">
        <x:v>0</x:v>
      </x:c>
      <x:c r="J662" s="12" t="str">
        <x:v>adopt, first_chunk</x:v>
      </x:c>
      <x:c r="K662" s="12" t="str">
        <x:v>none</x:v>
      </x:c>
      <x:c r="L662" s="13" t="n">
        <x:f>IF(G662&lt;=I662,0,MAX(0,L653,L661)+IF(E662="via",MAX(0,G662-MAX(F662,I662)),0))</x:f>
        <x:v>1.7100000000000002</x:v>
      </x:c>
    </x:row>
    <x:row r="663" ht="42" customHeight="1">
      <x:c r="A663" s="7" t="str">
        <x:v>DP2-B</x:v>
      </x:c>
      <x:c r="B663" s="7" t="str">
        <x:v>U23</x:v>
      </x:c>
      <x:c r="C663" s="7" t="str">
        <x:v>next_speech_selection</x:v>
      </x:c>
      <x:c r="D663" s="7" t="str">
        <x:v>현재 발화 재생 후 다음 응답 선택</x:v>
      </x:c>
      <x:c r="E663" s="7" t="str">
        <x:v>external</x:v>
      </x:c>
      <x:c r="F663" s="14" t="n">
        <x:v>1.7100000000000002</x:v>
      </x:c>
      <x:c r="G663" s="14" t="n">
        <x:v>7.71</x:v>
      </x:c>
      <x:c r="H663" s="14" t="n">
        <x:v>6</x:v>
      </x:c>
      <x:c r="I663" s="14" t="n">
        <x:v>0</x:v>
      </x:c>
      <x:c r="J663" s="7" t="str">
        <x:v>first_audio_output</x:v>
      </x:c>
      <x:c r="K663" s="7" t="str">
        <x:v>none</x:v>
      </x:c>
      <x:c r="L663" s="14" t="n">
        <x:f>IF(G663&lt;=I663,0,MAX(0,L662)+IF(E663="via",MAX(0,G663-MAX(F663,I663)),0))</x:f>
        <x:v>1.7100000000000002</x:v>
      </x:c>
    </x:row>
    <x:row r="664" ht="42" customHeight="1">
      <x:c r="A664" s="12" t="str">
        <x:v>DP2-B</x:v>
      </x:c>
      <x:c r="B664" s="12" t="str">
        <x:v>U23</x:v>
      </x:c>
      <x:c r="C664" s="12" t="str">
        <x:v>terminal</x:v>
      </x:c>
      <x:c r="D664" s="12" t="str">
        <x:v>공통 목표 최종 상태와 전체 음성 준비</x:v>
      </x:c>
      <x:c r="E664" s="12" t="str">
        <x:v>via</x:v>
      </x:c>
      <x:c r="F664" s="13" t="n">
        <x:v>11.598</x:v>
      </x:c>
      <x:c r="G664" s="13" t="n">
        <x:v>11.598</x:v>
      </x:c>
      <x:c r="H664" s="13" t="n">
        <x:v>0</x:v>
      </x:c>
      <x:c r="I664" s="13" t="n">
        <x:v>0</x:v>
      </x:c>
      <x:c r="J664" s="12" t="str">
        <x:v>result_display, question_audio, first_audio_output, final_result_audio</x:v>
      </x:c>
      <x:c r="K664" s="12" t="str">
        <x:v>none</x:v>
      </x:c>
      <x:c r="L664" s="13" t="n">
        <x:f>IF(G664&lt;=I664,0,MAX(0,L657,L659,L662,L660)+IF(E664="via",MAX(0,G664-MAX(F664,I664)),0))</x:f>
        <x:v>3.598</x:v>
      </x:c>
    </x:row>
    <x:row r="665" ht="42" customHeight="1">
      <x:c r="A665" s="7" t="str">
        <x:v>DP2-B</x:v>
      </x:c>
      <x:c r="B665" s="7" t="str">
        <x:v>U24</x:v>
      </x:c>
      <x:c r="C665" s="7" t="str">
        <x:v>bg1</x:v>
      </x:c>
      <x:c r="D665" s="7" t="str">
        <x:v>진행 중인 현재 대화의 의미 step</x:v>
      </x:c>
      <x:c r="E665" s="7" t="str">
        <x:v>via</x:v>
      </x:c>
      <x:c r="F665" s="14" t="n">
        <x:v>-1</x:v>
      </x:c>
      <x:c r="G665" s="14" t="n">
        <x:v>2.4</x:v>
      </x:c>
      <x:c r="H665" s="14" t="n">
        <x:v>3.4</x:v>
      </x:c>
      <x:c r="I665" s="14" t="n">
        <x:v>-6</x:v>
      </x:c>
      <x:c r="J665" s="7" t="str">
        <x:v>original_work</x:v>
      </x:c>
      <x:c r="K665" s="7" t="str">
        <x:v>semantic</x:v>
      </x:c>
      <x:c r="L665" s="14" t="n">
        <x:f>IF(G665&lt;=I665,0,MAX(0,L666)+IF(E665="via",MAX(0,G665-MAX(F665,I665)),0))</x:f>
        <x:v>5.4</x:v>
      </x:c>
    </x:row>
    <x:row r="666" ht="42" customHeight="1">
      <x:c r="A666" s="12" t="str">
        <x:v>DP2-B</x:v>
      </x:c>
      <x:c r="B666" s="12" t="str">
        <x:v>U24</x:v>
      </x:c>
      <x:c r="C666" s="12" t="str">
        <x:v>original_work</x:v>
      </x:c>
      <x:c r="D666" s="12" t="str">
        <x:v>원래 목표의 최초 VIA 처리</x:v>
      </x:c>
      <x:c r="E666" s="12" t="str">
        <x:v>via</x:v>
      </x:c>
      <x:c r="F666" s="13" t="n">
        <x:v>-6</x:v>
      </x:c>
      <x:c r="G666" s="13" t="n">
        <x:v>-4</x:v>
      </x:c>
      <x:c r="H666" s="13" t="n">
        <x:v>2</x:v>
      </x:c>
      <x:c r="I666" s="13" t="n">
        <x:v>-6</x:v>
      </x:c>
      <x:c r="J666" s="12" t="str"/>
      <x:c r="K666" s="12" t="str">
        <x:v>none</x:v>
      </x:c>
      <x:c r="L666" s="13" t="n">
        <x:f>IF(G666&lt;=I666,0,MAX(0)+IF(E666="via",MAX(0,G666-MAX(F666,I666)),0))</x:f>
        <x:v>2</x:v>
      </x:c>
    </x:row>
    <x:row r="667" ht="42" customHeight="1">
      <x:c r="A667" s="7" t="str">
        <x:v>DP2-B</x:v>
      </x:c>
      <x:c r="B667" s="7" t="str">
        <x:v>U24</x:v>
      </x:c>
      <x:c r="C667" s="7" t="str">
        <x:v>input_end</x:v>
      </x:c>
      <x:c r="D667" s="7" t="str">
        <x:v>사용자 입력 종료</x:v>
      </x:c>
      <x:c r="E667" s="7" t="str">
        <x:v>external</x:v>
      </x:c>
      <x:c r="F667" s="14" t="n">
        <x:v>0</x:v>
      </x:c>
      <x:c r="G667" s="14" t="n">
        <x:v>0</x:v>
      </x:c>
      <x:c r="H667" s="14" t="n">
        <x:v>0</x:v>
      </x:c>
      <x:c r="I667" s="14" t="n">
        <x:v>-6</x:v>
      </x:c>
      <x:c r="J667" s="7" t="str">
        <x:v>original_work</x:v>
      </x:c>
      <x:c r="K667" s="7" t="str">
        <x:v>none</x:v>
      </x:c>
      <x:c r="L667" s="14" t="n">
        <x:f>IF(G667&lt;=I667,0,MAX(0,L666)+IF(E667="via",MAX(0,G667-MAX(F667,I667)),0))</x:f>
        <x:v>2</x:v>
      </x:c>
    </x:row>
    <x:row r="668" ht="42" customHeight="1">
      <x:c r="A668" s="12" t="str">
        <x:v>DP2-B</x:v>
      </x:c>
      <x:c r="B668" s="12" t="str">
        <x:v>U24</x:v>
      </x:c>
      <x:c r="C668" s="12" t="str">
        <x:v>intake</x:v>
      </x:c>
      <x:c r="D668" s="12" t="str">
        <x:v>입력 확정</x:v>
      </x:c>
      <x:c r="E668" s="12" t="str">
        <x:v>via</x:v>
      </x:c>
      <x:c r="F668" s="13" t="n">
        <x:v>0</x:v>
      </x:c>
      <x:c r="G668" s="13" t="n">
        <x:v>0.3</x:v>
      </x:c>
      <x:c r="H668" s="13" t="n">
        <x:v>0.3</x:v>
      </x:c>
      <x:c r="I668" s="13" t="n">
        <x:v>-6</x:v>
      </x:c>
      <x:c r="J668" s="12" t="str">
        <x:v>input_end</x:v>
      </x:c>
      <x:c r="K668" s="12" t="str">
        <x:v>none</x:v>
      </x:c>
      <x:c r="L668" s="13" t="n">
        <x:f>IF(G668&lt;=I668,0,MAX(0,L667)+IF(E668="via",MAX(0,G668-MAX(F668,I668)),0))</x:f>
        <x:v>2.3</x:v>
      </x:c>
    </x:row>
    <x:row r="669" ht="42" customHeight="1">
      <x:c r="A669" s="7" t="str">
        <x:v>DP2-B</x:v>
      </x:c>
      <x:c r="B669" s="7" t="str">
        <x:v>U24</x:v>
      </x:c>
      <x:c r="C669" s="7" t="str">
        <x:v>read</x:v>
      </x:c>
      <x:c r="D669" s="7" t="str">
        <x:v>공통 허용 원본 조회</x:v>
      </x:c>
      <x:c r="E669" s="7" t="str">
        <x:v>via</x:v>
      </x:c>
      <x:c r="F669" s="14" t="n">
        <x:v>0.3</x:v>
      </x:c>
      <x:c r="G669" s="14" t="n">
        <x:v>0.38</x:v>
      </x:c>
      <x:c r="H669" s="14" t="n">
        <x:v>0.08</x:v>
      </x:c>
      <x:c r="I669" s="14" t="n">
        <x:v>-6</x:v>
      </x:c>
      <x:c r="J669" s="7" t="str">
        <x:v>intake</x:v>
      </x:c>
      <x:c r="K669" s="7" t="str">
        <x:v>none</x:v>
      </x:c>
      <x:c r="L669" s="14" t="n">
        <x:f>IF(G669&lt;=I669,0,MAX(0,L668)+IF(E669="via",MAX(0,G669-MAX(F669,I669)),0))</x:f>
        <x:v>2.38</x:v>
      </x:c>
    </x:row>
    <x:row r="670" ht="42" customHeight="1">
      <x:c r="A670" s="12" t="str">
        <x:v>DP2-B</x:v>
      </x:c>
      <x:c r="B670" s="12" t="str">
        <x:v>U24</x:v>
      </x:c>
      <x:c r="C670" s="12" t="str">
        <x:v>meaning</x:v>
      </x:c>
      <x:c r="D670" s="12" t="str">
        <x:v>최초 요청 의미 채택 packet 생성</x:v>
      </x:c>
      <x:c r="E670" s="12" t="str">
        <x:v>via</x:v>
      </x:c>
      <x:c r="F670" s="13" t="n">
        <x:v>0.38</x:v>
      </x:c>
      <x:c r="G670" s="13" t="n">
        <x:v>2.51</x:v>
      </x:c>
      <x:c r="H670" s="13" t="n">
        <x:v>2.13</x:v>
      </x:c>
      <x:c r="I670" s="13" t="n">
        <x:v>-6</x:v>
      </x:c>
      <x:c r="J670" s="12" t="str">
        <x:v>read</x:v>
      </x:c>
      <x:c r="K670" s="12" t="str">
        <x:v>semantic</x:v>
      </x:c>
      <x:c r="L670" s="13" t="n">
        <x:f>IF(G670&lt;=I670,0,MAX(0,L669)+IF(E670="via",MAX(0,G670-MAX(F670,I670)),0))</x:f>
        <x:v>4.51</x:v>
      </x:c>
    </x:row>
    <x:row r="671" ht="42" customHeight="1">
      <x:c r="A671" s="7" t="str">
        <x:v>DP2-B</x:v>
      </x:c>
      <x:c r="B671" s="7" t="str">
        <x:v>U24</x:v>
      </x:c>
      <x:c r="C671" s="7" t="str">
        <x:v>adopt</x:v>
      </x:c>
      <x:c r="D671" s="7" t="str">
        <x:v>현재 revision과 권한 검사 및 채택</x:v>
      </x:c>
      <x:c r="E671" s="7" t="str">
        <x:v>via</x:v>
      </x:c>
      <x:c r="F671" s="14" t="n">
        <x:v>2.51</x:v>
      </x:c>
      <x:c r="G671" s="14" t="n">
        <x:v>2.5399999999999996</x:v>
      </x:c>
      <x:c r="H671" s="14" t="n">
        <x:v>0.03</x:v>
      </x:c>
      <x:c r="I671" s="14" t="n">
        <x:v>-6</x:v>
      </x:c>
      <x:c r="J671" s="7" t="str">
        <x:v>meaning</x:v>
      </x:c>
      <x:c r="K671" s="7" t="str">
        <x:v>none</x:v>
      </x:c>
      <x:c r="L671" s="14" t="n">
        <x:f>IF(G671&lt;=I671,0,MAX(0,L670)+IF(E671="via",MAX(0,G671-MAX(F671,I671)),0))</x:f>
        <x:v>4.539999999999999</x:v>
      </x:c>
    </x:row>
    <x:row r="672" ht="42" customHeight="1">
      <x:c r="A672" s="12" t="str">
        <x:v>DP2-B</x:v>
      </x:c>
      <x:c r="B672" s="12" t="str">
        <x:v>U24</x:v>
      </x:c>
      <x:c r="C672" s="12" t="str">
        <x:v>first_display</x:v>
      </x:c>
      <x:c r="D672" s="12" t="str">
        <x:v>첫 구체적 채택 내용 화면 표시</x:v>
      </x:c>
      <x:c r="E672" s="12" t="str">
        <x:v>via</x:v>
      </x:c>
      <x:c r="F672" s="13" t="n">
        <x:v>2.5399999999999996</x:v>
      </x:c>
      <x:c r="G672" s="13" t="n">
        <x:v>2.5799999999999996</x:v>
      </x:c>
      <x:c r="H672" s="13" t="n">
        <x:v>0.04</x:v>
      </x:c>
      <x:c r="I672" s="13" t="n">
        <x:v>-6</x:v>
      </x:c>
      <x:c r="J672" s="12" t="str">
        <x:v>adopt</x:v>
      </x:c>
      <x:c r="K672" s="12" t="str">
        <x:v>none</x:v>
      </x:c>
      <x:c r="L672" s="13" t="n">
        <x:f>IF(G672&lt;=I672,0,MAX(0,L671)+IF(E672="via",MAX(0,G672-MAX(F672,I672)),0))</x:f>
        <x:v>4.579999999999999</x:v>
      </x:c>
    </x:row>
    <x:row r="673" ht="42" customHeight="1">
      <x:c r="A673" s="7" t="str">
        <x:v>DP2-B</x:v>
      </x:c>
      <x:c r="B673" s="7" t="str">
        <x:v>U24</x:v>
      </x:c>
      <x:c r="C673" s="7" t="str">
        <x:v>agent_ingress</x:v>
      </x:c>
      <x:c r="D673" s="7" t="str">
        <x:v>Agent 요청 전송</x:v>
      </x:c>
      <x:c r="E673" s="7" t="str">
        <x:v>via</x:v>
      </x:c>
      <x:c r="F673" s="14" t="n">
        <x:v>2.5399999999999996</x:v>
      </x:c>
      <x:c r="G673" s="14" t="n">
        <x:v>2.5799999999999996</x:v>
      </x:c>
      <x:c r="H673" s="14" t="n">
        <x:v>0.04</x:v>
      </x:c>
      <x:c r="I673" s="14" t="n">
        <x:v>-6</x:v>
      </x:c>
      <x:c r="J673" s="7" t="str">
        <x:v>adopt</x:v>
      </x:c>
      <x:c r="K673" s="7" t="str">
        <x:v>none</x:v>
      </x:c>
      <x:c r="L673" s="14" t="n">
        <x:f>IF(G673&lt;=I673,0,MAX(0,L671)+IF(E673="via",MAX(0,G673-MAX(F673,I673)),0))</x:f>
        <x:v>4.579999999999999</x:v>
      </x:c>
    </x:row>
    <x:row r="674" ht="42" customHeight="1">
      <x:c r="A674" s="12" t="str">
        <x:v>DP2-B</x:v>
      </x:c>
      <x:c r="B674" s="12" t="str">
        <x:v>U24</x:v>
      </x:c>
      <x:c r="C674" s="12" t="str">
        <x:v>agent_result</x:v>
      </x:c>
      <x:c r="D674" s="12" t="str">
        <x:v>외부 Agent 업무</x:v>
      </x:c>
      <x:c r="E674" s="12" t="str">
        <x:v>external</x:v>
      </x:c>
      <x:c r="F674" s="13" t="n">
        <x:v>2.5799999999999996</x:v>
      </x:c>
      <x:c r="G674" s="13" t="n">
        <x:v>10.58</x:v>
      </x:c>
      <x:c r="H674" s="13" t="n">
        <x:v>8</x:v>
      </x:c>
      <x:c r="I674" s="13" t="n">
        <x:v>-6</x:v>
      </x:c>
      <x:c r="J674" s="12" t="str">
        <x:v>agent_ingress</x:v>
      </x:c>
      <x:c r="K674" s="12" t="str">
        <x:v>none</x:v>
      </x:c>
      <x:c r="L674" s="13" t="n">
        <x:f>IF(G674&lt;=I674,0,MAX(0,L673)+IF(E674="via",MAX(0,G674-MAX(F674,I674)),0))</x:f>
        <x:v>4.579999999999999</x:v>
      </x:c>
    </x:row>
    <x:row r="675" ht="42" customHeight="1">
      <x:c r="A675" s="7" t="str">
        <x:v>DP2-B</x:v>
      </x:c>
      <x:c r="B675" s="7" t="str">
        <x:v>U24</x:v>
      </x:c>
      <x:c r="C675" s="7" t="str">
        <x:v>result_display</x:v>
      </x:c>
      <x:c r="D675" s="7" t="str">
        <x:v>최종 결과 상세 표시</x:v>
      </x:c>
      <x:c r="E675" s="7" t="str">
        <x:v>via</x:v>
      </x:c>
      <x:c r="F675" s="14" t="n">
        <x:v>10.58</x:v>
      </x:c>
      <x:c r="G675" s="14" t="n">
        <x:v>10.62</x:v>
      </x:c>
      <x:c r="H675" s="14" t="n">
        <x:v>0.04</x:v>
      </x:c>
      <x:c r="I675" s="14" t="n">
        <x:v>-6</x:v>
      </x:c>
      <x:c r="J675" s="7" t="str">
        <x:v>agent_result</x:v>
      </x:c>
      <x:c r="K675" s="7" t="str">
        <x:v>none</x:v>
      </x:c>
      <x:c r="L675" s="14" t="n">
        <x:f>IF(G675&lt;=I675,0,MAX(0,L674)+IF(E675="via",MAX(0,G675-MAX(F675,I675)),0))</x:f>
        <x:v>4.619999999999998</x:v>
      </x:c>
    </x:row>
    <x:row r="676" ht="42" customHeight="1">
      <x:c r="A676" s="12" t="str">
        <x:v>DP2-B</x:v>
      </x:c>
      <x:c r="B676" s="12" t="str">
        <x:v>U24</x:v>
      </x:c>
      <x:c r="C676" s="12" t="str">
        <x:v>response_audio</x:v>
      </x:c>
      <x:c r="D676" s="12" t="str">
        <x:v>선택한 응답 음성 생성</x:v>
      </x:c>
      <x:c r="E676" s="12" t="str">
        <x:v>via</x:v>
      </x:c>
      <x:c r="F676" s="13" t="n">
        <x:v>10.58</x:v>
      </x:c>
      <x:c r="G676" s="13" t="n">
        <x:v>12.468</x:v>
      </x:c>
      <x:c r="H676" s="13" t="n">
        <x:v>1.888</x:v>
      </x:c>
      <x:c r="I676" s="13" t="n">
        <x:v>-6</x:v>
      </x:c>
      <x:c r="J676" s="12" t="str">
        <x:v>agent_result</x:v>
      </x:c>
      <x:c r="K676" s="12" t="str">
        <x:v>speech</x:v>
      </x:c>
      <x:c r="L676" s="13" t="n">
        <x:f>IF(G676&lt;=I676,0,MAX(0,L674)+IF(E676="via",MAX(0,G676-MAX(F676,I676)),0))</x:f>
        <x:v>6.467999999999999</x:v>
      </x:c>
    </x:row>
    <x:row r="677" ht="42" customHeight="1">
      <x:c r="A677" s="7" t="str">
        <x:v>DP2-B</x:v>
      </x:c>
      <x:c r="B677" s="7" t="str">
        <x:v>U24</x:v>
      </x:c>
      <x:c r="C677" s="7" t="str">
        <x:v>intent_audio</x:v>
      </x:c>
      <x:c r="D677" s="7" t="str">
        <x:v>채택한 구체적 수행 의도의 짧은 음성</x:v>
      </x:c>
      <x:c r="E677" s="7" t="str">
        <x:v>via</x:v>
      </x:c>
      <x:c r="F677" s="14" t="n">
        <x:v>2.5399999999999996</x:v>
      </x:c>
      <x:c r="G677" s="14" t="n">
        <x:v>3.6739999999999995</x:v>
      </x:c>
      <x:c r="H677" s="14" t="n">
        <x:v>1.134</x:v>
      </x:c>
      <x:c r="I677" s="14" t="n">
        <x:v>-6</x:v>
      </x:c>
      <x:c r="J677" s="7" t="str">
        <x:v>adopt</x:v>
      </x:c>
      <x:c r="K677" s="7" t="str">
        <x:v>speech</x:v>
      </x:c>
      <x:c r="L677" s="14" t="n">
        <x:f>IF(G677&lt;=I677,0,MAX(0,L671)+IF(E677="via",MAX(0,G677-MAX(F677,I677)),0))</x:f>
        <x:v>5.6739999999999995</x:v>
      </x:c>
    </x:row>
    <x:row r="678" ht="42" customHeight="1">
      <x:c r="A678" s="12" t="str">
        <x:v>DP2-B</x:v>
      </x:c>
      <x:c r="B678" s="12" t="str">
        <x:v>U24</x:v>
      </x:c>
      <x:c r="C678" s="12" t="str">
        <x:v>first_chunk</x:v>
      </x:c>
      <x:c r="D678" s="12" t="str">
        <x:v>같은 생성 job의 유효 첫 chunk 관측</x:v>
      </x:c>
      <x:c r="E678" s="12" t="str">
        <x:v>via</x:v>
      </x:c>
      <x:c r="F678" s="13" t="n">
        <x:v>2.5399999999999996</x:v>
      </x:c>
      <x:c r="G678" s="13" t="n">
        <x:v>2.9739999999999998</x:v>
      </x:c>
      <x:c r="H678" s="13" t="n">
        <x:v>0.434</x:v>
      </x:c>
      <x:c r="I678" s="13" t="n">
        <x:v>-6</x:v>
      </x:c>
      <x:c r="J678" s="12" t="str">
        <x:v>adopt</x:v>
      </x:c>
      <x:c r="K678" s="12" t="str">
        <x:v>none</x:v>
      </x:c>
      <x:c r="L678" s="13" t="n">
        <x:f>IF(G678&lt;=I678,0,MAX(0,L671)+IF(E678="via",MAX(0,G678-MAX(F678,I678)),0))</x:f>
        <x:v>4.973999999999999</x:v>
      </x:c>
    </x:row>
    <x:row r="679" ht="42" customHeight="1">
      <x:c r="A679" s="7" t="str">
        <x:v>DP2-B</x:v>
      </x:c>
      <x:c r="B679" s="7" t="str">
        <x:v>U24</x:v>
      </x:c>
      <x:c r="C679" s="7" t="str">
        <x:v>first_audio_output</x:v>
      </x:c>
      <x:c r="D679" s="7" t="str">
        <x:v>공통 장치의 첫 음성 출력</x:v>
      </x:c>
      <x:c r="E679" s="7" t="str">
        <x:v>via</x:v>
      </x:c>
      <x:c r="F679" s="14" t="n">
        <x:v>2.9739999999999998</x:v>
      </x:c>
      <x:c r="G679" s="14" t="n">
        <x:v>3.014</x:v>
      </x:c>
      <x:c r="H679" s="14" t="n">
        <x:v>0.04</x:v>
      </x:c>
      <x:c r="I679" s="14" t="n">
        <x:v>-6</x:v>
      </x:c>
      <x:c r="J679" s="7" t="str">
        <x:v>adopt, first_chunk</x:v>
      </x:c>
      <x:c r="K679" s="7" t="str">
        <x:v>none</x:v>
      </x:c>
      <x:c r="L679" s="14" t="n">
        <x:f>IF(G679&lt;=I679,0,MAX(0,L671,L678)+IF(E679="via",MAX(0,G679-MAX(F679,I679)),0))</x:f>
        <x:v>5.013999999999999</x:v>
      </x:c>
    </x:row>
    <x:row r="680" ht="42" customHeight="1">
      <x:c r="A680" s="12" t="str">
        <x:v>DP2-B</x:v>
      </x:c>
      <x:c r="B680" s="12" t="str">
        <x:v>U24</x:v>
      </x:c>
      <x:c r="C680" s="12" t="str">
        <x:v>next_speech_selection</x:v>
      </x:c>
      <x:c r="D680" s="12" t="str">
        <x:v>현재 발화 재생 후 다음 응답 선택</x:v>
      </x:c>
      <x:c r="E680" s="12" t="str">
        <x:v>external</x:v>
      </x:c>
      <x:c r="F680" s="13" t="n">
        <x:v>3.014</x:v>
      </x:c>
      <x:c r="G680" s="13" t="n">
        <x:v>6.013999999999999</x:v>
      </x:c>
      <x:c r="H680" s="13" t="n">
        <x:v>3</x:v>
      </x:c>
      <x:c r="I680" s="13" t="n">
        <x:v>-6</x:v>
      </x:c>
      <x:c r="J680" s="12" t="str">
        <x:v>first_audio_output</x:v>
      </x:c>
      <x:c r="K680" s="12" t="str">
        <x:v>none</x:v>
      </x:c>
      <x:c r="L680" s="13" t="n">
        <x:f>IF(G680&lt;=I680,0,MAX(0,L679)+IF(E680="via",MAX(0,G680-MAX(F680,I680)),0))</x:f>
        <x:v>5.013999999999999</x:v>
      </x:c>
    </x:row>
    <x:row r="681" ht="42" customHeight="1">
      <x:c r="A681" s="7" t="str">
        <x:v>DP2-B</x:v>
      </x:c>
      <x:c r="B681" s="7" t="str">
        <x:v>U24</x:v>
      </x:c>
      <x:c r="C681" s="7" t="str">
        <x:v>terminal</x:v>
      </x:c>
      <x:c r="D681" s="7" t="str">
        <x:v>공통 목표 최종 상태와 전체 음성 준비</x:v>
      </x:c>
      <x:c r="E681" s="7" t="str">
        <x:v>via</x:v>
      </x:c>
      <x:c r="F681" s="14" t="n">
        <x:v>12.468</x:v>
      </x:c>
      <x:c r="G681" s="14" t="n">
        <x:v>12.468</x:v>
      </x:c>
      <x:c r="H681" s="14" t="n">
        <x:v>0</x:v>
      </x:c>
      <x:c r="I681" s="14" t="n">
        <x:v>-6</x:v>
      </x:c>
      <x:c r="J681" s="7" t="str">
        <x:v>result_display, response_audio, intent_audio, first_audio_output</x:v>
      </x:c>
      <x:c r="K681" s="7" t="str">
        <x:v>none</x:v>
      </x:c>
      <x:c r="L681" s="14" t="n">
        <x:f>IF(G681&lt;=I681,0,MAX(0,L675,L676,L677,L679)+IF(E681="via",MAX(0,G681-MAX(F681,I681)),0))</x:f>
        <x:v>6.467999999999999</x:v>
      </x:c>
    </x:row>
    <x:row r="682" ht="42" customHeight="1">
      <x:c r="A682" s="12" t="str">
        <x:v>DP3-B-R1</x:v>
      </x:c>
      <x:c r="B682" s="12" t="str">
        <x:v>U01</x:v>
      </x:c>
      <x:c r="C682" s="12" t="str">
        <x:v>input_end</x:v>
      </x:c>
      <x:c r="D682" s="12" t="str">
        <x:v>사용자 입력 종료</x:v>
      </x:c>
      <x:c r="E682" s="12" t="str">
        <x:v>external</x:v>
      </x:c>
      <x:c r="F682" s="13" t="n">
        <x:v>0</x:v>
      </x:c>
      <x:c r="G682" s="13" t="n">
        <x:v>0</x:v>
      </x:c>
      <x:c r="H682" s="13" t="n">
        <x:v>0</x:v>
      </x:c>
      <x:c r="I682" s="13" t="n">
        <x:v>0</x:v>
      </x:c>
      <x:c r="J682" s="12" t="str"/>
      <x:c r="K682" s="12" t="str">
        <x:v>none</x:v>
      </x:c>
      <x:c r="L682" s="13" t="n">
        <x:f>IF(G682&lt;=I682,0,MAX(0)+IF(E682="via",MAX(0,G682-MAX(F682,I682)),0))</x:f>
        <x:v>0</x:v>
      </x:c>
    </x:row>
    <x:row r="683" ht="42" customHeight="1">
      <x:c r="A683" s="7" t="str">
        <x:v>DP3-B-R1</x:v>
      </x:c>
      <x:c r="B683" s="7" t="str">
        <x:v>U01</x:v>
      </x:c>
      <x:c r="C683" s="7" t="str">
        <x:v>intake</x:v>
      </x:c>
      <x:c r="D683" s="7" t="str">
        <x:v>입력 확정</x:v>
      </x:c>
      <x:c r="E683" s="7" t="str">
        <x:v>via</x:v>
      </x:c>
      <x:c r="F683" s="14" t="n">
        <x:v>0</x:v>
      </x:c>
      <x:c r="G683" s="14" t="n">
        <x:v>0.06</x:v>
      </x:c>
      <x:c r="H683" s="14" t="n">
        <x:v>0.06</x:v>
      </x:c>
      <x:c r="I683" s="14" t="n">
        <x:v>0</x:v>
      </x:c>
      <x:c r="J683" s="7" t="str">
        <x:v>input_end</x:v>
      </x:c>
      <x:c r="K683" s="7" t="str">
        <x:v>none</x:v>
      </x:c>
      <x:c r="L683" s="14" t="n">
        <x:f>IF(G683&lt;=I683,0,MAX(0,L682)+IF(E683="via",MAX(0,G683-MAX(F683,I683)),0))</x:f>
        <x:v>0.06</x:v>
      </x:c>
    </x:row>
    <x:row r="684" ht="42" customHeight="1">
      <x:c r="A684" s="12" t="str">
        <x:v>DP3-B-R1</x:v>
      </x:c>
      <x:c r="B684" s="12" t="str">
        <x:v>U01</x:v>
      </x:c>
      <x:c r="C684" s="12" t="str">
        <x:v>read</x:v>
      </x:c>
      <x:c r="D684" s="12" t="str">
        <x:v>공통 허용 원본 조회</x:v>
      </x:c>
      <x:c r="E684" s="12" t="str">
        <x:v>via</x:v>
      </x:c>
      <x:c r="F684" s="13" t="n">
        <x:v>0.06</x:v>
      </x:c>
      <x:c r="G684" s="13" t="n">
        <x:v>0.14</x:v>
      </x:c>
      <x:c r="H684" s="13" t="n">
        <x:v>0.08</x:v>
      </x:c>
      <x:c r="I684" s="13" t="n">
        <x:v>0</x:v>
      </x:c>
      <x:c r="J684" s="12" t="str">
        <x:v>intake</x:v>
      </x:c>
      <x:c r="K684" s="12" t="str">
        <x:v>none</x:v>
      </x:c>
      <x:c r="L684" s="13" t="n">
        <x:f>IF(G684&lt;=I684,0,MAX(0,L683)+IF(E684="via",MAX(0,G684-MAX(F684,I684)),0))</x:f>
        <x:v>0.14</x:v>
      </x:c>
    </x:row>
    <x:row r="685" ht="42" customHeight="1">
      <x:c r="A685" s="7" t="str">
        <x:v>DP3-B-R1</x:v>
      </x:c>
      <x:c r="B685" s="7" t="str">
        <x:v>U01</x:v>
      </x:c>
      <x:c r="C685" s="7" t="str">
        <x:v>meaning</x:v>
      </x:c>
      <x:c r="D685" s="7" t="str">
        <x:v>최초 요청 의미 채택 packet 생성</x:v>
      </x:c>
      <x:c r="E685" s="7" t="str">
        <x:v>via</x:v>
      </x:c>
      <x:c r="F685" s="14" t="n">
        <x:v>0.14</x:v>
      </x:c>
      <x:c r="G685" s="14" t="n">
        <x:v>1.2400000000000002</x:v>
      </x:c>
      <x:c r="H685" s="14" t="n">
        <x:v>1.1</x:v>
      </x:c>
      <x:c r="I685" s="14" t="n">
        <x:v>0</x:v>
      </x:c>
      <x:c r="J685" s="7" t="str">
        <x:v>read</x:v>
      </x:c>
      <x:c r="K685" s="7" t="str">
        <x:v>semantic</x:v>
      </x:c>
      <x:c r="L685" s="14" t="n">
        <x:f>IF(G685&lt;=I685,0,MAX(0,L684)+IF(E685="via",MAX(0,G685-MAX(F685,I685)),0))</x:f>
        <x:v>1.2400000000000002</x:v>
      </x:c>
    </x:row>
    <x:row r="686" ht="42" customHeight="1">
      <x:c r="A686" s="12" t="str">
        <x:v>DP3-B-R1</x:v>
      </x:c>
      <x:c r="B686" s="12" t="str">
        <x:v>U01</x:v>
      </x:c>
      <x:c r="C686" s="12" t="str">
        <x:v>adopt</x:v>
      </x:c>
      <x:c r="D686" s="12" t="str">
        <x:v>현재 revision과 권한 검사 및 채택</x:v>
      </x:c>
      <x:c r="E686" s="12" t="str">
        <x:v>via</x:v>
      </x:c>
      <x:c r="F686" s="13" t="n">
        <x:v>1.2400000000000002</x:v>
      </x:c>
      <x:c r="G686" s="13" t="n">
        <x:v>1.2700000000000002</x:v>
      </x:c>
      <x:c r="H686" s="13" t="n">
        <x:v>0.03</x:v>
      </x:c>
      <x:c r="I686" s="13" t="n">
        <x:v>0</x:v>
      </x:c>
      <x:c r="J686" s="12" t="str">
        <x:v>meaning</x:v>
      </x:c>
      <x:c r="K686" s="12" t="str">
        <x:v>none</x:v>
      </x:c>
      <x:c r="L686" s="13" t="n">
        <x:f>IF(G686&lt;=I686,0,MAX(0,L685)+IF(E686="via",MAX(0,G686-MAX(F686,I686)),0))</x:f>
        <x:v>1.2700000000000002</x:v>
      </x:c>
    </x:row>
    <x:row r="687" ht="42" customHeight="1">
      <x:c r="A687" s="7" t="str">
        <x:v>DP3-B-R1</x:v>
      </x:c>
      <x:c r="B687" s="7" t="str">
        <x:v>U01</x:v>
      </x:c>
      <x:c r="C687" s="7" t="str">
        <x:v>first_display</x:v>
      </x:c>
      <x:c r="D687" s="7" t="str">
        <x:v>첫 구체적 채택 내용 화면 표시</x:v>
      </x:c>
      <x:c r="E687" s="7" t="str">
        <x:v>via</x:v>
      </x:c>
      <x:c r="F687" s="14" t="n">
        <x:v>1.2700000000000002</x:v>
      </x:c>
      <x:c r="G687" s="14" t="n">
        <x:v>1.3100000000000003</x:v>
      </x:c>
      <x:c r="H687" s="14" t="n">
        <x:v>0.04</x:v>
      </x:c>
      <x:c r="I687" s="14" t="n">
        <x:v>0</x:v>
      </x:c>
      <x:c r="J687" s="7" t="str">
        <x:v>adopt</x:v>
      </x:c>
      <x:c r="K687" s="7" t="str">
        <x:v>none</x:v>
      </x:c>
      <x:c r="L687" s="14" t="n">
        <x:f>IF(G687&lt;=I687,0,MAX(0,L686)+IF(E687="via",MAX(0,G687-MAX(F687,I687)),0))</x:f>
        <x:v>1.3100000000000003</x:v>
      </x:c>
    </x:row>
    <x:row r="688" ht="42" customHeight="1">
      <x:c r="A688" s="12" t="str">
        <x:v>DP3-B-R1</x:v>
      </x:c>
      <x:c r="B688" s="12" t="str">
        <x:v>U01</x:v>
      </x:c>
      <x:c r="C688" s="12" t="str">
        <x:v>response_audio</x:v>
      </x:c>
      <x:c r="D688" s="12" t="str">
        <x:v>선택한 응답 음성 생성</x:v>
      </x:c>
      <x:c r="E688" s="12" t="str">
        <x:v>via</x:v>
      </x:c>
      <x:c r="F688" s="13" t="n">
        <x:v>1.2700000000000002</x:v>
      </x:c>
      <x:c r="G688" s="13" t="n">
        <x:v>3.1580000000000004</x:v>
      </x:c>
      <x:c r="H688" s="13" t="n">
        <x:v>1.888</x:v>
      </x:c>
      <x:c r="I688" s="13" t="n">
        <x:v>0</x:v>
      </x:c>
      <x:c r="J688" s="12" t="str">
        <x:v>adopt</x:v>
      </x:c>
      <x:c r="K688" s="12" t="str">
        <x:v>speech</x:v>
      </x:c>
      <x:c r="L688" s="13" t="n">
        <x:f>IF(G688&lt;=I688,0,MAX(0,L686)+IF(E688="via",MAX(0,G688-MAX(F688,I688)),0))</x:f>
        <x:v>3.1580000000000004</x:v>
      </x:c>
    </x:row>
    <x:row r="689" ht="42" customHeight="1">
      <x:c r="A689" s="7" t="str">
        <x:v>DP3-B-R1</x:v>
      </x:c>
      <x:c r="B689" s="7" t="str">
        <x:v>U01</x:v>
      </x:c>
      <x:c r="C689" s="7" t="str">
        <x:v>first_chunk</x:v>
      </x:c>
      <x:c r="D689" s="7" t="str">
        <x:v>같은 생성 job의 유효 첫 chunk 관측</x:v>
      </x:c>
      <x:c r="E689" s="7" t="str">
        <x:v>via</x:v>
      </x:c>
      <x:c r="F689" s="14" t="n">
        <x:v>1.2700000000000002</x:v>
      </x:c>
      <x:c r="G689" s="14" t="n">
        <x:v>1.7080000000000002</x:v>
      </x:c>
      <x:c r="H689" s="14" t="n">
        <x:v>0.438</x:v>
      </x:c>
      <x:c r="I689" s="14" t="n">
        <x:v>0</x:v>
      </x:c>
      <x:c r="J689" s="7" t="str">
        <x:v>adopt</x:v>
      </x:c>
      <x:c r="K689" s="7" t="str">
        <x:v>none</x:v>
      </x:c>
      <x:c r="L689" s="14" t="n">
        <x:f>IF(G689&lt;=I689,0,MAX(0,L686)+IF(E689="via",MAX(0,G689-MAX(F689,I689)),0))</x:f>
        <x:v>1.7080000000000002</x:v>
      </x:c>
    </x:row>
    <x:row r="690" ht="42" customHeight="1">
      <x:c r="A690" s="12" t="str">
        <x:v>DP3-B-R1</x:v>
      </x:c>
      <x:c r="B690" s="12" t="str">
        <x:v>U01</x:v>
      </x:c>
      <x:c r="C690" s="12" t="str">
        <x:v>first_audio_output</x:v>
      </x:c>
      <x:c r="D690" s="12" t="str">
        <x:v>공통 장치의 첫 음성 출력</x:v>
      </x:c>
      <x:c r="E690" s="12" t="str">
        <x:v>via</x:v>
      </x:c>
      <x:c r="F690" s="13" t="n">
        <x:v>1.7080000000000002</x:v>
      </x:c>
      <x:c r="G690" s="13" t="n">
        <x:v>1.7480000000000002</x:v>
      </x:c>
      <x:c r="H690" s="13" t="n">
        <x:v>0.04</x:v>
      </x:c>
      <x:c r="I690" s="13" t="n">
        <x:v>0</x:v>
      </x:c>
      <x:c r="J690" s="12" t="str">
        <x:v>adopt, first_chunk</x:v>
      </x:c>
      <x:c r="K690" s="12" t="str">
        <x:v>none</x:v>
      </x:c>
      <x:c r="L690" s="13" t="n">
        <x:f>IF(G690&lt;=I690,0,MAX(0,L686,L689)+IF(E690="via",MAX(0,G690-MAX(F690,I690)),0))</x:f>
        <x:v>1.7480000000000002</x:v>
      </x:c>
    </x:row>
    <x:row r="691" ht="42" customHeight="1">
      <x:c r="A691" s="7" t="str">
        <x:v>DP3-B-R1</x:v>
      </x:c>
      <x:c r="B691" s="7" t="str">
        <x:v>U01</x:v>
      </x:c>
      <x:c r="C691" s="7" t="str">
        <x:v>terminal</x:v>
      </x:c>
      <x:c r="D691" s="7" t="str">
        <x:v>공통 목표 최종 상태와 전체 음성 준비</x:v>
      </x:c>
      <x:c r="E691" s="7" t="str">
        <x:v>via</x:v>
      </x:c>
      <x:c r="F691" s="14" t="n">
        <x:v>3.1580000000000004</x:v>
      </x:c>
      <x:c r="G691" s="14" t="n">
        <x:v>3.1580000000000004</x:v>
      </x:c>
      <x:c r="H691" s="14" t="n">
        <x:v>0</x:v>
      </x:c>
      <x:c r="I691" s="14" t="n">
        <x:v>0</x:v>
      </x:c>
      <x:c r="J691" s="7" t="str">
        <x:v>first_display, response_audio, first_audio_output</x:v>
      </x:c>
      <x:c r="K691" s="7" t="str">
        <x:v>none</x:v>
      </x:c>
      <x:c r="L691" s="14" t="n">
        <x:f>IF(G691&lt;=I691,0,MAX(0,L687,L688,L690)+IF(E691="via",MAX(0,G691-MAX(F691,I691)),0))</x:f>
        <x:v>3.1580000000000004</x:v>
      </x:c>
    </x:row>
    <x:row r="692" ht="42" customHeight="1">
      <x:c r="A692" s="12" t="str">
        <x:v>DP3-B-R1</x:v>
      </x:c>
      <x:c r="B692" s="12" t="str">
        <x:v>U02</x:v>
      </x:c>
      <x:c r="C692" s="12" t="str">
        <x:v>input_end</x:v>
      </x:c>
      <x:c r="D692" s="12" t="str">
        <x:v>사용자 입력 종료</x:v>
      </x:c>
      <x:c r="E692" s="12" t="str">
        <x:v>external</x:v>
      </x:c>
      <x:c r="F692" s="13" t="n">
        <x:v>0</x:v>
      </x:c>
      <x:c r="G692" s="13" t="n">
        <x:v>0</x:v>
      </x:c>
      <x:c r="H692" s="13" t="n">
        <x:v>0</x:v>
      </x:c>
      <x:c r="I692" s="13" t="n">
        <x:v>0</x:v>
      </x:c>
      <x:c r="J692" s="12" t="str"/>
      <x:c r="K692" s="12" t="str">
        <x:v>none</x:v>
      </x:c>
      <x:c r="L692" s="13" t="n">
        <x:f>IF(G692&lt;=I692,0,MAX(0)+IF(E692="via",MAX(0,G692-MAX(F692,I692)),0))</x:f>
        <x:v>0</x:v>
      </x:c>
    </x:row>
    <x:row r="693" ht="42" customHeight="1">
      <x:c r="A693" s="7" t="str">
        <x:v>DP3-B-R1</x:v>
      </x:c>
      <x:c r="B693" s="7" t="str">
        <x:v>U02</x:v>
      </x:c>
      <x:c r="C693" s="7" t="str">
        <x:v>intake</x:v>
      </x:c>
      <x:c r="D693" s="7" t="str">
        <x:v>입력 확정</x:v>
      </x:c>
      <x:c r="E693" s="7" t="str">
        <x:v>via</x:v>
      </x:c>
      <x:c r="F693" s="14" t="n">
        <x:v>0</x:v>
      </x:c>
      <x:c r="G693" s="14" t="n">
        <x:v>0.3</x:v>
      </x:c>
      <x:c r="H693" s="14" t="n">
        <x:v>0.3</x:v>
      </x:c>
      <x:c r="I693" s="14" t="n">
        <x:v>0</x:v>
      </x:c>
      <x:c r="J693" s="7" t="str">
        <x:v>input_end</x:v>
      </x:c>
      <x:c r="K693" s="7" t="str">
        <x:v>none</x:v>
      </x:c>
      <x:c r="L693" s="14" t="n">
        <x:f>IF(G693&lt;=I693,0,MAX(0,L692)+IF(E693="via",MAX(0,G693-MAX(F693,I693)),0))</x:f>
        <x:v>0.3</x:v>
      </x:c>
    </x:row>
    <x:row r="694" ht="42" customHeight="1">
      <x:c r="A694" s="12" t="str">
        <x:v>DP3-B-R1</x:v>
      </x:c>
      <x:c r="B694" s="12" t="str">
        <x:v>U02</x:v>
      </x:c>
      <x:c r="C694" s="12" t="str">
        <x:v>read</x:v>
      </x:c>
      <x:c r="D694" s="12" t="str">
        <x:v>공통 허용 원본 조회</x:v>
      </x:c>
      <x:c r="E694" s="12" t="str">
        <x:v>via</x:v>
      </x:c>
      <x:c r="F694" s="13" t="n">
        <x:v>0.3</x:v>
      </x:c>
      <x:c r="G694" s="13" t="n">
        <x:v>0.38</x:v>
      </x:c>
      <x:c r="H694" s="13" t="n">
        <x:v>0.08</x:v>
      </x:c>
      <x:c r="I694" s="13" t="n">
        <x:v>0</x:v>
      </x:c>
      <x:c r="J694" s="12" t="str">
        <x:v>intake</x:v>
      </x:c>
      <x:c r="K694" s="12" t="str">
        <x:v>none</x:v>
      </x:c>
      <x:c r="L694" s="13" t="n">
        <x:f>IF(G694&lt;=I694,0,MAX(0,L693)+IF(E694="via",MAX(0,G694-MAX(F694,I694)),0))</x:f>
        <x:v>0.38</x:v>
      </x:c>
    </x:row>
    <x:row r="695" ht="42" customHeight="1">
      <x:c r="A695" s="7" t="str">
        <x:v>DP3-B-R1</x:v>
      </x:c>
      <x:c r="B695" s="7" t="str">
        <x:v>U02</x:v>
      </x:c>
      <x:c r="C695" s="7" t="str">
        <x:v>meaning</x:v>
      </x:c>
      <x:c r="D695" s="7" t="str">
        <x:v>최초 요청 의미 채택 packet 생성</x:v>
      </x:c>
      <x:c r="E695" s="7" t="str">
        <x:v>via</x:v>
      </x:c>
      <x:c r="F695" s="14" t="n">
        <x:v>0.38</x:v>
      </x:c>
      <x:c r="G695" s="14" t="n">
        <x:v>1.48</x:v>
      </x:c>
      <x:c r="H695" s="14" t="n">
        <x:v>1.1</x:v>
      </x:c>
      <x:c r="I695" s="14" t="n">
        <x:v>0</x:v>
      </x:c>
      <x:c r="J695" s="7" t="str">
        <x:v>read</x:v>
      </x:c>
      <x:c r="K695" s="7" t="str">
        <x:v>semantic</x:v>
      </x:c>
      <x:c r="L695" s="14" t="n">
        <x:f>IF(G695&lt;=I695,0,MAX(0,L694)+IF(E695="via",MAX(0,G695-MAX(F695,I695)),0))</x:f>
        <x:v>1.48</x:v>
      </x:c>
    </x:row>
    <x:row r="696" ht="42" customHeight="1">
      <x:c r="A696" s="12" t="str">
        <x:v>DP3-B-R1</x:v>
      </x:c>
      <x:c r="B696" s="12" t="str">
        <x:v>U02</x:v>
      </x:c>
      <x:c r="C696" s="12" t="str">
        <x:v>adopt</x:v>
      </x:c>
      <x:c r="D696" s="12" t="str">
        <x:v>현재 revision과 권한 검사 및 채택</x:v>
      </x:c>
      <x:c r="E696" s="12" t="str">
        <x:v>via</x:v>
      </x:c>
      <x:c r="F696" s="13" t="n">
        <x:v>1.48</x:v>
      </x:c>
      <x:c r="G696" s="13" t="n">
        <x:v>1.51</x:v>
      </x:c>
      <x:c r="H696" s="13" t="n">
        <x:v>0.03</x:v>
      </x:c>
      <x:c r="I696" s="13" t="n">
        <x:v>0</x:v>
      </x:c>
      <x:c r="J696" s="12" t="str">
        <x:v>meaning</x:v>
      </x:c>
      <x:c r="K696" s="12" t="str">
        <x:v>none</x:v>
      </x:c>
      <x:c r="L696" s="13" t="n">
        <x:f>IF(G696&lt;=I696,0,MAX(0,L695)+IF(E696="via",MAX(0,G696-MAX(F696,I696)),0))</x:f>
        <x:v>1.51</x:v>
      </x:c>
    </x:row>
    <x:row r="697" ht="42" customHeight="1">
      <x:c r="A697" s="7" t="str">
        <x:v>DP3-B-R1</x:v>
      </x:c>
      <x:c r="B697" s="7" t="str">
        <x:v>U02</x:v>
      </x:c>
      <x:c r="C697" s="7" t="str">
        <x:v>first_display</x:v>
      </x:c>
      <x:c r="D697" s="7" t="str">
        <x:v>첫 구체적 채택 내용 화면 표시</x:v>
      </x:c>
      <x:c r="E697" s="7" t="str">
        <x:v>via</x:v>
      </x:c>
      <x:c r="F697" s="14" t="n">
        <x:v>1.51</x:v>
      </x:c>
      <x:c r="G697" s="14" t="n">
        <x:v>1.55</x:v>
      </x:c>
      <x:c r="H697" s="14" t="n">
        <x:v>0.04</x:v>
      </x:c>
      <x:c r="I697" s="14" t="n">
        <x:v>0</x:v>
      </x:c>
      <x:c r="J697" s="7" t="str">
        <x:v>adopt</x:v>
      </x:c>
      <x:c r="K697" s="7" t="str">
        <x:v>none</x:v>
      </x:c>
      <x:c r="L697" s="14" t="n">
        <x:f>IF(G697&lt;=I697,0,MAX(0,L696)+IF(E697="via",MAX(0,G697-MAX(F697,I697)),0))</x:f>
        <x:v>1.55</x:v>
      </x:c>
    </x:row>
    <x:row r="698" ht="42" customHeight="1">
      <x:c r="A698" s="12" t="str">
        <x:v>DP3-B-R1</x:v>
      </x:c>
      <x:c r="B698" s="12" t="str">
        <x:v>U02</x:v>
      </x:c>
      <x:c r="C698" s="12" t="str">
        <x:v>response_audio</x:v>
      </x:c>
      <x:c r="D698" s="12" t="str">
        <x:v>선택한 응답 음성 생성</x:v>
      </x:c>
      <x:c r="E698" s="12" t="str">
        <x:v>via</x:v>
      </x:c>
      <x:c r="F698" s="13" t="n">
        <x:v>1.51</x:v>
      </x:c>
      <x:c r="G698" s="13" t="n">
        <x:v>2.644</x:v>
      </x:c>
      <x:c r="H698" s="13" t="n">
        <x:v>1.134</x:v>
      </x:c>
      <x:c r="I698" s="13" t="n">
        <x:v>0</x:v>
      </x:c>
      <x:c r="J698" s="12" t="str">
        <x:v>adopt</x:v>
      </x:c>
      <x:c r="K698" s="12" t="str">
        <x:v>speech</x:v>
      </x:c>
      <x:c r="L698" s="13" t="n">
        <x:f>IF(G698&lt;=I698,0,MAX(0,L696)+IF(E698="via",MAX(0,G698-MAX(F698,I698)),0))</x:f>
        <x:v>2.644</x:v>
      </x:c>
    </x:row>
    <x:row r="699" ht="42" customHeight="1">
      <x:c r="A699" s="7" t="str">
        <x:v>DP3-B-R1</x:v>
      </x:c>
      <x:c r="B699" s="7" t="str">
        <x:v>U02</x:v>
      </x:c>
      <x:c r="C699" s="7" t="str">
        <x:v>first_chunk</x:v>
      </x:c>
      <x:c r="D699" s="7" t="str">
        <x:v>같은 생성 job의 유효 첫 chunk 관측</x:v>
      </x:c>
      <x:c r="E699" s="7" t="str">
        <x:v>via</x:v>
      </x:c>
      <x:c r="F699" s="14" t="n">
        <x:v>1.51</x:v>
      </x:c>
      <x:c r="G699" s="14" t="n">
        <x:v>1.944</x:v>
      </x:c>
      <x:c r="H699" s="14" t="n">
        <x:v>0.434</x:v>
      </x:c>
      <x:c r="I699" s="14" t="n">
        <x:v>0</x:v>
      </x:c>
      <x:c r="J699" s="7" t="str">
        <x:v>adopt</x:v>
      </x:c>
      <x:c r="K699" s="7" t="str">
        <x:v>none</x:v>
      </x:c>
      <x:c r="L699" s="14" t="n">
        <x:f>IF(G699&lt;=I699,0,MAX(0,L696)+IF(E699="via",MAX(0,G699-MAX(F699,I699)),0))</x:f>
        <x:v>1.944</x:v>
      </x:c>
    </x:row>
    <x:row r="700" ht="42" customHeight="1">
      <x:c r="A700" s="12" t="str">
        <x:v>DP3-B-R1</x:v>
      </x:c>
      <x:c r="B700" s="12" t="str">
        <x:v>U02</x:v>
      </x:c>
      <x:c r="C700" s="12" t="str">
        <x:v>first_audio_output</x:v>
      </x:c>
      <x:c r="D700" s="12" t="str">
        <x:v>공통 장치의 첫 음성 출력</x:v>
      </x:c>
      <x:c r="E700" s="12" t="str">
        <x:v>via</x:v>
      </x:c>
      <x:c r="F700" s="13" t="n">
        <x:v>1.944</x:v>
      </x:c>
      <x:c r="G700" s="13" t="n">
        <x:v>1.984</x:v>
      </x:c>
      <x:c r="H700" s="13" t="n">
        <x:v>0.04</x:v>
      </x:c>
      <x:c r="I700" s="13" t="n">
        <x:v>0</x:v>
      </x:c>
      <x:c r="J700" s="12" t="str">
        <x:v>adopt, first_chunk</x:v>
      </x:c>
      <x:c r="K700" s="12" t="str">
        <x:v>none</x:v>
      </x:c>
      <x:c r="L700" s="13" t="n">
        <x:f>IF(G700&lt;=I700,0,MAX(0,L696,L699)+IF(E700="via",MAX(0,G700-MAX(F700,I700)),0))</x:f>
        <x:v>1.984</x:v>
      </x:c>
    </x:row>
    <x:row r="701" ht="42" customHeight="1">
      <x:c r="A701" s="7" t="str">
        <x:v>DP3-B-R1</x:v>
      </x:c>
      <x:c r="B701" s="7" t="str">
        <x:v>U02</x:v>
      </x:c>
      <x:c r="C701" s="7" t="str">
        <x:v>terminal</x:v>
      </x:c>
      <x:c r="D701" s="7" t="str">
        <x:v>공통 목표 최종 상태와 전체 음성 준비</x:v>
      </x:c>
      <x:c r="E701" s="7" t="str">
        <x:v>via</x:v>
      </x:c>
      <x:c r="F701" s="14" t="n">
        <x:v>2.644</x:v>
      </x:c>
      <x:c r="G701" s="14" t="n">
        <x:v>2.644</x:v>
      </x:c>
      <x:c r="H701" s="14" t="n">
        <x:v>0</x:v>
      </x:c>
      <x:c r="I701" s="14" t="n">
        <x:v>0</x:v>
      </x:c>
      <x:c r="J701" s="7" t="str">
        <x:v>first_display, response_audio, first_audio_output</x:v>
      </x:c>
      <x:c r="K701" s="7" t="str">
        <x:v>none</x:v>
      </x:c>
      <x:c r="L701" s="14" t="n">
        <x:f>IF(G701&lt;=I701,0,MAX(0,L697,L698,L700)+IF(E701="via",MAX(0,G701-MAX(F701,I701)),0))</x:f>
        <x:v>2.644</x:v>
      </x:c>
    </x:row>
    <x:row r="702" ht="42" customHeight="1">
      <x:c r="A702" s="12" t="str">
        <x:v>DP3-B-R1</x:v>
      </x:c>
      <x:c r="B702" s="12" t="str">
        <x:v>U03</x:v>
      </x:c>
      <x:c r="C702" s="12" t="str">
        <x:v>input_end</x:v>
      </x:c>
      <x:c r="D702" s="12" t="str">
        <x:v>사용자 입력 종료</x:v>
      </x:c>
      <x:c r="E702" s="12" t="str">
        <x:v>external</x:v>
      </x:c>
      <x:c r="F702" s="13" t="n">
        <x:v>0</x:v>
      </x:c>
      <x:c r="G702" s="13" t="n">
        <x:v>0</x:v>
      </x:c>
      <x:c r="H702" s="13" t="n">
        <x:v>0</x:v>
      </x:c>
      <x:c r="I702" s="13" t="n">
        <x:v>0</x:v>
      </x:c>
      <x:c r="J702" s="12" t="str"/>
      <x:c r="K702" s="12" t="str">
        <x:v>none</x:v>
      </x:c>
      <x:c r="L702" s="13" t="n">
        <x:f>IF(G702&lt;=I702,0,MAX(0)+IF(E702="via",MAX(0,G702-MAX(F702,I702)),0))</x:f>
        <x:v>0</x:v>
      </x:c>
    </x:row>
    <x:row r="703" ht="42" customHeight="1">
      <x:c r="A703" s="7" t="str">
        <x:v>DP3-B-R1</x:v>
      </x:c>
      <x:c r="B703" s="7" t="str">
        <x:v>U03</x:v>
      </x:c>
      <x:c r="C703" s="7" t="str">
        <x:v>intake</x:v>
      </x:c>
      <x:c r="D703" s="7" t="str">
        <x:v>입력 확정</x:v>
      </x:c>
      <x:c r="E703" s="7" t="str">
        <x:v>via</x:v>
      </x:c>
      <x:c r="F703" s="14" t="n">
        <x:v>0</x:v>
      </x:c>
      <x:c r="G703" s="14" t="n">
        <x:v>0.06</x:v>
      </x:c>
      <x:c r="H703" s="14" t="n">
        <x:v>0.06</x:v>
      </x:c>
      <x:c r="I703" s="14" t="n">
        <x:v>0</x:v>
      </x:c>
      <x:c r="J703" s="7" t="str">
        <x:v>input_end</x:v>
      </x:c>
      <x:c r="K703" s="7" t="str">
        <x:v>none</x:v>
      </x:c>
      <x:c r="L703" s="14" t="n">
        <x:f>IF(G703&lt;=I703,0,MAX(0,L702)+IF(E703="via",MAX(0,G703-MAX(F703,I703)),0))</x:f>
        <x:v>0.06</x:v>
      </x:c>
    </x:row>
    <x:row r="704" ht="42" customHeight="1">
      <x:c r="A704" s="12" t="str">
        <x:v>DP3-B-R1</x:v>
      </x:c>
      <x:c r="B704" s="12" t="str">
        <x:v>U03</x:v>
      </x:c>
      <x:c r="C704" s="12" t="str">
        <x:v>read</x:v>
      </x:c>
      <x:c r="D704" s="12" t="str">
        <x:v>공통 허용 원본 조회</x:v>
      </x:c>
      <x:c r="E704" s="12" t="str">
        <x:v>via</x:v>
      </x:c>
      <x:c r="F704" s="13" t="n">
        <x:v>0.06</x:v>
      </x:c>
      <x:c r="G704" s="13" t="n">
        <x:v>0.14</x:v>
      </x:c>
      <x:c r="H704" s="13" t="n">
        <x:v>0.08</x:v>
      </x:c>
      <x:c r="I704" s="13" t="n">
        <x:v>0</x:v>
      </x:c>
      <x:c r="J704" s="12" t="str">
        <x:v>intake</x:v>
      </x:c>
      <x:c r="K704" s="12" t="str">
        <x:v>none</x:v>
      </x:c>
      <x:c r="L704" s="13" t="n">
        <x:f>IF(G704&lt;=I704,0,MAX(0,L703)+IF(E704="via",MAX(0,G704-MAX(F704,I704)),0))</x:f>
        <x:v>0.14</x:v>
      </x:c>
    </x:row>
    <x:row r="705" ht="42" customHeight="1">
      <x:c r="A705" s="7" t="str">
        <x:v>DP3-B-R1</x:v>
      </x:c>
      <x:c r="B705" s="7" t="str">
        <x:v>U03</x:v>
      </x:c>
      <x:c r="C705" s="7" t="str">
        <x:v>meaning</x:v>
      </x:c>
      <x:c r="D705" s="7" t="str">
        <x:v>최초 요청 의미 채택 packet 생성</x:v>
      </x:c>
      <x:c r="E705" s="7" t="str">
        <x:v>via</x:v>
      </x:c>
      <x:c r="F705" s="14" t="n">
        <x:v>0.14</x:v>
      </x:c>
      <x:c r="G705" s="14" t="n">
        <x:v>1.2400000000000002</x:v>
      </x:c>
      <x:c r="H705" s="14" t="n">
        <x:v>1.1</x:v>
      </x:c>
      <x:c r="I705" s="14" t="n">
        <x:v>0</x:v>
      </x:c>
      <x:c r="J705" s="7" t="str">
        <x:v>read</x:v>
      </x:c>
      <x:c r="K705" s="7" t="str">
        <x:v>semantic</x:v>
      </x:c>
      <x:c r="L705" s="14" t="n">
        <x:f>IF(G705&lt;=I705,0,MAX(0,L704)+IF(E705="via",MAX(0,G705-MAX(F705,I705)),0))</x:f>
        <x:v>1.2400000000000002</x:v>
      </x:c>
    </x:row>
    <x:row r="706" ht="42" customHeight="1">
      <x:c r="A706" s="12" t="str">
        <x:v>DP3-B-R1</x:v>
      </x:c>
      <x:c r="B706" s="12" t="str">
        <x:v>U03</x:v>
      </x:c>
      <x:c r="C706" s="12" t="str">
        <x:v>adopt</x:v>
      </x:c>
      <x:c r="D706" s="12" t="str">
        <x:v>현재 revision과 권한 검사 및 채택</x:v>
      </x:c>
      <x:c r="E706" s="12" t="str">
        <x:v>via</x:v>
      </x:c>
      <x:c r="F706" s="13" t="n">
        <x:v>1.2400000000000002</x:v>
      </x:c>
      <x:c r="G706" s="13" t="n">
        <x:v>1.2700000000000002</x:v>
      </x:c>
      <x:c r="H706" s="13" t="n">
        <x:v>0.03</x:v>
      </x:c>
      <x:c r="I706" s="13" t="n">
        <x:v>0</x:v>
      </x:c>
      <x:c r="J706" s="12" t="str">
        <x:v>meaning</x:v>
      </x:c>
      <x:c r="K706" s="12" t="str">
        <x:v>none</x:v>
      </x:c>
      <x:c r="L706" s="13" t="n">
        <x:f>IF(G706&lt;=I706,0,MAX(0,L705)+IF(E706="via",MAX(0,G706-MAX(F706,I706)),0))</x:f>
        <x:v>1.2700000000000002</x:v>
      </x:c>
    </x:row>
    <x:row r="707" ht="42" customHeight="1">
      <x:c r="A707" s="7" t="str">
        <x:v>DP3-B-R1</x:v>
      </x:c>
      <x:c r="B707" s="7" t="str">
        <x:v>U03</x:v>
      </x:c>
      <x:c r="C707" s="7" t="str">
        <x:v>first_display</x:v>
      </x:c>
      <x:c r="D707" s="7" t="str">
        <x:v>첫 구체적 채택 내용 화면 표시</x:v>
      </x:c>
      <x:c r="E707" s="7" t="str">
        <x:v>via</x:v>
      </x:c>
      <x:c r="F707" s="14" t="n">
        <x:v>1.2700000000000002</x:v>
      </x:c>
      <x:c r="G707" s="14" t="n">
        <x:v>1.3100000000000003</x:v>
      </x:c>
      <x:c r="H707" s="14" t="n">
        <x:v>0.04</x:v>
      </x:c>
      <x:c r="I707" s="14" t="n">
        <x:v>0</x:v>
      </x:c>
      <x:c r="J707" s="7" t="str">
        <x:v>adopt</x:v>
      </x:c>
      <x:c r="K707" s="7" t="str">
        <x:v>none</x:v>
      </x:c>
      <x:c r="L707" s="14" t="n">
        <x:f>IF(G707&lt;=I707,0,MAX(0,L706)+IF(E707="via",MAX(0,G707-MAX(F707,I707)),0))</x:f>
        <x:v>1.3100000000000003</x:v>
      </x:c>
    </x:row>
    <x:row r="708" ht="42" customHeight="1">
      <x:c r="A708" s="12" t="str">
        <x:v>DP3-B-R1</x:v>
      </x:c>
      <x:c r="B708" s="12" t="str">
        <x:v>U03</x:v>
      </x:c>
      <x:c r="C708" s="12" t="str">
        <x:v>long_work</x:v>
      </x:c>
      <x:c r="D708" s="12" t="str">
        <x:v>요청의 남은 VIA 판단</x:v>
      </x:c>
      <x:c r="E708" s="12" t="str">
        <x:v>via</x:v>
      </x:c>
      <x:c r="F708" s="13" t="n">
        <x:v>1.2700000000000002</x:v>
      </x:c>
      <x:c r="G708" s="13" t="n">
        <x:v>2.87</x:v>
      </x:c>
      <x:c r="H708" s="13" t="n">
        <x:v>1.6</x:v>
      </x:c>
      <x:c r="I708" s="13" t="n">
        <x:v>0</x:v>
      </x:c>
      <x:c r="J708" s="12" t="str">
        <x:v>adopt</x:v>
      </x:c>
      <x:c r="K708" s="12" t="str">
        <x:v>semantic</x:v>
      </x:c>
      <x:c r="L708" s="13" t="n">
        <x:f>IF(G708&lt;=I708,0,MAX(0,L706)+IF(E708="via",MAX(0,G708-MAX(F708,I708)),0))</x:f>
        <x:v>2.87</x:v>
      </x:c>
    </x:row>
    <x:row r="709" ht="42" customHeight="1">
      <x:c r="A709" s="7" t="str">
        <x:v>DP3-B-R1</x:v>
      </x:c>
      <x:c r="B709" s="7" t="str">
        <x:v>U03</x:v>
      </x:c>
      <x:c r="C709" s="7" t="str">
        <x:v>result_display</x:v>
      </x:c>
      <x:c r="D709" s="7" t="str">
        <x:v>최종 설명 상세 표시</x:v>
      </x:c>
      <x:c r="E709" s="7" t="str">
        <x:v>via</x:v>
      </x:c>
      <x:c r="F709" s="14" t="n">
        <x:v>2.87</x:v>
      </x:c>
      <x:c r="G709" s="14" t="n">
        <x:v>2.91</x:v>
      </x:c>
      <x:c r="H709" s="14" t="n">
        <x:v>0.04</x:v>
      </x:c>
      <x:c r="I709" s="14" t="n">
        <x:v>0</x:v>
      </x:c>
      <x:c r="J709" s="7" t="str">
        <x:v>long_work</x:v>
      </x:c>
      <x:c r="K709" s="7" t="str">
        <x:v>none</x:v>
      </x:c>
      <x:c r="L709" s="14" t="n">
        <x:f>IF(G709&lt;=I709,0,MAX(0,L708)+IF(E709="via",MAX(0,G709-MAX(F709,I709)),0))</x:f>
        <x:v>2.91</x:v>
      </x:c>
    </x:row>
    <x:row r="710" ht="42" customHeight="1">
      <x:c r="A710" s="12" t="str">
        <x:v>DP3-B-R1</x:v>
      </x:c>
      <x:c r="B710" s="12" t="str">
        <x:v>U03</x:v>
      </x:c>
      <x:c r="C710" s="12" t="str">
        <x:v>response_audio</x:v>
      </x:c>
      <x:c r="D710" s="12" t="str">
        <x:v>선택한 응답 음성 생성</x:v>
      </x:c>
      <x:c r="E710" s="12" t="str">
        <x:v>via</x:v>
      </x:c>
      <x:c r="F710" s="13" t="n">
        <x:v>2.87</x:v>
      </x:c>
      <x:c r="G710" s="13" t="n">
        <x:v>4.758</x:v>
      </x:c>
      <x:c r="H710" s="13" t="n">
        <x:v>1.888</x:v>
      </x:c>
      <x:c r="I710" s="13" t="n">
        <x:v>0</x:v>
      </x:c>
      <x:c r="J710" s="12" t="str">
        <x:v>long_work</x:v>
      </x:c>
      <x:c r="K710" s="12" t="str">
        <x:v>speech</x:v>
      </x:c>
      <x:c r="L710" s="13" t="n">
        <x:f>IF(G710&lt;=I710,0,MAX(0,L708)+IF(E710="via",MAX(0,G710-MAX(F710,I710)),0))</x:f>
        <x:v>4.758</x:v>
      </x:c>
    </x:row>
    <x:row r="711" ht="42" customHeight="1">
      <x:c r="A711" s="7" t="str">
        <x:v>DP3-B-R1</x:v>
      </x:c>
      <x:c r="B711" s="7" t="str">
        <x:v>U03</x:v>
      </x:c>
      <x:c r="C711" s="7" t="str">
        <x:v>intent_audio</x:v>
      </x:c>
      <x:c r="D711" s="7" t="str">
        <x:v>채택한 구체적 수행 의도의 짧은 음성</x:v>
      </x:c>
      <x:c r="E711" s="7" t="str">
        <x:v>via</x:v>
      </x:c>
      <x:c r="F711" s="14" t="n">
        <x:v>1.2700000000000002</x:v>
      </x:c>
      <x:c r="G711" s="14" t="n">
        <x:v>2.404</x:v>
      </x:c>
      <x:c r="H711" s="14" t="n">
        <x:v>1.134</x:v>
      </x:c>
      <x:c r="I711" s="14" t="n">
        <x:v>0</x:v>
      </x:c>
      <x:c r="J711" s="7" t="str">
        <x:v>adopt</x:v>
      </x:c>
      <x:c r="K711" s="7" t="str">
        <x:v>speech</x:v>
      </x:c>
      <x:c r="L711" s="14" t="n">
        <x:f>IF(G711&lt;=I711,0,MAX(0,L706)+IF(E711="via",MAX(0,G711-MAX(F711,I711)),0))</x:f>
        <x:v>2.404</x:v>
      </x:c>
    </x:row>
    <x:row r="712" ht="42" customHeight="1">
      <x:c r="A712" s="12" t="str">
        <x:v>DP3-B-R1</x:v>
      </x:c>
      <x:c r="B712" s="12" t="str">
        <x:v>U03</x:v>
      </x:c>
      <x:c r="C712" s="12" t="str">
        <x:v>first_chunk</x:v>
      </x:c>
      <x:c r="D712" s="12" t="str">
        <x:v>같은 생성 job의 유효 첫 chunk 관측</x:v>
      </x:c>
      <x:c r="E712" s="12" t="str">
        <x:v>via</x:v>
      </x:c>
      <x:c r="F712" s="13" t="n">
        <x:v>1.2700000000000002</x:v>
      </x:c>
      <x:c r="G712" s="13" t="n">
        <x:v>1.7040000000000002</x:v>
      </x:c>
      <x:c r="H712" s="13" t="n">
        <x:v>0.434</x:v>
      </x:c>
      <x:c r="I712" s="13" t="n">
        <x:v>0</x:v>
      </x:c>
      <x:c r="J712" s="12" t="str">
        <x:v>adopt</x:v>
      </x:c>
      <x:c r="K712" s="12" t="str">
        <x:v>none</x:v>
      </x:c>
      <x:c r="L712" s="13" t="n">
        <x:f>IF(G712&lt;=I712,0,MAX(0,L706)+IF(E712="via",MAX(0,G712-MAX(F712,I712)),0))</x:f>
        <x:v>1.7040000000000002</x:v>
      </x:c>
    </x:row>
    <x:row r="713" ht="42" customHeight="1">
      <x:c r="A713" s="7" t="str">
        <x:v>DP3-B-R1</x:v>
      </x:c>
      <x:c r="B713" s="7" t="str">
        <x:v>U03</x:v>
      </x:c>
      <x:c r="C713" s="7" t="str">
        <x:v>first_audio_output</x:v>
      </x:c>
      <x:c r="D713" s="7" t="str">
        <x:v>공통 장치의 첫 음성 출력</x:v>
      </x:c>
      <x:c r="E713" s="7" t="str">
        <x:v>via</x:v>
      </x:c>
      <x:c r="F713" s="14" t="n">
        <x:v>1.7040000000000002</x:v>
      </x:c>
      <x:c r="G713" s="14" t="n">
        <x:v>1.7440000000000002</x:v>
      </x:c>
      <x:c r="H713" s="14" t="n">
        <x:v>0.04</x:v>
      </x:c>
      <x:c r="I713" s="14" t="n">
        <x:v>0</x:v>
      </x:c>
      <x:c r="J713" s="7" t="str">
        <x:v>adopt, first_chunk</x:v>
      </x:c>
      <x:c r="K713" s="7" t="str">
        <x:v>none</x:v>
      </x:c>
      <x:c r="L713" s="14" t="n">
        <x:f>IF(G713&lt;=I713,0,MAX(0,L706,L712)+IF(E713="via",MAX(0,G713-MAX(F713,I713)),0))</x:f>
        <x:v>1.7440000000000002</x:v>
      </x:c>
    </x:row>
    <x:row r="714" ht="42" customHeight="1">
      <x:c r="A714" s="12" t="str">
        <x:v>DP3-B-R1</x:v>
      </x:c>
      <x:c r="B714" s="12" t="str">
        <x:v>U03</x:v>
      </x:c>
      <x:c r="C714" s="12" t="str">
        <x:v>next_speech_selection</x:v>
      </x:c>
      <x:c r="D714" s="12" t="str">
        <x:v>현재 발화 재생 후 다음 응답 선택</x:v>
      </x:c>
      <x:c r="E714" s="12" t="str">
        <x:v>external</x:v>
      </x:c>
      <x:c r="F714" s="13" t="n">
        <x:v>1.7440000000000002</x:v>
      </x:c>
      <x:c r="G714" s="13" t="n">
        <x:v>4.744</x:v>
      </x:c>
      <x:c r="H714" s="13" t="n">
        <x:v>3</x:v>
      </x:c>
      <x:c r="I714" s="13" t="n">
        <x:v>0</x:v>
      </x:c>
      <x:c r="J714" s="12" t="str">
        <x:v>first_audio_output</x:v>
      </x:c>
      <x:c r="K714" s="12" t="str">
        <x:v>none</x:v>
      </x:c>
      <x:c r="L714" s="13" t="n">
        <x:f>IF(G714&lt;=I714,0,MAX(0,L713)+IF(E714="via",MAX(0,G714-MAX(F714,I714)),0))</x:f>
        <x:v>1.7440000000000002</x:v>
      </x:c>
    </x:row>
    <x:row r="715" ht="42" customHeight="1">
      <x:c r="A715" s="7" t="str">
        <x:v>DP3-B-R1</x:v>
      </x:c>
      <x:c r="B715" s="7" t="str">
        <x:v>U03</x:v>
      </x:c>
      <x:c r="C715" s="7" t="str">
        <x:v>terminal</x:v>
      </x:c>
      <x:c r="D715" s="7" t="str">
        <x:v>공통 목표 최종 상태와 전체 음성 준비</x:v>
      </x:c>
      <x:c r="E715" s="7" t="str">
        <x:v>via</x:v>
      </x:c>
      <x:c r="F715" s="14" t="n">
        <x:v>4.758</x:v>
      </x:c>
      <x:c r="G715" s="14" t="n">
        <x:v>4.758</x:v>
      </x:c>
      <x:c r="H715" s="14" t="n">
        <x:v>0</x:v>
      </x:c>
      <x:c r="I715" s="14" t="n">
        <x:v>0</x:v>
      </x:c>
      <x:c r="J715" s="7" t="str">
        <x:v>result_display, response_audio, intent_audio, first_audio_output</x:v>
      </x:c>
      <x:c r="K715" s="7" t="str">
        <x:v>none</x:v>
      </x:c>
      <x:c r="L715" s="14" t="n">
        <x:f>IF(G715&lt;=I715,0,MAX(0,L709,L710,L711,L713)+IF(E715="via",MAX(0,G715-MAX(F715,I715)),0))</x:f>
        <x:v>4.758</x:v>
      </x:c>
    </x:row>
    <x:row r="716" ht="42" customHeight="1">
      <x:c r="A716" s="12" t="str">
        <x:v>DP3-B-R1</x:v>
      </x:c>
      <x:c r="B716" s="12" t="str">
        <x:v>U04</x:v>
      </x:c>
      <x:c r="C716" s="12" t="str">
        <x:v>input_end</x:v>
      </x:c>
      <x:c r="D716" s="12" t="str">
        <x:v>사용자 입력 종료</x:v>
      </x:c>
      <x:c r="E716" s="12" t="str">
        <x:v>external</x:v>
      </x:c>
      <x:c r="F716" s="13" t="n">
        <x:v>0</x:v>
      </x:c>
      <x:c r="G716" s="13" t="n">
        <x:v>0</x:v>
      </x:c>
      <x:c r="H716" s="13" t="n">
        <x:v>0</x:v>
      </x:c>
      <x:c r="I716" s="13" t="n">
        <x:v>0</x:v>
      </x:c>
      <x:c r="J716" s="12" t="str"/>
      <x:c r="K716" s="12" t="str">
        <x:v>none</x:v>
      </x:c>
      <x:c r="L716" s="13" t="n">
        <x:f>IF(G716&lt;=I716,0,MAX(0)+IF(E716="via",MAX(0,G716-MAX(F716,I716)),0))</x:f>
        <x:v>0</x:v>
      </x:c>
    </x:row>
    <x:row r="717" ht="42" customHeight="1">
      <x:c r="A717" s="7" t="str">
        <x:v>DP3-B-R1</x:v>
      </x:c>
      <x:c r="B717" s="7" t="str">
        <x:v>U04</x:v>
      </x:c>
      <x:c r="C717" s="7" t="str">
        <x:v>intake</x:v>
      </x:c>
      <x:c r="D717" s="7" t="str">
        <x:v>입력 확정</x:v>
      </x:c>
      <x:c r="E717" s="7" t="str">
        <x:v>via</x:v>
      </x:c>
      <x:c r="F717" s="14" t="n">
        <x:v>0</x:v>
      </x:c>
      <x:c r="G717" s="14" t="n">
        <x:v>0.3</x:v>
      </x:c>
      <x:c r="H717" s="14" t="n">
        <x:v>0.3</x:v>
      </x:c>
      <x:c r="I717" s="14" t="n">
        <x:v>0</x:v>
      </x:c>
      <x:c r="J717" s="7" t="str">
        <x:v>input_end</x:v>
      </x:c>
      <x:c r="K717" s="7" t="str">
        <x:v>none</x:v>
      </x:c>
      <x:c r="L717" s="14" t="n">
        <x:f>IF(G717&lt;=I717,0,MAX(0,L716)+IF(E717="via",MAX(0,G717-MAX(F717,I717)),0))</x:f>
        <x:v>0.3</x:v>
      </x:c>
    </x:row>
    <x:row r="718" ht="42" customHeight="1">
      <x:c r="A718" s="12" t="str">
        <x:v>DP3-B-R1</x:v>
      </x:c>
      <x:c r="B718" s="12" t="str">
        <x:v>U04</x:v>
      </x:c>
      <x:c r="C718" s="12" t="str">
        <x:v>read</x:v>
      </x:c>
      <x:c r="D718" s="12" t="str">
        <x:v>공통 허용 원본 조회</x:v>
      </x:c>
      <x:c r="E718" s="12" t="str">
        <x:v>via</x:v>
      </x:c>
      <x:c r="F718" s="13" t="n">
        <x:v>0.3</x:v>
      </x:c>
      <x:c r="G718" s="13" t="n">
        <x:v>0.38</x:v>
      </x:c>
      <x:c r="H718" s="13" t="n">
        <x:v>0.08</x:v>
      </x:c>
      <x:c r="I718" s="13" t="n">
        <x:v>0</x:v>
      </x:c>
      <x:c r="J718" s="12" t="str">
        <x:v>intake</x:v>
      </x:c>
      <x:c r="K718" s="12" t="str">
        <x:v>none</x:v>
      </x:c>
      <x:c r="L718" s="13" t="n">
        <x:f>IF(G718&lt;=I718,0,MAX(0,L717)+IF(E718="via",MAX(0,G718-MAX(F718,I718)),0))</x:f>
        <x:v>0.38</x:v>
      </x:c>
    </x:row>
    <x:row r="719" ht="42" customHeight="1">
      <x:c r="A719" s="7" t="str">
        <x:v>DP3-B-R1</x:v>
      </x:c>
      <x:c r="B719" s="7" t="str">
        <x:v>U04</x:v>
      </x:c>
      <x:c r="C719" s="7" t="str">
        <x:v>meaning</x:v>
      </x:c>
      <x:c r="D719" s="7" t="str">
        <x:v>최초 요청 의미 채택 packet 생성</x:v>
      </x:c>
      <x:c r="E719" s="7" t="str">
        <x:v>via</x:v>
      </x:c>
      <x:c r="F719" s="14" t="n">
        <x:v>0.38</x:v>
      </x:c>
      <x:c r="G719" s="14" t="n">
        <x:v>1.48</x:v>
      </x:c>
      <x:c r="H719" s="14" t="n">
        <x:v>1.1</x:v>
      </x:c>
      <x:c r="I719" s="14" t="n">
        <x:v>0</x:v>
      </x:c>
      <x:c r="J719" s="7" t="str">
        <x:v>read</x:v>
      </x:c>
      <x:c r="K719" s="7" t="str">
        <x:v>semantic</x:v>
      </x:c>
      <x:c r="L719" s="14" t="n">
        <x:f>IF(G719&lt;=I719,0,MAX(0,L718)+IF(E719="via",MAX(0,G719-MAX(F719,I719)),0))</x:f>
        <x:v>1.48</x:v>
      </x:c>
    </x:row>
    <x:row r="720" ht="42" customHeight="1">
      <x:c r="A720" s="12" t="str">
        <x:v>DP3-B-R1</x:v>
      </x:c>
      <x:c r="B720" s="12" t="str">
        <x:v>U04</x:v>
      </x:c>
      <x:c r="C720" s="12" t="str">
        <x:v>adopt</x:v>
      </x:c>
      <x:c r="D720" s="12" t="str">
        <x:v>현재 revision과 권한 검사 및 채택</x:v>
      </x:c>
      <x:c r="E720" s="12" t="str">
        <x:v>via</x:v>
      </x:c>
      <x:c r="F720" s="13" t="n">
        <x:v>1.48</x:v>
      </x:c>
      <x:c r="G720" s="13" t="n">
        <x:v>1.51</x:v>
      </x:c>
      <x:c r="H720" s="13" t="n">
        <x:v>0.03</x:v>
      </x:c>
      <x:c r="I720" s="13" t="n">
        <x:v>0</x:v>
      </x:c>
      <x:c r="J720" s="12" t="str">
        <x:v>meaning</x:v>
      </x:c>
      <x:c r="K720" s="12" t="str">
        <x:v>none</x:v>
      </x:c>
      <x:c r="L720" s="13" t="n">
        <x:f>IF(G720&lt;=I720,0,MAX(0,L719)+IF(E720="via",MAX(0,G720-MAX(F720,I720)),0))</x:f>
        <x:v>1.51</x:v>
      </x:c>
    </x:row>
    <x:row r="721" ht="42" customHeight="1">
      <x:c r="A721" s="7" t="str">
        <x:v>DP3-B-R1</x:v>
      </x:c>
      <x:c r="B721" s="7" t="str">
        <x:v>U04</x:v>
      </x:c>
      <x:c r="C721" s="7" t="str">
        <x:v>first_display</x:v>
      </x:c>
      <x:c r="D721" s="7" t="str">
        <x:v>첫 구체적 채택 내용 화면 표시</x:v>
      </x:c>
      <x:c r="E721" s="7" t="str">
        <x:v>via</x:v>
      </x:c>
      <x:c r="F721" s="14" t="n">
        <x:v>1.51</x:v>
      </x:c>
      <x:c r="G721" s="14" t="n">
        <x:v>1.55</x:v>
      </x:c>
      <x:c r="H721" s="14" t="n">
        <x:v>0.04</x:v>
      </x:c>
      <x:c r="I721" s="14" t="n">
        <x:v>0</x:v>
      </x:c>
      <x:c r="J721" s="7" t="str">
        <x:v>adopt</x:v>
      </x:c>
      <x:c r="K721" s="7" t="str">
        <x:v>none</x:v>
      </x:c>
      <x:c r="L721" s="14" t="n">
        <x:f>IF(G721&lt;=I721,0,MAX(0,L720)+IF(E721="via",MAX(0,G721-MAX(F721,I721)),0))</x:f>
        <x:v>1.55</x:v>
      </x:c>
    </x:row>
    <x:row r="722" ht="42" customHeight="1">
      <x:c r="A722" s="12" t="str">
        <x:v>DP3-B-R1</x:v>
      </x:c>
      <x:c r="B722" s="12" t="str">
        <x:v>U04</x:v>
      </x:c>
      <x:c r="C722" s="12" t="str">
        <x:v>response_audio</x:v>
      </x:c>
      <x:c r="D722" s="12" t="str">
        <x:v>선택한 응답 음성 생성</x:v>
      </x:c>
      <x:c r="E722" s="12" t="str">
        <x:v>via</x:v>
      </x:c>
      <x:c r="F722" s="13" t="n">
        <x:v>1.51</x:v>
      </x:c>
      <x:c r="G722" s="13" t="n">
        <x:v>3.3979999999999997</x:v>
      </x:c>
      <x:c r="H722" s="13" t="n">
        <x:v>1.888</x:v>
      </x:c>
      <x:c r="I722" s="13" t="n">
        <x:v>0</x:v>
      </x:c>
      <x:c r="J722" s="12" t="str">
        <x:v>adopt</x:v>
      </x:c>
      <x:c r="K722" s="12" t="str">
        <x:v>speech</x:v>
      </x:c>
      <x:c r="L722" s="13" t="n">
        <x:f>IF(G722&lt;=I722,0,MAX(0,L720)+IF(E722="via",MAX(0,G722-MAX(F722,I722)),0))</x:f>
        <x:v>3.3979999999999997</x:v>
      </x:c>
    </x:row>
    <x:row r="723" ht="42" customHeight="1">
      <x:c r="A723" s="7" t="str">
        <x:v>DP3-B-R1</x:v>
      </x:c>
      <x:c r="B723" s="7" t="str">
        <x:v>U04</x:v>
      </x:c>
      <x:c r="C723" s="7" t="str">
        <x:v>first_chunk</x:v>
      </x:c>
      <x:c r="D723" s="7" t="str">
        <x:v>같은 생성 job의 유효 첫 chunk 관측</x:v>
      </x:c>
      <x:c r="E723" s="7" t="str">
        <x:v>via</x:v>
      </x:c>
      <x:c r="F723" s="14" t="n">
        <x:v>1.51</x:v>
      </x:c>
      <x:c r="G723" s="14" t="n">
        <x:v>1.948</x:v>
      </x:c>
      <x:c r="H723" s="14" t="n">
        <x:v>0.438</x:v>
      </x:c>
      <x:c r="I723" s="14" t="n">
        <x:v>0</x:v>
      </x:c>
      <x:c r="J723" s="7" t="str">
        <x:v>adopt</x:v>
      </x:c>
      <x:c r="K723" s="7" t="str">
        <x:v>none</x:v>
      </x:c>
      <x:c r="L723" s="14" t="n">
        <x:f>IF(G723&lt;=I723,0,MAX(0,L720)+IF(E723="via",MAX(0,G723-MAX(F723,I723)),0))</x:f>
        <x:v>1.948</x:v>
      </x:c>
    </x:row>
    <x:row r="724" ht="42" customHeight="1">
      <x:c r="A724" s="12" t="str">
        <x:v>DP3-B-R1</x:v>
      </x:c>
      <x:c r="B724" s="12" t="str">
        <x:v>U04</x:v>
      </x:c>
      <x:c r="C724" s="12" t="str">
        <x:v>first_audio_output</x:v>
      </x:c>
      <x:c r="D724" s="12" t="str">
        <x:v>공통 장치의 첫 음성 출력</x:v>
      </x:c>
      <x:c r="E724" s="12" t="str">
        <x:v>via</x:v>
      </x:c>
      <x:c r="F724" s="13" t="n">
        <x:v>1.948</x:v>
      </x:c>
      <x:c r="G724" s="13" t="n">
        <x:v>1.988</x:v>
      </x:c>
      <x:c r="H724" s="13" t="n">
        <x:v>0.04</x:v>
      </x:c>
      <x:c r="I724" s="13" t="n">
        <x:v>0</x:v>
      </x:c>
      <x:c r="J724" s="12" t="str">
        <x:v>adopt, first_chunk</x:v>
      </x:c>
      <x:c r="K724" s="12" t="str">
        <x:v>none</x:v>
      </x:c>
      <x:c r="L724" s="13" t="n">
        <x:f>IF(G724&lt;=I724,0,MAX(0,L720,L723)+IF(E724="via",MAX(0,G724-MAX(F724,I724)),0))</x:f>
        <x:v>1.988</x:v>
      </x:c>
    </x:row>
    <x:row r="725" ht="42" customHeight="1">
      <x:c r="A725" s="7" t="str">
        <x:v>DP3-B-R1</x:v>
      </x:c>
      <x:c r="B725" s="7" t="str">
        <x:v>U04</x:v>
      </x:c>
      <x:c r="C725" s="7" t="str">
        <x:v>terminal</x:v>
      </x:c>
      <x:c r="D725" s="7" t="str">
        <x:v>공통 목표 최종 상태와 전체 음성 준비</x:v>
      </x:c>
      <x:c r="E725" s="7" t="str">
        <x:v>via</x:v>
      </x:c>
      <x:c r="F725" s="14" t="n">
        <x:v>3.3979999999999997</x:v>
      </x:c>
      <x:c r="G725" s="14" t="n">
        <x:v>3.3979999999999997</x:v>
      </x:c>
      <x:c r="H725" s="14" t="n">
        <x:v>0</x:v>
      </x:c>
      <x:c r="I725" s="14" t="n">
        <x:v>0</x:v>
      </x:c>
      <x:c r="J725" s="7" t="str">
        <x:v>first_display, response_audio, first_audio_output</x:v>
      </x:c>
      <x:c r="K725" s="7" t="str">
        <x:v>none</x:v>
      </x:c>
      <x:c r="L725" s="14" t="n">
        <x:f>IF(G725&lt;=I725,0,MAX(0,L721,L722,L724)+IF(E725="via",MAX(0,G725-MAX(F725,I725)),0))</x:f>
        <x:v>3.3979999999999997</x:v>
      </x:c>
    </x:row>
    <x:row r="726" ht="42" customHeight="1">
      <x:c r="A726" s="12" t="str">
        <x:v>DP3-B-R1</x:v>
      </x:c>
      <x:c r="B726" s="12" t="str">
        <x:v>U05</x:v>
      </x:c>
      <x:c r="C726" s="12" t="str">
        <x:v>bg1</x:v>
      </x:c>
      <x:c r="D726" s="12" t="str">
        <x:v>진행 중인 현재 대화의 의미 step</x:v>
      </x:c>
      <x:c r="E726" s="12" t="str">
        <x:v>via</x:v>
      </x:c>
      <x:c r="F726" s="13" t="n">
        <x:v>-1</x:v>
      </x:c>
      <x:c r="G726" s="13" t="n">
        <x:v>2.4</x:v>
      </x:c>
      <x:c r="H726" s="13" t="n">
        <x:v>3.4</x:v>
      </x:c>
      <x:c r="I726" s="13" t="n">
        <x:v>0</x:v>
      </x:c>
      <x:c r="J726" s="12" t="str"/>
      <x:c r="K726" s="12" t="str">
        <x:v>semantic</x:v>
      </x:c>
      <x:c r="L726" s="13" t="n">
        <x:f>IF(G726&lt;=I726,0,MAX(0)+IF(E726="via",MAX(0,G726-MAX(F726,I726)),0))</x:f>
        <x:v>2.4</x:v>
      </x:c>
    </x:row>
    <x:row r="727" ht="42" customHeight="1">
      <x:c r="A727" s="7" t="str">
        <x:v>DP3-B-R1</x:v>
      </x:c>
      <x:c r="B727" s="7" t="str">
        <x:v>U05</x:v>
      </x:c>
      <x:c r="C727" s="7" t="str">
        <x:v>input_end</x:v>
      </x:c>
      <x:c r="D727" s="7" t="str">
        <x:v>사용자 입력 종료</x:v>
      </x:c>
      <x:c r="E727" s="7" t="str">
        <x:v>external</x:v>
      </x:c>
      <x:c r="F727" s="14" t="n">
        <x:v>0</x:v>
      </x:c>
      <x:c r="G727" s="14" t="n">
        <x:v>0</x:v>
      </x:c>
      <x:c r="H727" s="14" t="n">
        <x:v>0</x:v>
      </x:c>
      <x:c r="I727" s="14" t="n">
        <x:v>0</x:v>
      </x:c>
      <x:c r="J727" s="7" t="str"/>
      <x:c r="K727" s="7" t="str">
        <x:v>none</x:v>
      </x:c>
      <x:c r="L727" s="14" t="n">
        <x:f>IF(G727&lt;=I727,0,MAX(0)+IF(E727="via",MAX(0,G727-MAX(F727,I727)),0))</x:f>
        <x:v>0</x:v>
      </x:c>
    </x:row>
    <x:row r="728" ht="42" customHeight="1">
      <x:c r="A728" s="12" t="str">
        <x:v>DP3-B-R1</x:v>
      </x:c>
      <x:c r="B728" s="12" t="str">
        <x:v>U05</x:v>
      </x:c>
      <x:c r="C728" s="12" t="str">
        <x:v>intake</x:v>
      </x:c>
      <x:c r="D728" s="12" t="str">
        <x:v>입력 확정</x:v>
      </x:c>
      <x:c r="E728" s="12" t="str">
        <x:v>via</x:v>
      </x:c>
      <x:c r="F728" s="13" t="n">
        <x:v>0</x:v>
      </x:c>
      <x:c r="G728" s="13" t="n">
        <x:v>0.3</x:v>
      </x:c>
      <x:c r="H728" s="13" t="n">
        <x:v>0.3</x:v>
      </x:c>
      <x:c r="I728" s="13" t="n">
        <x:v>0</x:v>
      </x:c>
      <x:c r="J728" s="12" t="str">
        <x:v>input_end</x:v>
      </x:c>
      <x:c r="K728" s="12" t="str">
        <x:v>none</x:v>
      </x:c>
      <x:c r="L728" s="13" t="n">
        <x:f>IF(G728&lt;=I728,0,MAX(0,L727)+IF(E728="via",MAX(0,G728-MAX(F728,I728)),0))</x:f>
        <x:v>0.3</x:v>
      </x:c>
    </x:row>
    <x:row r="729" ht="42" customHeight="1">
      <x:c r="A729" s="7" t="str">
        <x:v>DP3-B-R1</x:v>
      </x:c>
      <x:c r="B729" s="7" t="str">
        <x:v>U05</x:v>
      </x:c>
      <x:c r="C729" s="7" t="str">
        <x:v>read</x:v>
      </x:c>
      <x:c r="D729" s="7" t="str">
        <x:v>공통 허용 원본 조회</x:v>
      </x:c>
      <x:c r="E729" s="7" t="str">
        <x:v>via</x:v>
      </x:c>
      <x:c r="F729" s="14" t="n">
        <x:v>0.3</x:v>
      </x:c>
      <x:c r="G729" s="14" t="n">
        <x:v>0.38</x:v>
      </x:c>
      <x:c r="H729" s="14" t="n">
        <x:v>0.08</x:v>
      </x:c>
      <x:c r="I729" s="14" t="n">
        <x:v>0</x:v>
      </x:c>
      <x:c r="J729" s="7" t="str">
        <x:v>intake</x:v>
      </x:c>
      <x:c r="K729" s="7" t="str">
        <x:v>none</x:v>
      </x:c>
      <x:c r="L729" s="14" t="n">
        <x:f>IF(G729&lt;=I729,0,MAX(0,L728)+IF(E729="via",MAX(0,G729-MAX(F729,I729)),0))</x:f>
        <x:v>0.38</x:v>
      </x:c>
    </x:row>
    <x:row r="730" ht="42" customHeight="1">
      <x:c r="A730" s="12" t="str">
        <x:v>DP3-B-R1</x:v>
      </x:c>
      <x:c r="B730" s="12" t="str">
        <x:v>U05</x:v>
      </x:c>
      <x:c r="C730" s="12" t="str">
        <x:v>meaning</x:v>
      </x:c>
      <x:c r="D730" s="12" t="str">
        <x:v>최초 요청 의미 채택 packet 생성</x:v>
      </x:c>
      <x:c r="E730" s="12" t="str">
        <x:v>via</x:v>
      </x:c>
      <x:c r="F730" s="13" t="n">
        <x:v>2.4</x:v>
      </x:c>
      <x:c r="G730" s="13" t="n">
        <x:v>3.5</x:v>
      </x:c>
      <x:c r="H730" s="13" t="n">
        <x:v>1.1</x:v>
      </x:c>
      <x:c r="I730" s="13" t="n">
        <x:v>0</x:v>
      </x:c>
      <x:c r="J730" s="12" t="str">
        <x:v>read, bg1</x:v>
      </x:c>
      <x:c r="K730" s="12" t="str">
        <x:v>semantic</x:v>
      </x:c>
      <x:c r="L730" s="13" t="n">
        <x:f>IF(G730&lt;=I730,0,MAX(0,L729,L726)+IF(E730="via",MAX(0,G730-MAX(F730,I730)),0))</x:f>
        <x:v>3.5</x:v>
      </x:c>
    </x:row>
    <x:row r="731" ht="42" customHeight="1">
      <x:c r="A731" s="7" t="str">
        <x:v>DP3-B-R1</x:v>
      </x:c>
      <x:c r="B731" s="7" t="str">
        <x:v>U05</x:v>
      </x:c>
      <x:c r="C731" s="7" t="str">
        <x:v>adopt</x:v>
      </x:c>
      <x:c r="D731" s="7" t="str">
        <x:v>현재 revision과 권한 검사 및 채택</x:v>
      </x:c>
      <x:c r="E731" s="7" t="str">
        <x:v>via</x:v>
      </x:c>
      <x:c r="F731" s="14" t="n">
        <x:v>3.5</x:v>
      </x:c>
      <x:c r="G731" s="14" t="n">
        <x:v>3.53</x:v>
      </x:c>
      <x:c r="H731" s="14" t="n">
        <x:v>0.03</x:v>
      </x:c>
      <x:c r="I731" s="14" t="n">
        <x:v>0</x:v>
      </x:c>
      <x:c r="J731" s="7" t="str">
        <x:v>meaning</x:v>
      </x:c>
      <x:c r="K731" s="7" t="str">
        <x:v>none</x:v>
      </x:c>
      <x:c r="L731" s="14" t="n">
        <x:f>IF(G731&lt;=I731,0,MAX(0,L730)+IF(E731="via",MAX(0,G731-MAX(F731,I731)),0))</x:f>
        <x:v>3.53</x:v>
      </x:c>
    </x:row>
    <x:row r="732" ht="42" customHeight="1">
      <x:c r="A732" s="12" t="str">
        <x:v>DP3-B-R1</x:v>
      </x:c>
      <x:c r="B732" s="12" t="str">
        <x:v>U05</x:v>
      </x:c>
      <x:c r="C732" s="12" t="str">
        <x:v>first_display</x:v>
      </x:c>
      <x:c r="D732" s="12" t="str">
        <x:v>첫 구체적 채택 내용 화면 표시</x:v>
      </x:c>
      <x:c r="E732" s="12" t="str">
        <x:v>via</x:v>
      </x:c>
      <x:c r="F732" s="13" t="n">
        <x:v>3.53</x:v>
      </x:c>
      <x:c r="G732" s="13" t="n">
        <x:v>3.57</x:v>
      </x:c>
      <x:c r="H732" s="13" t="n">
        <x:v>0.04</x:v>
      </x:c>
      <x:c r="I732" s="13" t="n">
        <x:v>0</x:v>
      </x:c>
      <x:c r="J732" s="12" t="str">
        <x:v>adopt</x:v>
      </x:c>
      <x:c r="K732" s="12" t="str">
        <x:v>none</x:v>
      </x:c>
      <x:c r="L732" s="13" t="n">
        <x:f>IF(G732&lt;=I732,0,MAX(0,L731)+IF(E732="via",MAX(0,G732-MAX(F732,I732)),0))</x:f>
        <x:v>3.57</x:v>
      </x:c>
    </x:row>
    <x:row r="733" ht="42" customHeight="1">
      <x:c r="A733" s="7" t="str">
        <x:v>DP3-B-R1</x:v>
      </x:c>
      <x:c r="B733" s="7" t="str">
        <x:v>U05</x:v>
      </x:c>
      <x:c r="C733" s="7" t="str">
        <x:v>response_audio</x:v>
      </x:c>
      <x:c r="D733" s="7" t="str">
        <x:v>선택한 응답 음성 생성</x:v>
      </x:c>
      <x:c r="E733" s="7" t="str">
        <x:v>via</x:v>
      </x:c>
      <x:c r="F733" s="14" t="n">
        <x:v>3.53</x:v>
      </x:c>
      <x:c r="G733" s="14" t="n">
        <x:v>5.417999999999999</x:v>
      </x:c>
      <x:c r="H733" s="14" t="n">
        <x:v>1.888</x:v>
      </x:c>
      <x:c r="I733" s="14" t="n">
        <x:v>0</x:v>
      </x:c>
      <x:c r="J733" s="7" t="str">
        <x:v>adopt</x:v>
      </x:c>
      <x:c r="K733" s="7" t="str">
        <x:v>speech</x:v>
      </x:c>
      <x:c r="L733" s="14" t="n">
        <x:f>IF(G733&lt;=I733,0,MAX(0,L731)+IF(E733="via",MAX(0,G733-MAX(F733,I733)),0))</x:f>
        <x:v>5.417999999999999</x:v>
      </x:c>
    </x:row>
    <x:row r="734" ht="42" customHeight="1">
      <x:c r="A734" s="12" t="str">
        <x:v>DP3-B-R1</x:v>
      </x:c>
      <x:c r="B734" s="12" t="str">
        <x:v>U05</x:v>
      </x:c>
      <x:c r="C734" s="12" t="str">
        <x:v>first_chunk</x:v>
      </x:c>
      <x:c r="D734" s="12" t="str">
        <x:v>같은 생성 job의 유효 첫 chunk 관측</x:v>
      </x:c>
      <x:c r="E734" s="12" t="str">
        <x:v>via</x:v>
      </x:c>
      <x:c r="F734" s="13" t="n">
        <x:v>3.53</x:v>
      </x:c>
      <x:c r="G734" s="13" t="n">
        <x:v>3.968</x:v>
      </x:c>
      <x:c r="H734" s="13" t="n">
        <x:v>0.438</x:v>
      </x:c>
      <x:c r="I734" s="13" t="n">
        <x:v>0</x:v>
      </x:c>
      <x:c r="J734" s="12" t="str">
        <x:v>adopt</x:v>
      </x:c>
      <x:c r="K734" s="12" t="str">
        <x:v>none</x:v>
      </x:c>
      <x:c r="L734" s="13" t="n">
        <x:f>IF(G734&lt;=I734,0,MAX(0,L731)+IF(E734="via",MAX(0,G734-MAX(F734,I734)),0))</x:f>
        <x:v>3.968</x:v>
      </x:c>
    </x:row>
    <x:row r="735" ht="42" customHeight="1">
      <x:c r="A735" s="7" t="str">
        <x:v>DP3-B-R1</x:v>
      </x:c>
      <x:c r="B735" s="7" t="str">
        <x:v>U05</x:v>
      </x:c>
      <x:c r="C735" s="7" t="str">
        <x:v>first_audio_output</x:v>
      </x:c>
      <x:c r="D735" s="7" t="str">
        <x:v>공통 장치의 첫 음성 출력</x:v>
      </x:c>
      <x:c r="E735" s="7" t="str">
        <x:v>via</x:v>
      </x:c>
      <x:c r="F735" s="14" t="n">
        <x:v>3.968</x:v>
      </x:c>
      <x:c r="G735" s="14" t="n">
        <x:v>4.008</x:v>
      </x:c>
      <x:c r="H735" s="14" t="n">
        <x:v>0.04</x:v>
      </x:c>
      <x:c r="I735" s="14" t="n">
        <x:v>0</x:v>
      </x:c>
      <x:c r="J735" s="7" t="str">
        <x:v>adopt, first_chunk</x:v>
      </x:c>
      <x:c r="K735" s="7" t="str">
        <x:v>none</x:v>
      </x:c>
      <x:c r="L735" s="14" t="n">
        <x:f>IF(G735&lt;=I735,0,MAX(0,L731,L734)+IF(E735="via",MAX(0,G735-MAX(F735,I735)),0))</x:f>
        <x:v>4.008</x:v>
      </x:c>
    </x:row>
    <x:row r="736" ht="42" customHeight="1">
      <x:c r="A736" s="12" t="str">
        <x:v>DP3-B-R1</x:v>
      </x:c>
      <x:c r="B736" s="12" t="str">
        <x:v>U05</x:v>
      </x:c>
      <x:c r="C736" s="12" t="str">
        <x:v>terminal</x:v>
      </x:c>
      <x:c r="D736" s="12" t="str">
        <x:v>공통 목표 최종 상태와 전체 음성 준비</x:v>
      </x:c>
      <x:c r="E736" s="12" t="str">
        <x:v>via</x:v>
      </x:c>
      <x:c r="F736" s="13" t="n">
        <x:v>5.417999999999999</x:v>
      </x:c>
      <x:c r="G736" s="13" t="n">
        <x:v>5.417999999999999</x:v>
      </x:c>
      <x:c r="H736" s="13" t="n">
        <x:v>0</x:v>
      </x:c>
      <x:c r="I736" s="13" t="n">
        <x:v>0</x:v>
      </x:c>
      <x:c r="J736" s="12" t="str">
        <x:v>first_display, response_audio, first_audio_output</x:v>
      </x:c>
      <x:c r="K736" s="12" t="str">
        <x:v>none</x:v>
      </x:c>
      <x:c r="L736" s="13" t="n">
        <x:f>IF(G736&lt;=I736,0,MAX(0,L732,L733,L735)+IF(E736="via",MAX(0,G736-MAX(F736,I736)),0))</x:f>
        <x:v>5.417999999999999</x:v>
      </x:c>
    </x:row>
    <x:row r="737" ht="42" customHeight="1">
      <x:c r="A737" s="7" t="str">
        <x:v>DP3-B-R1</x:v>
      </x:c>
      <x:c r="B737" s="7" t="str">
        <x:v>U06</x:v>
      </x:c>
      <x:c r="C737" s="7" t="str">
        <x:v>bg1</x:v>
      </x:c>
      <x:c r="D737" s="7" t="str">
        <x:v>진행 중인 현재 대화의 의미 step</x:v>
      </x:c>
      <x:c r="E737" s="7" t="str">
        <x:v>via</x:v>
      </x:c>
      <x:c r="F737" s="14" t="n">
        <x:v>-1</x:v>
      </x:c>
      <x:c r="G737" s="14" t="n">
        <x:v>2.4</x:v>
      </x:c>
      <x:c r="H737" s="14" t="n">
        <x:v>3.4</x:v>
      </x:c>
      <x:c r="I737" s="14" t="n">
        <x:v>0</x:v>
      </x:c>
      <x:c r="J737" s="7" t="str"/>
      <x:c r="K737" s="7" t="str">
        <x:v>semantic</x:v>
      </x:c>
      <x:c r="L737" s="14" t="n">
        <x:f>IF(G737&lt;=I737,0,MAX(0)+IF(E737="via",MAX(0,G737-MAX(F737,I737)),0))</x:f>
        <x:v>2.4</x:v>
      </x:c>
    </x:row>
    <x:row r="738" ht="42" customHeight="1">
      <x:c r="A738" s="12" t="str">
        <x:v>DP3-B-R1</x:v>
      </x:c>
      <x:c r="B738" s="12" t="str">
        <x:v>U06</x:v>
      </x:c>
      <x:c r="C738" s="12" t="str">
        <x:v>input_end</x:v>
      </x:c>
      <x:c r="D738" s="12" t="str">
        <x:v>사용자 입력 종료</x:v>
      </x:c>
      <x:c r="E738" s="12" t="str">
        <x:v>external</x:v>
      </x:c>
      <x:c r="F738" s="13" t="n">
        <x:v>0</x:v>
      </x:c>
      <x:c r="G738" s="13" t="n">
        <x:v>0</x:v>
      </x:c>
      <x:c r="H738" s="13" t="n">
        <x:v>0</x:v>
      </x:c>
      <x:c r="I738" s="13" t="n">
        <x:v>0</x:v>
      </x:c>
      <x:c r="J738" s="12" t="str"/>
      <x:c r="K738" s="12" t="str">
        <x:v>none</x:v>
      </x:c>
      <x:c r="L738" s="13" t="n">
        <x:f>IF(G738&lt;=I738,0,MAX(0)+IF(E738="via",MAX(0,G738-MAX(F738,I738)),0))</x:f>
        <x:v>0</x:v>
      </x:c>
    </x:row>
    <x:row r="739" ht="42" customHeight="1">
      <x:c r="A739" s="7" t="str">
        <x:v>DP3-B-R1</x:v>
      </x:c>
      <x:c r="B739" s="7" t="str">
        <x:v>U06</x:v>
      </x:c>
      <x:c r="C739" s="7" t="str">
        <x:v>intake</x:v>
      </x:c>
      <x:c r="D739" s="7" t="str">
        <x:v>입력 확정</x:v>
      </x:c>
      <x:c r="E739" s="7" t="str">
        <x:v>via</x:v>
      </x:c>
      <x:c r="F739" s="14" t="n">
        <x:v>0</x:v>
      </x:c>
      <x:c r="G739" s="14" t="n">
        <x:v>0.06</x:v>
      </x:c>
      <x:c r="H739" s="14" t="n">
        <x:v>0.06</x:v>
      </x:c>
      <x:c r="I739" s="14" t="n">
        <x:v>0</x:v>
      </x:c>
      <x:c r="J739" s="7" t="str">
        <x:v>input_end</x:v>
      </x:c>
      <x:c r="K739" s="7" t="str">
        <x:v>none</x:v>
      </x:c>
      <x:c r="L739" s="14" t="n">
        <x:f>IF(G739&lt;=I739,0,MAX(0,L738)+IF(E739="via",MAX(0,G739-MAX(F739,I739)),0))</x:f>
        <x:v>0.06</x:v>
      </x:c>
    </x:row>
    <x:row r="740" ht="42" customHeight="1">
      <x:c r="A740" s="12" t="str">
        <x:v>DP3-B-R1</x:v>
      </x:c>
      <x:c r="B740" s="12" t="str">
        <x:v>U06</x:v>
      </x:c>
      <x:c r="C740" s="12" t="str">
        <x:v>read</x:v>
      </x:c>
      <x:c r="D740" s="12" t="str">
        <x:v>공통 허용 원본 조회</x:v>
      </x:c>
      <x:c r="E740" s="12" t="str">
        <x:v>via</x:v>
      </x:c>
      <x:c r="F740" s="13" t="n">
        <x:v>0.06</x:v>
      </x:c>
      <x:c r="G740" s="13" t="n">
        <x:v>0.14</x:v>
      </x:c>
      <x:c r="H740" s="13" t="n">
        <x:v>0.08</x:v>
      </x:c>
      <x:c r="I740" s="13" t="n">
        <x:v>0</x:v>
      </x:c>
      <x:c r="J740" s="12" t="str">
        <x:v>intake</x:v>
      </x:c>
      <x:c r="K740" s="12" t="str">
        <x:v>none</x:v>
      </x:c>
      <x:c r="L740" s="13" t="n">
        <x:f>IF(G740&lt;=I740,0,MAX(0,L739)+IF(E740="via",MAX(0,G740-MAX(F740,I740)),0))</x:f>
        <x:v>0.14</x:v>
      </x:c>
    </x:row>
    <x:row r="741" ht="42" customHeight="1">
      <x:c r="A741" s="7" t="str">
        <x:v>DP3-B-R1</x:v>
      </x:c>
      <x:c r="B741" s="7" t="str">
        <x:v>U06</x:v>
      </x:c>
      <x:c r="C741" s="7" t="str">
        <x:v>meaning</x:v>
      </x:c>
      <x:c r="D741" s="7" t="str">
        <x:v>최초 요청 의미 채택 packet 생성</x:v>
      </x:c>
      <x:c r="E741" s="7" t="str">
        <x:v>via</x:v>
      </x:c>
      <x:c r="F741" s="14" t="n">
        <x:v>2.4</x:v>
      </x:c>
      <x:c r="G741" s="14" t="n">
        <x:v>3.5</x:v>
      </x:c>
      <x:c r="H741" s="14" t="n">
        <x:v>1.1</x:v>
      </x:c>
      <x:c r="I741" s="14" t="n">
        <x:v>0</x:v>
      </x:c>
      <x:c r="J741" s="7" t="str">
        <x:v>read, bg1</x:v>
      </x:c>
      <x:c r="K741" s="7" t="str">
        <x:v>semantic</x:v>
      </x:c>
      <x:c r="L741" s="14" t="n">
        <x:f>IF(G741&lt;=I741,0,MAX(0,L740,L737)+IF(E741="via",MAX(0,G741-MAX(F741,I741)),0))</x:f>
        <x:v>3.5</x:v>
      </x:c>
    </x:row>
    <x:row r="742" ht="42" customHeight="1">
      <x:c r="A742" s="12" t="str">
        <x:v>DP3-B-R1</x:v>
      </x:c>
      <x:c r="B742" s="12" t="str">
        <x:v>U06</x:v>
      </x:c>
      <x:c r="C742" s="12" t="str">
        <x:v>adopt</x:v>
      </x:c>
      <x:c r="D742" s="12" t="str">
        <x:v>현재 revision과 권한 검사 및 채택</x:v>
      </x:c>
      <x:c r="E742" s="12" t="str">
        <x:v>via</x:v>
      </x:c>
      <x:c r="F742" s="13" t="n">
        <x:v>3.5</x:v>
      </x:c>
      <x:c r="G742" s="13" t="n">
        <x:v>3.53</x:v>
      </x:c>
      <x:c r="H742" s="13" t="n">
        <x:v>0.03</x:v>
      </x:c>
      <x:c r="I742" s="13" t="n">
        <x:v>0</x:v>
      </x:c>
      <x:c r="J742" s="12" t="str">
        <x:v>meaning</x:v>
      </x:c>
      <x:c r="K742" s="12" t="str">
        <x:v>none</x:v>
      </x:c>
      <x:c r="L742" s="13" t="n">
        <x:f>IF(G742&lt;=I742,0,MAX(0,L741)+IF(E742="via",MAX(0,G742-MAX(F742,I742)),0))</x:f>
        <x:v>3.53</x:v>
      </x:c>
    </x:row>
    <x:row r="743" ht="42" customHeight="1">
      <x:c r="A743" s="7" t="str">
        <x:v>DP3-B-R1</x:v>
      </x:c>
      <x:c r="B743" s="7" t="str">
        <x:v>U06</x:v>
      </x:c>
      <x:c r="C743" s="7" t="str">
        <x:v>first_display</x:v>
      </x:c>
      <x:c r="D743" s="7" t="str">
        <x:v>첫 구체적 채택 내용 화면 표시</x:v>
      </x:c>
      <x:c r="E743" s="7" t="str">
        <x:v>via</x:v>
      </x:c>
      <x:c r="F743" s="14" t="n">
        <x:v>3.53</x:v>
      </x:c>
      <x:c r="G743" s="14" t="n">
        <x:v>3.57</x:v>
      </x:c>
      <x:c r="H743" s="14" t="n">
        <x:v>0.04</x:v>
      </x:c>
      <x:c r="I743" s="14" t="n">
        <x:v>0</x:v>
      </x:c>
      <x:c r="J743" s="7" t="str">
        <x:v>adopt</x:v>
      </x:c>
      <x:c r="K743" s="7" t="str">
        <x:v>none</x:v>
      </x:c>
      <x:c r="L743" s="14" t="n">
        <x:f>IF(G743&lt;=I743,0,MAX(0,L742)+IF(E743="via",MAX(0,G743-MAX(F743,I743)),0))</x:f>
        <x:v>3.57</x:v>
      </x:c>
    </x:row>
    <x:row r="744" ht="42" customHeight="1">
      <x:c r="A744" s="12" t="str">
        <x:v>DP3-B-R1</x:v>
      </x:c>
      <x:c r="B744" s="12" t="str">
        <x:v>U06</x:v>
      </x:c>
      <x:c r="C744" s="12" t="str">
        <x:v>long_work</x:v>
      </x:c>
      <x:c r="D744" s="12" t="str">
        <x:v>요청의 남은 VIA 판단</x:v>
      </x:c>
      <x:c r="E744" s="12" t="str">
        <x:v>via</x:v>
      </x:c>
      <x:c r="F744" s="13" t="n">
        <x:v>3.53</x:v>
      </x:c>
      <x:c r="G744" s="13" t="n">
        <x:v>5.13</x:v>
      </x:c>
      <x:c r="H744" s="13" t="n">
        <x:v>1.6</x:v>
      </x:c>
      <x:c r="I744" s="13" t="n">
        <x:v>0</x:v>
      </x:c>
      <x:c r="J744" s="12" t="str">
        <x:v>adopt</x:v>
      </x:c>
      <x:c r="K744" s="12" t="str">
        <x:v>semantic</x:v>
      </x:c>
      <x:c r="L744" s="13" t="n">
        <x:f>IF(G744&lt;=I744,0,MAX(0,L742)+IF(E744="via",MAX(0,G744-MAX(F744,I744)),0))</x:f>
        <x:v>5.13</x:v>
      </x:c>
    </x:row>
    <x:row r="745" ht="42" customHeight="1">
      <x:c r="A745" s="7" t="str">
        <x:v>DP3-B-R1</x:v>
      </x:c>
      <x:c r="B745" s="7" t="str">
        <x:v>U06</x:v>
      </x:c>
      <x:c r="C745" s="7" t="str">
        <x:v>result_display</x:v>
      </x:c>
      <x:c r="D745" s="7" t="str">
        <x:v>최종 설명 상세 표시</x:v>
      </x:c>
      <x:c r="E745" s="7" t="str">
        <x:v>via</x:v>
      </x:c>
      <x:c r="F745" s="14" t="n">
        <x:v>5.13</x:v>
      </x:c>
      <x:c r="G745" s="14" t="n">
        <x:v>5.17</x:v>
      </x:c>
      <x:c r="H745" s="14" t="n">
        <x:v>0.04</x:v>
      </x:c>
      <x:c r="I745" s="14" t="n">
        <x:v>0</x:v>
      </x:c>
      <x:c r="J745" s="7" t="str">
        <x:v>long_work</x:v>
      </x:c>
      <x:c r="K745" s="7" t="str">
        <x:v>none</x:v>
      </x:c>
      <x:c r="L745" s="14" t="n">
        <x:f>IF(G745&lt;=I745,0,MAX(0,L744)+IF(E745="via",MAX(0,G745-MAX(F745,I745)),0))</x:f>
        <x:v>5.17</x:v>
      </x:c>
    </x:row>
    <x:row r="746" ht="42" customHeight="1">
      <x:c r="A746" s="12" t="str">
        <x:v>DP3-B-R1</x:v>
      </x:c>
      <x:c r="B746" s="12" t="str">
        <x:v>U06</x:v>
      </x:c>
      <x:c r="C746" s="12" t="str">
        <x:v>response_audio</x:v>
      </x:c>
      <x:c r="D746" s="12" t="str">
        <x:v>선택한 응답 음성 생성</x:v>
      </x:c>
      <x:c r="E746" s="12" t="str">
        <x:v>via</x:v>
      </x:c>
      <x:c r="F746" s="13" t="n">
        <x:v>5.13</x:v>
      </x:c>
      <x:c r="G746" s="13" t="n">
        <x:v>7.018</x:v>
      </x:c>
      <x:c r="H746" s="13" t="n">
        <x:v>1.888</x:v>
      </x:c>
      <x:c r="I746" s="13" t="n">
        <x:v>0</x:v>
      </x:c>
      <x:c r="J746" s="12" t="str">
        <x:v>long_work</x:v>
      </x:c>
      <x:c r="K746" s="12" t="str">
        <x:v>speech</x:v>
      </x:c>
      <x:c r="L746" s="13" t="n">
        <x:f>IF(G746&lt;=I746,0,MAX(0,L744)+IF(E746="via",MAX(0,G746-MAX(F746,I746)),0))</x:f>
        <x:v>7.018</x:v>
      </x:c>
    </x:row>
    <x:row r="747" ht="42" customHeight="1">
      <x:c r="A747" s="7" t="str">
        <x:v>DP3-B-R1</x:v>
      </x:c>
      <x:c r="B747" s="7" t="str">
        <x:v>U06</x:v>
      </x:c>
      <x:c r="C747" s="7" t="str">
        <x:v>intent_audio</x:v>
      </x:c>
      <x:c r="D747" s="7" t="str">
        <x:v>채택한 구체적 수행 의도의 짧은 음성</x:v>
      </x:c>
      <x:c r="E747" s="7" t="str">
        <x:v>via</x:v>
      </x:c>
      <x:c r="F747" s="14" t="n">
        <x:v>3.53</x:v>
      </x:c>
      <x:c r="G747" s="14" t="n">
        <x:v>4.664</x:v>
      </x:c>
      <x:c r="H747" s="14" t="n">
        <x:v>1.134</x:v>
      </x:c>
      <x:c r="I747" s="14" t="n">
        <x:v>0</x:v>
      </x:c>
      <x:c r="J747" s="7" t="str">
        <x:v>adopt</x:v>
      </x:c>
      <x:c r="K747" s="7" t="str">
        <x:v>speech</x:v>
      </x:c>
      <x:c r="L747" s="14" t="n">
        <x:f>IF(G747&lt;=I747,0,MAX(0,L742)+IF(E747="via",MAX(0,G747-MAX(F747,I747)),0))</x:f>
        <x:v>4.664</x:v>
      </x:c>
    </x:row>
    <x:row r="748" ht="42" customHeight="1">
      <x:c r="A748" s="12" t="str">
        <x:v>DP3-B-R1</x:v>
      </x:c>
      <x:c r="B748" s="12" t="str">
        <x:v>U06</x:v>
      </x:c>
      <x:c r="C748" s="12" t="str">
        <x:v>first_chunk</x:v>
      </x:c>
      <x:c r="D748" s="12" t="str">
        <x:v>같은 생성 job의 유효 첫 chunk 관측</x:v>
      </x:c>
      <x:c r="E748" s="12" t="str">
        <x:v>via</x:v>
      </x:c>
      <x:c r="F748" s="13" t="n">
        <x:v>3.53</x:v>
      </x:c>
      <x:c r="G748" s="13" t="n">
        <x:v>3.964</x:v>
      </x:c>
      <x:c r="H748" s="13" t="n">
        <x:v>0.434</x:v>
      </x:c>
      <x:c r="I748" s="13" t="n">
        <x:v>0</x:v>
      </x:c>
      <x:c r="J748" s="12" t="str">
        <x:v>adopt</x:v>
      </x:c>
      <x:c r="K748" s="12" t="str">
        <x:v>none</x:v>
      </x:c>
      <x:c r="L748" s="13" t="n">
        <x:f>IF(G748&lt;=I748,0,MAX(0,L742)+IF(E748="via",MAX(0,G748-MAX(F748,I748)),0))</x:f>
        <x:v>3.964</x:v>
      </x:c>
    </x:row>
    <x:row r="749" ht="42" customHeight="1">
      <x:c r="A749" s="7" t="str">
        <x:v>DP3-B-R1</x:v>
      </x:c>
      <x:c r="B749" s="7" t="str">
        <x:v>U06</x:v>
      </x:c>
      <x:c r="C749" s="7" t="str">
        <x:v>first_audio_output</x:v>
      </x:c>
      <x:c r="D749" s="7" t="str">
        <x:v>공통 장치의 첫 음성 출력</x:v>
      </x:c>
      <x:c r="E749" s="7" t="str">
        <x:v>via</x:v>
      </x:c>
      <x:c r="F749" s="14" t="n">
        <x:v>3.964</x:v>
      </x:c>
      <x:c r="G749" s="14" t="n">
        <x:v>4.004</x:v>
      </x:c>
      <x:c r="H749" s="14" t="n">
        <x:v>0.04</x:v>
      </x:c>
      <x:c r="I749" s="14" t="n">
        <x:v>0</x:v>
      </x:c>
      <x:c r="J749" s="7" t="str">
        <x:v>adopt, first_chunk</x:v>
      </x:c>
      <x:c r="K749" s="7" t="str">
        <x:v>none</x:v>
      </x:c>
      <x:c r="L749" s="14" t="n">
        <x:f>IF(G749&lt;=I749,0,MAX(0,L742,L748)+IF(E749="via",MAX(0,G749-MAX(F749,I749)),0))</x:f>
        <x:v>4.004</x:v>
      </x:c>
    </x:row>
    <x:row r="750" ht="42" customHeight="1">
      <x:c r="A750" s="12" t="str">
        <x:v>DP3-B-R1</x:v>
      </x:c>
      <x:c r="B750" s="12" t="str">
        <x:v>U06</x:v>
      </x:c>
      <x:c r="C750" s="12" t="str">
        <x:v>next_speech_selection</x:v>
      </x:c>
      <x:c r="D750" s="12" t="str">
        <x:v>현재 발화 재생 후 다음 응답 선택</x:v>
      </x:c>
      <x:c r="E750" s="12" t="str">
        <x:v>external</x:v>
      </x:c>
      <x:c r="F750" s="13" t="n">
        <x:v>4.004</x:v>
      </x:c>
      <x:c r="G750" s="13" t="n">
        <x:v>7.004</x:v>
      </x:c>
      <x:c r="H750" s="13" t="n">
        <x:v>3</x:v>
      </x:c>
      <x:c r="I750" s="13" t="n">
        <x:v>0</x:v>
      </x:c>
      <x:c r="J750" s="12" t="str">
        <x:v>first_audio_output</x:v>
      </x:c>
      <x:c r="K750" s="12" t="str">
        <x:v>none</x:v>
      </x:c>
      <x:c r="L750" s="13" t="n">
        <x:f>IF(G750&lt;=I750,0,MAX(0,L749)+IF(E750="via",MAX(0,G750-MAX(F750,I750)),0))</x:f>
        <x:v>4.004</x:v>
      </x:c>
    </x:row>
    <x:row r="751" ht="42" customHeight="1">
      <x:c r="A751" s="7" t="str">
        <x:v>DP3-B-R1</x:v>
      </x:c>
      <x:c r="B751" s="7" t="str">
        <x:v>U06</x:v>
      </x:c>
      <x:c r="C751" s="7" t="str">
        <x:v>terminal</x:v>
      </x:c>
      <x:c r="D751" s="7" t="str">
        <x:v>공통 목표 최종 상태와 전체 음성 준비</x:v>
      </x:c>
      <x:c r="E751" s="7" t="str">
        <x:v>via</x:v>
      </x:c>
      <x:c r="F751" s="14" t="n">
        <x:v>7.018</x:v>
      </x:c>
      <x:c r="G751" s="14" t="n">
        <x:v>7.018</x:v>
      </x:c>
      <x:c r="H751" s="14" t="n">
        <x:v>0</x:v>
      </x:c>
      <x:c r="I751" s="14" t="n">
        <x:v>0</x:v>
      </x:c>
      <x:c r="J751" s="7" t="str">
        <x:v>result_display, response_audio, intent_audio, first_audio_output</x:v>
      </x:c>
      <x:c r="K751" s="7" t="str">
        <x:v>none</x:v>
      </x:c>
      <x:c r="L751" s="14" t="n">
        <x:f>IF(G751&lt;=I751,0,MAX(0,L745,L746,L747,L749)+IF(E751="via",MAX(0,G751-MAX(F751,I751)),0))</x:f>
        <x:v>7.018</x:v>
      </x:c>
    </x:row>
    <x:row r="752" ht="42" customHeight="1">
      <x:c r="A752" s="12" t="str">
        <x:v>DP3-B-R1</x:v>
      </x:c>
      <x:c r="B752" s="12" t="str">
        <x:v>U07</x:v>
      </x:c>
      <x:c r="C752" s="12" t="str">
        <x:v>bg1</x:v>
      </x:c>
      <x:c r="D752" s="12" t="str">
        <x:v>진행 중인 현재 대화의 의미 step</x:v>
      </x:c>
      <x:c r="E752" s="12" t="str">
        <x:v>via</x:v>
      </x:c>
      <x:c r="F752" s="13" t="n">
        <x:v>-1</x:v>
      </x:c>
      <x:c r="G752" s="13" t="n">
        <x:v>2.4</x:v>
      </x:c>
      <x:c r="H752" s="13" t="n">
        <x:v>3.4</x:v>
      </x:c>
      <x:c r="I752" s="13" t="n">
        <x:v>0</x:v>
      </x:c>
      <x:c r="J752" s="12" t="str"/>
      <x:c r="K752" s="12" t="str">
        <x:v>semantic</x:v>
      </x:c>
      <x:c r="L752" s="13" t="n">
        <x:f>IF(G752&lt;=I752,0,MAX(0)+IF(E752="via",MAX(0,G752-MAX(F752,I752)),0))</x:f>
        <x:v>2.4</x:v>
      </x:c>
    </x:row>
    <x:row r="753" ht="42" customHeight="1">
      <x:c r="A753" s="7" t="str">
        <x:v>DP3-B-R1</x:v>
      </x:c>
      <x:c r="B753" s="7" t="str">
        <x:v>U07</x:v>
      </x:c>
      <x:c r="C753" s="7" t="str">
        <x:v>bg2</x:v>
      </x:c>
      <x:c r="D753" s="7" t="str">
        <x:v>다른 대화의 의미 step</x:v>
      </x:c>
      <x:c r="E753" s="7" t="str">
        <x:v>via</x:v>
      </x:c>
      <x:c r="F753" s="14" t="n">
        <x:v>-1</x:v>
      </x:c>
      <x:c r="G753" s="14" t="n">
        <x:v>2.4</x:v>
      </x:c>
      <x:c r="H753" s="14" t="n">
        <x:v>3.4</x:v>
      </x:c>
      <x:c r="I753" s="14" t="n">
        <x:v>0</x:v>
      </x:c>
      <x:c r="J753" s="7" t="str"/>
      <x:c r="K753" s="7" t="str">
        <x:v>semantic</x:v>
      </x:c>
      <x:c r="L753" s="14" t="n">
        <x:f>IF(G753&lt;=I753,0,MAX(0)+IF(E753="via",MAX(0,G753-MAX(F753,I753)),0))</x:f>
        <x:v>2.4</x:v>
      </x:c>
    </x:row>
    <x:row r="754" ht="42" customHeight="1">
      <x:c r="A754" s="12" t="str">
        <x:v>DP3-B-R1</x:v>
      </x:c>
      <x:c r="B754" s="12" t="str">
        <x:v>U07</x:v>
      </x:c>
      <x:c r="C754" s="12" t="str">
        <x:v>input_end</x:v>
      </x:c>
      <x:c r="D754" s="12" t="str">
        <x:v>사용자 입력 종료</x:v>
      </x:c>
      <x:c r="E754" s="12" t="str">
        <x:v>external</x:v>
      </x:c>
      <x:c r="F754" s="13" t="n">
        <x:v>0</x:v>
      </x:c>
      <x:c r="G754" s="13" t="n">
        <x:v>0</x:v>
      </x:c>
      <x:c r="H754" s="13" t="n">
        <x:v>0</x:v>
      </x:c>
      <x:c r="I754" s="13" t="n">
        <x:v>0</x:v>
      </x:c>
      <x:c r="J754" s="12" t="str"/>
      <x:c r="K754" s="12" t="str">
        <x:v>none</x:v>
      </x:c>
      <x:c r="L754" s="13" t="n">
        <x:f>IF(G754&lt;=I754,0,MAX(0)+IF(E754="via",MAX(0,G754-MAX(F754,I754)),0))</x:f>
        <x:v>0</x:v>
      </x:c>
    </x:row>
    <x:row r="755" ht="42" customHeight="1">
      <x:c r="A755" s="7" t="str">
        <x:v>DP3-B-R1</x:v>
      </x:c>
      <x:c r="B755" s="7" t="str">
        <x:v>U07</x:v>
      </x:c>
      <x:c r="C755" s="7" t="str">
        <x:v>intake</x:v>
      </x:c>
      <x:c r="D755" s="7" t="str">
        <x:v>입력 확정</x:v>
      </x:c>
      <x:c r="E755" s="7" t="str">
        <x:v>via</x:v>
      </x:c>
      <x:c r="F755" s="14" t="n">
        <x:v>0</x:v>
      </x:c>
      <x:c r="G755" s="14" t="n">
        <x:v>0.3</x:v>
      </x:c>
      <x:c r="H755" s="14" t="n">
        <x:v>0.3</x:v>
      </x:c>
      <x:c r="I755" s="14" t="n">
        <x:v>0</x:v>
      </x:c>
      <x:c r="J755" s="7" t="str">
        <x:v>input_end</x:v>
      </x:c>
      <x:c r="K755" s="7" t="str">
        <x:v>none</x:v>
      </x:c>
      <x:c r="L755" s="14" t="n">
        <x:f>IF(G755&lt;=I755,0,MAX(0,L754)+IF(E755="via",MAX(0,G755-MAX(F755,I755)),0))</x:f>
        <x:v>0.3</x:v>
      </x:c>
    </x:row>
    <x:row r="756" ht="42" customHeight="1">
      <x:c r="A756" s="12" t="str">
        <x:v>DP3-B-R1</x:v>
      </x:c>
      <x:c r="B756" s="12" t="str">
        <x:v>U07</x:v>
      </x:c>
      <x:c r="C756" s="12" t="str">
        <x:v>read</x:v>
      </x:c>
      <x:c r="D756" s="12" t="str">
        <x:v>공통 허용 원본 조회</x:v>
      </x:c>
      <x:c r="E756" s="12" t="str">
        <x:v>via</x:v>
      </x:c>
      <x:c r="F756" s="13" t="n">
        <x:v>0.3</x:v>
      </x:c>
      <x:c r="G756" s="13" t="n">
        <x:v>0.38</x:v>
      </x:c>
      <x:c r="H756" s="13" t="n">
        <x:v>0.08</x:v>
      </x:c>
      <x:c r="I756" s="13" t="n">
        <x:v>0</x:v>
      </x:c>
      <x:c r="J756" s="12" t="str">
        <x:v>intake</x:v>
      </x:c>
      <x:c r="K756" s="12" t="str">
        <x:v>none</x:v>
      </x:c>
      <x:c r="L756" s="13" t="n">
        <x:f>IF(G756&lt;=I756,0,MAX(0,L755)+IF(E756="via",MAX(0,G756-MAX(F756,I756)),0))</x:f>
        <x:v>0.38</x:v>
      </x:c>
    </x:row>
    <x:row r="757" ht="42" customHeight="1">
      <x:c r="A757" s="7" t="str">
        <x:v>DP3-B-R1</x:v>
      </x:c>
      <x:c r="B757" s="7" t="str">
        <x:v>U07</x:v>
      </x:c>
      <x:c r="C757" s="7" t="str">
        <x:v>meaning</x:v>
      </x:c>
      <x:c r="D757" s="7" t="str">
        <x:v>최초 요청 의미 채택 packet 생성</x:v>
      </x:c>
      <x:c r="E757" s="7" t="str">
        <x:v>via</x:v>
      </x:c>
      <x:c r="F757" s="14" t="n">
        <x:v>2.4</x:v>
      </x:c>
      <x:c r="G757" s="14" t="n">
        <x:v>3.5</x:v>
      </x:c>
      <x:c r="H757" s="14" t="n">
        <x:v>1.1</x:v>
      </x:c>
      <x:c r="I757" s="14" t="n">
        <x:v>0</x:v>
      </x:c>
      <x:c r="J757" s="7" t="str">
        <x:v>read, bg1</x:v>
      </x:c>
      <x:c r="K757" s="7" t="str">
        <x:v>semantic</x:v>
      </x:c>
      <x:c r="L757" s="14" t="n">
        <x:f>IF(G757&lt;=I757,0,MAX(0,L756,L752)+IF(E757="via",MAX(0,G757-MAX(F757,I757)),0))</x:f>
        <x:v>3.5</x:v>
      </x:c>
    </x:row>
    <x:row r="758" ht="42" customHeight="1">
      <x:c r="A758" s="12" t="str">
        <x:v>DP3-B-R1</x:v>
      </x:c>
      <x:c r="B758" s="12" t="str">
        <x:v>U07</x:v>
      </x:c>
      <x:c r="C758" s="12" t="str">
        <x:v>adopt</x:v>
      </x:c>
      <x:c r="D758" s="12" t="str">
        <x:v>현재 revision과 권한 검사 및 채택</x:v>
      </x:c>
      <x:c r="E758" s="12" t="str">
        <x:v>via</x:v>
      </x:c>
      <x:c r="F758" s="13" t="n">
        <x:v>3.5</x:v>
      </x:c>
      <x:c r="G758" s="13" t="n">
        <x:v>3.53</x:v>
      </x:c>
      <x:c r="H758" s="13" t="n">
        <x:v>0.03</x:v>
      </x:c>
      <x:c r="I758" s="13" t="n">
        <x:v>0</x:v>
      </x:c>
      <x:c r="J758" s="12" t="str">
        <x:v>meaning</x:v>
      </x:c>
      <x:c r="K758" s="12" t="str">
        <x:v>none</x:v>
      </x:c>
      <x:c r="L758" s="13" t="n">
        <x:f>IF(G758&lt;=I758,0,MAX(0,L757)+IF(E758="via",MAX(0,G758-MAX(F758,I758)),0))</x:f>
        <x:v>3.53</x:v>
      </x:c>
    </x:row>
    <x:row r="759" ht="42" customHeight="1">
      <x:c r="A759" s="7" t="str">
        <x:v>DP3-B-R1</x:v>
      </x:c>
      <x:c r="B759" s="7" t="str">
        <x:v>U07</x:v>
      </x:c>
      <x:c r="C759" s="7" t="str">
        <x:v>first_display</x:v>
      </x:c>
      <x:c r="D759" s="7" t="str">
        <x:v>첫 구체적 채택 내용 화면 표시</x:v>
      </x:c>
      <x:c r="E759" s="7" t="str">
        <x:v>via</x:v>
      </x:c>
      <x:c r="F759" s="14" t="n">
        <x:v>3.53</x:v>
      </x:c>
      <x:c r="G759" s="14" t="n">
        <x:v>3.57</x:v>
      </x:c>
      <x:c r="H759" s="14" t="n">
        <x:v>0.04</x:v>
      </x:c>
      <x:c r="I759" s="14" t="n">
        <x:v>0</x:v>
      </x:c>
      <x:c r="J759" s="7" t="str">
        <x:v>adopt</x:v>
      </x:c>
      <x:c r="K759" s="7" t="str">
        <x:v>none</x:v>
      </x:c>
      <x:c r="L759" s="14" t="n">
        <x:f>IF(G759&lt;=I759,0,MAX(0,L758)+IF(E759="via",MAX(0,G759-MAX(F759,I759)),0))</x:f>
        <x:v>3.57</x:v>
      </x:c>
    </x:row>
    <x:row r="760" ht="42" customHeight="1">
      <x:c r="A760" s="12" t="str">
        <x:v>DP3-B-R1</x:v>
      </x:c>
      <x:c r="B760" s="12" t="str">
        <x:v>U07</x:v>
      </x:c>
      <x:c r="C760" s="12" t="str">
        <x:v>long_work</x:v>
      </x:c>
      <x:c r="D760" s="12" t="str">
        <x:v>요청의 남은 VIA 판단</x:v>
      </x:c>
      <x:c r="E760" s="12" t="str">
        <x:v>via</x:v>
      </x:c>
      <x:c r="F760" s="13" t="n">
        <x:v>3.53</x:v>
      </x:c>
      <x:c r="G760" s="13" t="n">
        <x:v>5.13</x:v>
      </x:c>
      <x:c r="H760" s="13" t="n">
        <x:v>1.6</x:v>
      </x:c>
      <x:c r="I760" s="13" t="n">
        <x:v>0</x:v>
      </x:c>
      <x:c r="J760" s="12" t="str">
        <x:v>adopt</x:v>
      </x:c>
      <x:c r="K760" s="12" t="str">
        <x:v>semantic</x:v>
      </x:c>
      <x:c r="L760" s="13" t="n">
        <x:f>IF(G760&lt;=I760,0,MAX(0,L758)+IF(E760="via",MAX(0,G760-MAX(F760,I760)),0))</x:f>
        <x:v>5.13</x:v>
      </x:c>
    </x:row>
    <x:row r="761" ht="42" customHeight="1">
      <x:c r="A761" s="7" t="str">
        <x:v>DP3-B-R1</x:v>
      </x:c>
      <x:c r="B761" s="7" t="str">
        <x:v>U07</x:v>
      </x:c>
      <x:c r="C761" s="7" t="str">
        <x:v>result_display</x:v>
      </x:c>
      <x:c r="D761" s="7" t="str">
        <x:v>최종 설명 상세 표시</x:v>
      </x:c>
      <x:c r="E761" s="7" t="str">
        <x:v>via</x:v>
      </x:c>
      <x:c r="F761" s="14" t="n">
        <x:v>5.13</x:v>
      </x:c>
      <x:c r="G761" s="14" t="n">
        <x:v>5.17</x:v>
      </x:c>
      <x:c r="H761" s="14" t="n">
        <x:v>0.04</x:v>
      </x:c>
      <x:c r="I761" s="14" t="n">
        <x:v>0</x:v>
      </x:c>
      <x:c r="J761" s="7" t="str">
        <x:v>long_work</x:v>
      </x:c>
      <x:c r="K761" s="7" t="str">
        <x:v>none</x:v>
      </x:c>
      <x:c r="L761" s="14" t="n">
        <x:f>IF(G761&lt;=I761,0,MAX(0,L760)+IF(E761="via",MAX(0,G761-MAX(F761,I761)),0))</x:f>
        <x:v>5.17</x:v>
      </x:c>
    </x:row>
    <x:row r="762" ht="42" customHeight="1">
      <x:c r="A762" s="12" t="str">
        <x:v>DP3-B-R1</x:v>
      </x:c>
      <x:c r="B762" s="12" t="str">
        <x:v>U07</x:v>
      </x:c>
      <x:c r="C762" s="12" t="str">
        <x:v>response_audio</x:v>
      </x:c>
      <x:c r="D762" s="12" t="str">
        <x:v>선택한 응답 음성 생성</x:v>
      </x:c>
      <x:c r="E762" s="12" t="str">
        <x:v>via</x:v>
      </x:c>
      <x:c r="F762" s="13" t="n">
        <x:v>5.13</x:v>
      </x:c>
      <x:c r="G762" s="13" t="n">
        <x:v>7.018</x:v>
      </x:c>
      <x:c r="H762" s="13" t="n">
        <x:v>1.888</x:v>
      </x:c>
      <x:c r="I762" s="13" t="n">
        <x:v>0</x:v>
      </x:c>
      <x:c r="J762" s="12" t="str">
        <x:v>long_work</x:v>
      </x:c>
      <x:c r="K762" s="12" t="str">
        <x:v>speech</x:v>
      </x:c>
      <x:c r="L762" s="13" t="n">
        <x:f>IF(G762&lt;=I762,0,MAX(0,L760)+IF(E762="via",MAX(0,G762-MAX(F762,I762)),0))</x:f>
        <x:v>7.018</x:v>
      </x:c>
    </x:row>
    <x:row r="763" ht="42" customHeight="1">
      <x:c r="A763" s="7" t="str">
        <x:v>DP3-B-R1</x:v>
      </x:c>
      <x:c r="B763" s="7" t="str">
        <x:v>U07</x:v>
      </x:c>
      <x:c r="C763" s="7" t="str">
        <x:v>intent_audio</x:v>
      </x:c>
      <x:c r="D763" s="7" t="str">
        <x:v>채택한 구체적 수행 의도의 짧은 음성</x:v>
      </x:c>
      <x:c r="E763" s="7" t="str">
        <x:v>via</x:v>
      </x:c>
      <x:c r="F763" s="14" t="n">
        <x:v>3.53</x:v>
      </x:c>
      <x:c r="G763" s="14" t="n">
        <x:v>4.664</x:v>
      </x:c>
      <x:c r="H763" s="14" t="n">
        <x:v>1.134</x:v>
      </x:c>
      <x:c r="I763" s="14" t="n">
        <x:v>0</x:v>
      </x:c>
      <x:c r="J763" s="7" t="str">
        <x:v>adopt</x:v>
      </x:c>
      <x:c r="K763" s="7" t="str">
        <x:v>speech</x:v>
      </x:c>
      <x:c r="L763" s="14" t="n">
        <x:f>IF(G763&lt;=I763,0,MAX(0,L758)+IF(E763="via",MAX(0,G763-MAX(F763,I763)),0))</x:f>
        <x:v>4.664</x:v>
      </x:c>
    </x:row>
    <x:row r="764" ht="42" customHeight="1">
      <x:c r="A764" s="12" t="str">
        <x:v>DP3-B-R1</x:v>
      </x:c>
      <x:c r="B764" s="12" t="str">
        <x:v>U07</x:v>
      </x:c>
      <x:c r="C764" s="12" t="str">
        <x:v>first_chunk</x:v>
      </x:c>
      <x:c r="D764" s="12" t="str">
        <x:v>같은 생성 job의 유효 첫 chunk 관측</x:v>
      </x:c>
      <x:c r="E764" s="12" t="str">
        <x:v>via</x:v>
      </x:c>
      <x:c r="F764" s="13" t="n">
        <x:v>3.53</x:v>
      </x:c>
      <x:c r="G764" s="13" t="n">
        <x:v>3.964</x:v>
      </x:c>
      <x:c r="H764" s="13" t="n">
        <x:v>0.434</x:v>
      </x:c>
      <x:c r="I764" s="13" t="n">
        <x:v>0</x:v>
      </x:c>
      <x:c r="J764" s="12" t="str">
        <x:v>adopt</x:v>
      </x:c>
      <x:c r="K764" s="12" t="str">
        <x:v>none</x:v>
      </x:c>
      <x:c r="L764" s="13" t="n">
        <x:f>IF(G764&lt;=I764,0,MAX(0,L758)+IF(E764="via",MAX(0,G764-MAX(F764,I764)),0))</x:f>
        <x:v>3.964</x:v>
      </x:c>
    </x:row>
    <x:row r="765" ht="42" customHeight="1">
      <x:c r="A765" s="7" t="str">
        <x:v>DP3-B-R1</x:v>
      </x:c>
      <x:c r="B765" s="7" t="str">
        <x:v>U07</x:v>
      </x:c>
      <x:c r="C765" s="7" t="str">
        <x:v>first_audio_output</x:v>
      </x:c>
      <x:c r="D765" s="7" t="str">
        <x:v>공통 장치의 첫 음성 출력</x:v>
      </x:c>
      <x:c r="E765" s="7" t="str">
        <x:v>via</x:v>
      </x:c>
      <x:c r="F765" s="14" t="n">
        <x:v>3.964</x:v>
      </x:c>
      <x:c r="G765" s="14" t="n">
        <x:v>4.004</x:v>
      </x:c>
      <x:c r="H765" s="14" t="n">
        <x:v>0.04</x:v>
      </x:c>
      <x:c r="I765" s="14" t="n">
        <x:v>0</x:v>
      </x:c>
      <x:c r="J765" s="7" t="str">
        <x:v>adopt, first_chunk</x:v>
      </x:c>
      <x:c r="K765" s="7" t="str">
        <x:v>none</x:v>
      </x:c>
      <x:c r="L765" s="14" t="n">
        <x:f>IF(G765&lt;=I765,0,MAX(0,L758,L764)+IF(E765="via",MAX(0,G765-MAX(F765,I765)),0))</x:f>
        <x:v>4.004</x:v>
      </x:c>
    </x:row>
    <x:row r="766" ht="42" customHeight="1">
      <x:c r="A766" s="12" t="str">
        <x:v>DP3-B-R1</x:v>
      </x:c>
      <x:c r="B766" s="12" t="str">
        <x:v>U07</x:v>
      </x:c>
      <x:c r="C766" s="12" t="str">
        <x:v>next_speech_selection</x:v>
      </x:c>
      <x:c r="D766" s="12" t="str">
        <x:v>현재 발화 재생 후 다음 응답 선택</x:v>
      </x:c>
      <x:c r="E766" s="12" t="str">
        <x:v>external</x:v>
      </x:c>
      <x:c r="F766" s="13" t="n">
        <x:v>4.004</x:v>
      </x:c>
      <x:c r="G766" s="13" t="n">
        <x:v>7.004</x:v>
      </x:c>
      <x:c r="H766" s="13" t="n">
        <x:v>3</x:v>
      </x:c>
      <x:c r="I766" s="13" t="n">
        <x:v>0</x:v>
      </x:c>
      <x:c r="J766" s="12" t="str">
        <x:v>first_audio_output</x:v>
      </x:c>
      <x:c r="K766" s="12" t="str">
        <x:v>none</x:v>
      </x:c>
      <x:c r="L766" s="13" t="n">
        <x:f>IF(G766&lt;=I766,0,MAX(0,L765)+IF(E766="via",MAX(0,G766-MAX(F766,I766)),0))</x:f>
        <x:v>4.004</x:v>
      </x:c>
    </x:row>
    <x:row r="767" ht="42" customHeight="1">
      <x:c r="A767" s="7" t="str">
        <x:v>DP3-B-R1</x:v>
      </x:c>
      <x:c r="B767" s="7" t="str">
        <x:v>U07</x:v>
      </x:c>
      <x:c r="C767" s="7" t="str">
        <x:v>terminal</x:v>
      </x:c>
      <x:c r="D767" s="7" t="str">
        <x:v>공통 목표 최종 상태와 전체 음성 준비</x:v>
      </x:c>
      <x:c r="E767" s="7" t="str">
        <x:v>via</x:v>
      </x:c>
      <x:c r="F767" s="14" t="n">
        <x:v>7.018</x:v>
      </x:c>
      <x:c r="G767" s="14" t="n">
        <x:v>7.018</x:v>
      </x:c>
      <x:c r="H767" s="14" t="n">
        <x:v>0</x:v>
      </x:c>
      <x:c r="I767" s="14" t="n">
        <x:v>0</x:v>
      </x:c>
      <x:c r="J767" s="7" t="str">
        <x:v>result_display, response_audio, intent_audio, first_audio_output</x:v>
      </x:c>
      <x:c r="K767" s="7" t="str">
        <x:v>none</x:v>
      </x:c>
      <x:c r="L767" s="14" t="n">
        <x:f>IF(G767&lt;=I767,0,MAX(0,L761,L762,L763,L765)+IF(E767="via",MAX(0,G767-MAX(F767,I767)),0))</x:f>
        <x:v>7.018</x:v>
      </x:c>
    </x:row>
    <x:row r="768" ht="42" customHeight="1">
      <x:c r="A768" s="12" t="str">
        <x:v>DP3-B-R1</x:v>
      </x:c>
      <x:c r="B768" s="12" t="str">
        <x:v>U08</x:v>
      </x:c>
      <x:c r="C768" s="12" t="str">
        <x:v>bg1</x:v>
      </x:c>
      <x:c r="D768" s="12" t="str">
        <x:v>진행 중인 현재 대화의 의미 step</x:v>
      </x:c>
      <x:c r="E768" s="12" t="str">
        <x:v>via</x:v>
      </x:c>
      <x:c r="F768" s="13" t="n">
        <x:v>-1</x:v>
      </x:c>
      <x:c r="G768" s="13" t="n">
        <x:v>2.4</x:v>
      </x:c>
      <x:c r="H768" s="13" t="n">
        <x:v>3.4</x:v>
      </x:c>
      <x:c r="I768" s="13" t="n">
        <x:v>-6</x:v>
      </x:c>
      <x:c r="J768" s="12" t="str">
        <x:v>original_work</x:v>
      </x:c>
      <x:c r="K768" s="12" t="str">
        <x:v>semantic</x:v>
      </x:c>
      <x:c r="L768" s="13" t="n">
        <x:f>IF(G768&lt;=I768,0,MAX(0,L769)+IF(E768="via",MAX(0,G768-MAX(F768,I768)),0))</x:f>
        <x:v>5.4</x:v>
      </x:c>
    </x:row>
    <x:row r="769" ht="42" customHeight="1">
      <x:c r="A769" s="7" t="str">
        <x:v>DP3-B-R1</x:v>
      </x:c>
      <x:c r="B769" s="7" t="str">
        <x:v>U08</x:v>
      </x:c>
      <x:c r="C769" s="7" t="str">
        <x:v>original_work</x:v>
      </x:c>
      <x:c r="D769" s="7" t="str">
        <x:v>원래 목표의 최초 VIA 처리</x:v>
      </x:c>
      <x:c r="E769" s="7" t="str">
        <x:v>via</x:v>
      </x:c>
      <x:c r="F769" s="14" t="n">
        <x:v>-6</x:v>
      </x:c>
      <x:c r="G769" s="14" t="n">
        <x:v>-4</x:v>
      </x:c>
      <x:c r="H769" s="14" t="n">
        <x:v>2</x:v>
      </x:c>
      <x:c r="I769" s="14" t="n">
        <x:v>-6</x:v>
      </x:c>
      <x:c r="J769" s="7" t="str"/>
      <x:c r="K769" s="7" t="str">
        <x:v>none</x:v>
      </x:c>
      <x:c r="L769" s="14" t="n">
        <x:f>IF(G769&lt;=I769,0,MAX(0)+IF(E769="via",MAX(0,G769-MAX(F769,I769)),0))</x:f>
        <x:v>2</x:v>
      </x:c>
    </x:row>
    <x:row r="770" ht="42" customHeight="1">
      <x:c r="A770" s="12" t="str">
        <x:v>DP3-B-R1</x:v>
      </x:c>
      <x:c r="B770" s="12" t="str">
        <x:v>U08</x:v>
      </x:c>
      <x:c r="C770" s="12" t="str">
        <x:v>input_end</x:v>
      </x:c>
      <x:c r="D770" s="12" t="str">
        <x:v>사용자 입력 종료</x:v>
      </x:c>
      <x:c r="E770" s="12" t="str">
        <x:v>external</x:v>
      </x:c>
      <x:c r="F770" s="13" t="n">
        <x:v>0</x:v>
      </x:c>
      <x:c r="G770" s="13" t="n">
        <x:v>0</x:v>
      </x:c>
      <x:c r="H770" s="13" t="n">
        <x:v>0</x:v>
      </x:c>
      <x:c r="I770" s="13" t="n">
        <x:v>-6</x:v>
      </x:c>
      <x:c r="J770" s="12" t="str">
        <x:v>original_work</x:v>
      </x:c>
      <x:c r="K770" s="12" t="str">
        <x:v>none</x:v>
      </x:c>
      <x:c r="L770" s="13" t="n">
        <x:f>IF(G770&lt;=I770,0,MAX(0,L769)+IF(E770="via",MAX(0,G770-MAX(F770,I770)),0))</x:f>
        <x:v>2</x:v>
      </x:c>
    </x:row>
    <x:row r="771" ht="42" customHeight="1">
      <x:c r="A771" s="7" t="str">
        <x:v>DP3-B-R1</x:v>
      </x:c>
      <x:c r="B771" s="7" t="str">
        <x:v>U08</x:v>
      </x:c>
      <x:c r="C771" s="7" t="str">
        <x:v>intake</x:v>
      </x:c>
      <x:c r="D771" s="7" t="str">
        <x:v>입력 확정</x:v>
      </x:c>
      <x:c r="E771" s="7" t="str">
        <x:v>via</x:v>
      </x:c>
      <x:c r="F771" s="14" t="n">
        <x:v>0</x:v>
      </x:c>
      <x:c r="G771" s="14" t="n">
        <x:v>0.06</x:v>
      </x:c>
      <x:c r="H771" s="14" t="n">
        <x:v>0.06</x:v>
      </x:c>
      <x:c r="I771" s="14" t="n">
        <x:v>-6</x:v>
      </x:c>
      <x:c r="J771" s="7" t="str">
        <x:v>input_end</x:v>
      </x:c>
      <x:c r="K771" s="7" t="str">
        <x:v>none</x:v>
      </x:c>
      <x:c r="L771" s="14" t="n">
        <x:f>IF(G771&lt;=I771,0,MAX(0,L770)+IF(E771="via",MAX(0,G771-MAX(F771,I771)),0))</x:f>
        <x:v>2.06</x:v>
      </x:c>
    </x:row>
    <x:row r="772" ht="42" customHeight="1">
      <x:c r="A772" s="12" t="str">
        <x:v>DP3-B-R1</x:v>
      </x:c>
      <x:c r="B772" s="12" t="str">
        <x:v>U08</x:v>
      </x:c>
      <x:c r="C772" s="12" t="str">
        <x:v>read</x:v>
      </x:c>
      <x:c r="D772" s="12" t="str">
        <x:v>공통 허용 원본 조회</x:v>
      </x:c>
      <x:c r="E772" s="12" t="str">
        <x:v>via</x:v>
      </x:c>
      <x:c r="F772" s="13" t="n">
        <x:v>0.06</x:v>
      </x:c>
      <x:c r="G772" s="13" t="n">
        <x:v>0.14</x:v>
      </x:c>
      <x:c r="H772" s="13" t="n">
        <x:v>0.08</x:v>
      </x:c>
      <x:c r="I772" s="13" t="n">
        <x:v>-6</x:v>
      </x:c>
      <x:c r="J772" s="12" t="str">
        <x:v>intake</x:v>
      </x:c>
      <x:c r="K772" s="12" t="str">
        <x:v>none</x:v>
      </x:c>
      <x:c r="L772" s="13" t="n">
        <x:f>IF(G772&lt;=I772,0,MAX(0,L771)+IF(E772="via",MAX(0,G772-MAX(F772,I772)),0))</x:f>
        <x:v>2.14</x:v>
      </x:c>
    </x:row>
    <x:row r="773" ht="42" customHeight="1">
      <x:c r="A773" s="7" t="str">
        <x:v>DP3-B-R1</x:v>
      </x:c>
      <x:c r="B773" s="7" t="str">
        <x:v>U08</x:v>
      </x:c>
      <x:c r="C773" s="7" t="str">
        <x:v>meaning</x:v>
      </x:c>
      <x:c r="D773" s="7" t="str">
        <x:v>최초 요청 의미 채택 packet 생성</x:v>
      </x:c>
      <x:c r="E773" s="7" t="str">
        <x:v>via</x:v>
      </x:c>
      <x:c r="F773" s="14" t="n">
        <x:v>2.4</x:v>
      </x:c>
      <x:c r="G773" s="14" t="n">
        <x:v>3.5</x:v>
      </x:c>
      <x:c r="H773" s="14" t="n">
        <x:v>1.1</x:v>
      </x:c>
      <x:c r="I773" s="14" t="n">
        <x:v>-6</x:v>
      </x:c>
      <x:c r="J773" s="7" t="str">
        <x:v>read, bg1</x:v>
      </x:c>
      <x:c r="K773" s="7" t="str">
        <x:v>semantic</x:v>
      </x:c>
      <x:c r="L773" s="14" t="n">
        <x:f>IF(G773&lt;=I773,0,MAX(0,L772,L768)+IF(E773="via",MAX(0,G773-MAX(F773,I773)),0))</x:f>
        <x:v>6.5</x:v>
      </x:c>
    </x:row>
    <x:row r="774" ht="42" customHeight="1">
      <x:c r="A774" s="12" t="str">
        <x:v>DP3-B-R1</x:v>
      </x:c>
      <x:c r="B774" s="12" t="str">
        <x:v>U08</x:v>
      </x:c>
      <x:c r="C774" s="12" t="str">
        <x:v>adopt</x:v>
      </x:c>
      <x:c r="D774" s="12" t="str">
        <x:v>현재 revision과 권한 검사 및 채택</x:v>
      </x:c>
      <x:c r="E774" s="12" t="str">
        <x:v>via</x:v>
      </x:c>
      <x:c r="F774" s="13" t="n">
        <x:v>3.5</x:v>
      </x:c>
      <x:c r="G774" s="13" t="n">
        <x:v>3.53</x:v>
      </x:c>
      <x:c r="H774" s="13" t="n">
        <x:v>0.03</x:v>
      </x:c>
      <x:c r="I774" s="13" t="n">
        <x:v>-6</x:v>
      </x:c>
      <x:c r="J774" s="12" t="str">
        <x:v>meaning</x:v>
      </x:c>
      <x:c r="K774" s="12" t="str">
        <x:v>none</x:v>
      </x:c>
      <x:c r="L774" s="13" t="n">
        <x:f>IF(G774&lt;=I774,0,MAX(0,L773)+IF(E774="via",MAX(0,G774-MAX(F774,I774)),0))</x:f>
        <x:v>6.529999999999999</x:v>
      </x:c>
    </x:row>
    <x:row r="775" ht="42" customHeight="1">
      <x:c r="A775" s="7" t="str">
        <x:v>DP3-B-R1</x:v>
      </x:c>
      <x:c r="B775" s="7" t="str">
        <x:v>U08</x:v>
      </x:c>
      <x:c r="C775" s="7" t="str">
        <x:v>first_display</x:v>
      </x:c>
      <x:c r="D775" s="7" t="str">
        <x:v>첫 구체적 채택 내용 화면 표시</x:v>
      </x:c>
      <x:c r="E775" s="7" t="str">
        <x:v>via</x:v>
      </x:c>
      <x:c r="F775" s="14" t="n">
        <x:v>3.53</x:v>
      </x:c>
      <x:c r="G775" s="14" t="n">
        <x:v>3.57</x:v>
      </x:c>
      <x:c r="H775" s="14" t="n">
        <x:v>0.04</x:v>
      </x:c>
      <x:c r="I775" s="14" t="n">
        <x:v>-6</x:v>
      </x:c>
      <x:c r="J775" s="7" t="str">
        <x:v>adopt</x:v>
      </x:c>
      <x:c r="K775" s="7" t="str">
        <x:v>none</x:v>
      </x:c>
      <x:c r="L775" s="14" t="n">
        <x:f>IF(G775&lt;=I775,0,MAX(0,L774)+IF(E775="via",MAX(0,G775-MAX(F775,I775)),0))</x:f>
        <x:v>6.569999999999999</x:v>
      </x:c>
    </x:row>
    <x:row r="776" ht="42" customHeight="1">
      <x:c r="A776" s="12" t="str">
        <x:v>DP3-B-R1</x:v>
      </x:c>
      <x:c r="B776" s="12" t="str">
        <x:v>U08</x:v>
      </x:c>
      <x:c r="C776" s="12" t="str">
        <x:v>long_work</x:v>
      </x:c>
      <x:c r="D776" s="12" t="str">
        <x:v>요청의 남은 VIA 판단</x:v>
      </x:c>
      <x:c r="E776" s="12" t="str">
        <x:v>via</x:v>
      </x:c>
      <x:c r="F776" s="13" t="n">
        <x:v>3.53</x:v>
      </x:c>
      <x:c r="G776" s="13" t="n">
        <x:v>5.13</x:v>
      </x:c>
      <x:c r="H776" s="13" t="n">
        <x:v>1.6</x:v>
      </x:c>
      <x:c r="I776" s="13" t="n">
        <x:v>-6</x:v>
      </x:c>
      <x:c r="J776" s="12" t="str">
        <x:v>adopt</x:v>
      </x:c>
      <x:c r="K776" s="12" t="str">
        <x:v>semantic</x:v>
      </x:c>
      <x:c r="L776" s="13" t="n">
        <x:f>IF(G776&lt;=I776,0,MAX(0,L774)+IF(E776="via",MAX(0,G776-MAX(F776,I776)),0))</x:f>
        <x:v>8.129999999999999</x:v>
      </x:c>
    </x:row>
    <x:row r="777" ht="42" customHeight="1">
      <x:c r="A777" s="7" t="str">
        <x:v>DP3-B-R1</x:v>
      </x:c>
      <x:c r="B777" s="7" t="str">
        <x:v>U08</x:v>
      </x:c>
      <x:c r="C777" s="7" t="str">
        <x:v>result_display</x:v>
      </x:c>
      <x:c r="D777" s="7" t="str">
        <x:v>최종 설명 상세 표시</x:v>
      </x:c>
      <x:c r="E777" s="7" t="str">
        <x:v>via</x:v>
      </x:c>
      <x:c r="F777" s="14" t="n">
        <x:v>5.13</x:v>
      </x:c>
      <x:c r="G777" s="14" t="n">
        <x:v>5.17</x:v>
      </x:c>
      <x:c r="H777" s="14" t="n">
        <x:v>0.04</x:v>
      </x:c>
      <x:c r="I777" s="14" t="n">
        <x:v>-6</x:v>
      </x:c>
      <x:c r="J777" s="7" t="str">
        <x:v>long_work</x:v>
      </x:c>
      <x:c r="K777" s="7" t="str">
        <x:v>none</x:v>
      </x:c>
      <x:c r="L777" s="14" t="n">
        <x:f>IF(G777&lt;=I777,0,MAX(0,L776)+IF(E777="via",MAX(0,G777-MAX(F777,I777)),0))</x:f>
        <x:v>8.169999999999998</x:v>
      </x:c>
    </x:row>
    <x:row r="778" ht="42" customHeight="1">
      <x:c r="A778" s="12" t="str">
        <x:v>DP3-B-R1</x:v>
      </x:c>
      <x:c r="B778" s="12" t="str">
        <x:v>U08</x:v>
      </x:c>
      <x:c r="C778" s="12" t="str">
        <x:v>response_audio</x:v>
      </x:c>
      <x:c r="D778" s="12" t="str">
        <x:v>선택한 응답 음성 생성</x:v>
      </x:c>
      <x:c r="E778" s="12" t="str">
        <x:v>via</x:v>
      </x:c>
      <x:c r="F778" s="13" t="n">
        <x:v>5.13</x:v>
      </x:c>
      <x:c r="G778" s="13" t="n">
        <x:v>7.018</x:v>
      </x:c>
      <x:c r="H778" s="13" t="n">
        <x:v>1.888</x:v>
      </x:c>
      <x:c r="I778" s="13" t="n">
        <x:v>-6</x:v>
      </x:c>
      <x:c r="J778" s="12" t="str">
        <x:v>long_work</x:v>
      </x:c>
      <x:c r="K778" s="12" t="str">
        <x:v>speech</x:v>
      </x:c>
      <x:c r="L778" s="13" t="n">
        <x:f>IF(G778&lt;=I778,0,MAX(0,L776)+IF(E778="via",MAX(0,G778-MAX(F778,I778)),0))</x:f>
        <x:v>10.017999999999999</x:v>
      </x:c>
    </x:row>
    <x:row r="779" ht="42" customHeight="1">
      <x:c r="A779" s="7" t="str">
        <x:v>DP3-B-R1</x:v>
      </x:c>
      <x:c r="B779" s="7" t="str">
        <x:v>U08</x:v>
      </x:c>
      <x:c r="C779" s="7" t="str">
        <x:v>intent_audio</x:v>
      </x:c>
      <x:c r="D779" s="7" t="str">
        <x:v>채택한 구체적 수행 의도의 짧은 음성</x:v>
      </x:c>
      <x:c r="E779" s="7" t="str">
        <x:v>via</x:v>
      </x:c>
      <x:c r="F779" s="14" t="n">
        <x:v>3.53</x:v>
      </x:c>
      <x:c r="G779" s="14" t="n">
        <x:v>4.664</x:v>
      </x:c>
      <x:c r="H779" s="14" t="n">
        <x:v>1.134</x:v>
      </x:c>
      <x:c r="I779" s="14" t="n">
        <x:v>-6</x:v>
      </x:c>
      <x:c r="J779" s="7" t="str">
        <x:v>adopt</x:v>
      </x:c>
      <x:c r="K779" s="7" t="str">
        <x:v>speech</x:v>
      </x:c>
      <x:c r="L779" s="14" t="n">
        <x:f>IF(G779&lt;=I779,0,MAX(0,L774)+IF(E779="via",MAX(0,G779-MAX(F779,I779)),0))</x:f>
        <x:v>7.664</x:v>
      </x:c>
    </x:row>
    <x:row r="780" ht="42" customHeight="1">
      <x:c r="A780" s="12" t="str">
        <x:v>DP3-B-R1</x:v>
      </x:c>
      <x:c r="B780" s="12" t="str">
        <x:v>U08</x:v>
      </x:c>
      <x:c r="C780" s="12" t="str">
        <x:v>first_chunk</x:v>
      </x:c>
      <x:c r="D780" s="12" t="str">
        <x:v>같은 생성 job의 유효 첫 chunk 관측</x:v>
      </x:c>
      <x:c r="E780" s="12" t="str">
        <x:v>via</x:v>
      </x:c>
      <x:c r="F780" s="13" t="n">
        <x:v>3.53</x:v>
      </x:c>
      <x:c r="G780" s="13" t="n">
        <x:v>3.964</x:v>
      </x:c>
      <x:c r="H780" s="13" t="n">
        <x:v>0.434</x:v>
      </x:c>
      <x:c r="I780" s="13" t="n">
        <x:v>-6</x:v>
      </x:c>
      <x:c r="J780" s="12" t="str">
        <x:v>adopt</x:v>
      </x:c>
      <x:c r="K780" s="12" t="str">
        <x:v>none</x:v>
      </x:c>
      <x:c r="L780" s="13" t="n">
        <x:f>IF(G780&lt;=I780,0,MAX(0,L774)+IF(E780="via",MAX(0,G780-MAX(F780,I780)),0))</x:f>
        <x:v>6.9639999999999995</x:v>
      </x:c>
    </x:row>
    <x:row r="781" ht="42" customHeight="1">
      <x:c r="A781" s="7" t="str">
        <x:v>DP3-B-R1</x:v>
      </x:c>
      <x:c r="B781" s="7" t="str">
        <x:v>U08</x:v>
      </x:c>
      <x:c r="C781" s="7" t="str">
        <x:v>first_audio_output</x:v>
      </x:c>
      <x:c r="D781" s="7" t="str">
        <x:v>공통 장치의 첫 음성 출력</x:v>
      </x:c>
      <x:c r="E781" s="7" t="str">
        <x:v>via</x:v>
      </x:c>
      <x:c r="F781" s="14" t="n">
        <x:v>3.964</x:v>
      </x:c>
      <x:c r="G781" s="14" t="n">
        <x:v>4.004</x:v>
      </x:c>
      <x:c r="H781" s="14" t="n">
        <x:v>0.04</x:v>
      </x:c>
      <x:c r="I781" s="14" t="n">
        <x:v>-6</x:v>
      </x:c>
      <x:c r="J781" s="7" t="str">
        <x:v>adopt, first_chunk</x:v>
      </x:c>
      <x:c r="K781" s="7" t="str">
        <x:v>none</x:v>
      </x:c>
      <x:c r="L781" s="14" t="n">
        <x:f>IF(G781&lt;=I781,0,MAX(0,L774,L780)+IF(E781="via",MAX(0,G781-MAX(F781,I781)),0))</x:f>
        <x:v>7.004</x:v>
      </x:c>
    </x:row>
    <x:row r="782" ht="42" customHeight="1">
      <x:c r="A782" s="12" t="str">
        <x:v>DP3-B-R1</x:v>
      </x:c>
      <x:c r="B782" s="12" t="str">
        <x:v>U08</x:v>
      </x:c>
      <x:c r="C782" s="12" t="str">
        <x:v>next_speech_selection</x:v>
      </x:c>
      <x:c r="D782" s="12" t="str">
        <x:v>현재 발화 재생 후 다음 응답 선택</x:v>
      </x:c>
      <x:c r="E782" s="12" t="str">
        <x:v>external</x:v>
      </x:c>
      <x:c r="F782" s="13" t="n">
        <x:v>4.004</x:v>
      </x:c>
      <x:c r="G782" s="13" t="n">
        <x:v>7.004</x:v>
      </x:c>
      <x:c r="H782" s="13" t="n">
        <x:v>3</x:v>
      </x:c>
      <x:c r="I782" s="13" t="n">
        <x:v>-6</x:v>
      </x:c>
      <x:c r="J782" s="12" t="str">
        <x:v>first_audio_output</x:v>
      </x:c>
      <x:c r="K782" s="12" t="str">
        <x:v>none</x:v>
      </x:c>
      <x:c r="L782" s="13" t="n">
        <x:f>IF(G782&lt;=I782,0,MAX(0,L781)+IF(E782="via",MAX(0,G782-MAX(F782,I782)),0))</x:f>
        <x:v>7.004</x:v>
      </x:c>
    </x:row>
    <x:row r="783" ht="42" customHeight="1">
      <x:c r="A783" s="7" t="str">
        <x:v>DP3-B-R1</x:v>
      </x:c>
      <x:c r="B783" s="7" t="str">
        <x:v>U08</x:v>
      </x:c>
      <x:c r="C783" s="7" t="str">
        <x:v>terminal</x:v>
      </x:c>
      <x:c r="D783" s="7" t="str">
        <x:v>공통 목표 최종 상태와 전체 음성 준비</x:v>
      </x:c>
      <x:c r="E783" s="7" t="str">
        <x:v>via</x:v>
      </x:c>
      <x:c r="F783" s="14" t="n">
        <x:v>7.018</x:v>
      </x:c>
      <x:c r="G783" s="14" t="n">
        <x:v>7.018</x:v>
      </x:c>
      <x:c r="H783" s="14" t="n">
        <x:v>0</x:v>
      </x:c>
      <x:c r="I783" s="14" t="n">
        <x:v>-6</x:v>
      </x:c>
      <x:c r="J783" s="7" t="str">
        <x:v>result_display, response_audio, intent_audio, first_audio_output</x:v>
      </x:c>
      <x:c r="K783" s="7" t="str">
        <x:v>none</x:v>
      </x:c>
      <x:c r="L783" s="14" t="n">
        <x:f>IF(G783&lt;=I783,0,MAX(0,L777,L778,L779,L781)+IF(E783="via",MAX(0,G783-MAX(F783,I783)),0))</x:f>
        <x:v>10.017999999999999</x:v>
      </x:c>
    </x:row>
    <x:row r="784" ht="42" customHeight="1">
      <x:c r="A784" s="12" t="str">
        <x:v>DP3-B-R1</x:v>
      </x:c>
      <x:c r="B784" s="12" t="str">
        <x:v>U09</x:v>
      </x:c>
      <x:c r="C784" s="12" t="str">
        <x:v>input_end</x:v>
      </x:c>
      <x:c r="D784" s="12" t="str">
        <x:v>사용자 입력 종료</x:v>
      </x:c>
      <x:c r="E784" s="12" t="str">
        <x:v>external</x:v>
      </x:c>
      <x:c r="F784" s="13" t="n">
        <x:v>0</x:v>
      </x:c>
      <x:c r="G784" s="13" t="n">
        <x:v>0</x:v>
      </x:c>
      <x:c r="H784" s="13" t="n">
        <x:v>0</x:v>
      </x:c>
      <x:c r="I784" s="13" t="n">
        <x:v>0</x:v>
      </x:c>
      <x:c r="J784" s="12" t="str"/>
      <x:c r="K784" s="12" t="str">
        <x:v>none</x:v>
      </x:c>
      <x:c r="L784" s="13" t="n">
        <x:f>IF(G784&lt;=I784,0,MAX(0)+IF(E784="via",MAX(0,G784-MAX(F784,I784)),0))</x:f>
        <x:v>0</x:v>
      </x:c>
    </x:row>
    <x:row r="785" ht="42" customHeight="1">
      <x:c r="A785" s="7" t="str">
        <x:v>DP3-B-R1</x:v>
      </x:c>
      <x:c r="B785" s="7" t="str">
        <x:v>U09</x:v>
      </x:c>
      <x:c r="C785" s="7" t="str">
        <x:v>intake</x:v>
      </x:c>
      <x:c r="D785" s="7" t="str">
        <x:v>입력 확정</x:v>
      </x:c>
      <x:c r="E785" s="7" t="str">
        <x:v>via</x:v>
      </x:c>
      <x:c r="F785" s="14" t="n">
        <x:v>0</x:v>
      </x:c>
      <x:c r="G785" s="14" t="n">
        <x:v>0.3</x:v>
      </x:c>
      <x:c r="H785" s="14" t="n">
        <x:v>0.3</x:v>
      </x:c>
      <x:c r="I785" s="14" t="n">
        <x:v>0</x:v>
      </x:c>
      <x:c r="J785" s="7" t="str">
        <x:v>input_end</x:v>
      </x:c>
      <x:c r="K785" s="7" t="str">
        <x:v>none</x:v>
      </x:c>
      <x:c r="L785" s="14" t="n">
        <x:f>IF(G785&lt;=I785,0,MAX(0,L784)+IF(E785="via",MAX(0,G785-MAX(F785,I785)),0))</x:f>
        <x:v>0.3</x:v>
      </x:c>
    </x:row>
    <x:row r="786" ht="42" customHeight="1">
      <x:c r="A786" s="12" t="str">
        <x:v>DP3-B-R1</x:v>
      </x:c>
      <x:c r="B786" s="12" t="str">
        <x:v>U09</x:v>
      </x:c>
      <x:c r="C786" s="12" t="str">
        <x:v>read</x:v>
      </x:c>
      <x:c r="D786" s="12" t="str">
        <x:v>공통 허용 원본 조회</x:v>
      </x:c>
      <x:c r="E786" s="12" t="str">
        <x:v>via</x:v>
      </x:c>
      <x:c r="F786" s="13" t="n">
        <x:v>0.3</x:v>
      </x:c>
      <x:c r="G786" s="13" t="n">
        <x:v>0.38</x:v>
      </x:c>
      <x:c r="H786" s="13" t="n">
        <x:v>0.08</x:v>
      </x:c>
      <x:c r="I786" s="13" t="n">
        <x:v>0</x:v>
      </x:c>
      <x:c r="J786" s="12" t="str">
        <x:v>intake</x:v>
      </x:c>
      <x:c r="K786" s="12" t="str">
        <x:v>none</x:v>
      </x:c>
      <x:c r="L786" s="13" t="n">
        <x:f>IF(G786&lt;=I786,0,MAX(0,L785)+IF(E786="via",MAX(0,G786-MAX(F786,I786)),0))</x:f>
        <x:v>0.38</x:v>
      </x:c>
    </x:row>
    <x:row r="787" ht="42" customHeight="1">
      <x:c r="A787" s="7" t="str">
        <x:v>DP3-B-R1</x:v>
      </x:c>
      <x:c r="B787" s="7" t="str">
        <x:v>U09</x:v>
      </x:c>
      <x:c r="C787" s="7" t="str">
        <x:v>native_selection</x:v>
      </x:c>
      <x:c r="D787" s="7" t="str">
        <x:v>Native 선택 사실 조회</x:v>
      </x:c>
      <x:c r="E787" s="7" t="str">
        <x:v>via</x:v>
      </x:c>
      <x:c r="F787" s="14" t="n">
        <x:v>0.38</x:v>
      </x:c>
      <x:c r="G787" s="14" t="n">
        <x:v>0.46</x:v>
      </x:c>
      <x:c r="H787" s="14" t="n">
        <x:v>0.08</x:v>
      </x:c>
      <x:c r="I787" s="14" t="n">
        <x:v>0</x:v>
      </x:c>
      <x:c r="J787" s="7" t="str">
        <x:v>read</x:v>
      </x:c>
      <x:c r="K787" s="7" t="str">
        <x:v>none</x:v>
      </x:c>
      <x:c r="L787" s="14" t="n">
        <x:f>IF(G787&lt;=I787,0,MAX(0,L786)+IF(E787="via",MAX(0,G787-MAX(F787,I787)),0))</x:f>
        <x:v>0.46</x:v>
      </x:c>
    </x:row>
    <x:row r="788" ht="42" customHeight="1">
      <x:c r="A788" s="12" t="str">
        <x:v>DP3-B-R1</x:v>
      </x:c>
      <x:c r="B788" s="12" t="str">
        <x:v>U09</x:v>
      </x:c>
      <x:c r="C788" s="12" t="str">
        <x:v>meaning</x:v>
      </x:c>
      <x:c r="D788" s="12" t="str">
        <x:v>최초 요청 의미 채택 packet 생성</x:v>
      </x:c>
      <x:c r="E788" s="12" t="str">
        <x:v>via</x:v>
      </x:c>
      <x:c r="F788" s="13" t="n">
        <x:v>0.46</x:v>
      </x:c>
      <x:c r="G788" s="13" t="n">
        <x:v>1.56</x:v>
      </x:c>
      <x:c r="H788" s="13" t="n">
        <x:v>1.1</x:v>
      </x:c>
      <x:c r="I788" s="13" t="n">
        <x:v>0</x:v>
      </x:c>
      <x:c r="J788" s="12" t="str">
        <x:v>native_selection</x:v>
      </x:c>
      <x:c r="K788" s="12" t="str">
        <x:v>semantic</x:v>
      </x:c>
      <x:c r="L788" s="13" t="n">
        <x:f>IF(G788&lt;=I788,0,MAX(0,L787)+IF(E788="via",MAX(0,G788-MAX(F788,I788)),0))</x:f>
        <x:v>1.56</x:v>
      </x:c>
    </x:row>
    <x:row r="789" ht="42" customHeight="1">
      <x:c r="A789" s="7" t="str">
        <x:v>DP3-B-R1</x:v>
      </x:c>
      <x:c r="B789" s="7" t="str">
        <x:v>U09</x:v>
      </x:c>
      <x:c r="C789" s="7" t="str">
        <x:v>adopt</x:v>
      </x:c>
      <x:c r="D789" s="7" t="str">
        <x:v>현재 revision과 권한 검사 및 채택</x:v>
      </x:c>
      <x:c r="E789" s="7" t="str">
        <x:v>via</x:v>
      </x:c>
      <x:c r="F789" s="14" t="n">
        <x:v>1.56</x:v>
      </x:c>
      <x:c r="G789" s="14" t="n">
        <x:v>1.59</x:v>
      </x:c>
      <x:c r="H789" s="14" t="n">
        <x:v>0.03</x:v>
      </x:c>
      <x:c r="I789" s="14" t="n">
        <x:v>0</x:v>
      </x:c>
      <x:c r="J789" s="7" t="str">
        <x:v>meaning</x:v>
      </x:c>
      <x:c r="K789" s="7" t="str">
        <x:v>none</x:v>
      </x:c>
      <x:c r="L789" s="14" t="n">
        <x:f>IF(G789&lt;=I789,0,MAX(0,L788)+IF(E789="via",MAX(0,G789-MAX(F789,I789)),0))</x:f>
        <x:v>1.59</x:v>
      </x:c>
    </x:row>
    <x:row r="790" ht="42" customHeight="1">
      <x:c r="A790" s="12" t="str">
        <x:v>DP3-B-R1</x:v>
      </x:c>
      <x:c r="B790" s="12" t="str">
        <x:v>U09</x:v>
      </x:c>
      <x:c r="C790" s="12" t="str">
        <x:v>first_display</x:v>
      </x:c>
      <x:c r="D790" s="12" t="str">
        <x:v>첫 구체적 채택 내용 화면 표시</x:v>
      </x:c>
      <x:c r="E790" s="12" t="str">
        <x:v>via</x:v>
      </x:c>
      <x:c r="F790" s="13" t="n">
        <x:v>1.59</x:v>
      </x:c>
      <x:c r="G790" s="13" t="n">
        <x:v>1.6300000000000001</x:v>
      </x:c>
      <x:c r="H790" s="13" t="n">
        <x:v>0.04</x:v>
      </x:c>
      <x:c r="I790" s="13" t="n">
        <x:v>0</x:v>
      </x:c>
      <x:c r="J790" s="12" t="str">
        <x:v>adopt</x:v>
      </x:c>
      <x:c r="K790" s="12" t="str">
        <x:v>none</x:v>
      </x:c>
      <x:c r="L790" s="13" t="n">
        <x:f>IF(G790&lt;=I790,0,MAX(0,L789)+IF(E790="via",MAX(0,G790-MAX(F790,I790)),0))</x:f>
        <x:v>1.6300000000000001</x:v>
      </x:c>
    </x:row>
    <x:row r="791" ht="42" customHeight="1">
      <x:c r="A791" s="7" t="str">
        <x:v>DP3-B-R1</x:v>
      </x:c>
      <x:c r="B791" s="7" t="str">
        <x:v>U09</x:v>
      </x:c>
      <x:c r="C791" s="7" t="str">
        <x:v>agent_ingress</x:v>
      </x:c>
      <x:c r="D791" s="7" t="str">
        <x:v>Agent 요청 전송</x:v>
      </x:c>
      <x:c r="E791" s="7" t="str">
        <x:v>via</x:v>
      </x:c>
      <x:c r="F791" s="14" t="n">
        <x:v>1.59</x:v>
      </x:c>
      <x:c r="G791" s="14" t="n">
        <x:v>1.6300000000000001</x:v>
      </x:c>
      <x:c r="H791" s="14" t="n">
        <x:v>0.04</x:v>
      </x:c>
      <x:c r="I791" s="14" t="n">
        <x:v>0</x:v>
      </x:c>
      <x:c r="J791" s="7" t="str">
        <x:v>adopt</x:v>
      </x:c>
      <x:c r="K791" s="7" t="str">
        <x:v>none</x:v>
      </x:c>
      <x:c r="L791" s="14" t="n">
        <x:f>IF(G791&lt;=I791,0,MAX(0,L789)+IF(E791="via",MAX(0,G791-MAX(F791,I791)),0))</x:f>
        <x:v>1.6300000000000001</x:v>
      </x:c>
    </x:row>
    <x:row r="792" ht="42" customHeight="1">
      <x:c r="A792" s="12" t="str">
        <x:v>DP3-B-R1</x:v>
      </x:c>
      <x:c r="B792" s="12" t="str">
        <x:v>U09</x:v>
      </x:c>
      <x:c r="C792" s="12" t="str">
        <x:v>agent_result</x:v>
      </x:c>
      <x:c r="D792" s="12" t="str">
        <x:v>외부 Agent 업무</x:v>
      </x:c>
      <x:c r="E792" s="12" t="str">
        <x:v>external</x:v>
      </x:c>
      <x:c r="F792" s="13" t="n">
        <x:v>1.6300000000000001</x:v>
      </x:c>
      <x:c r="G792" s="13" t="n">
        <x:v>9.63</x:v>
      </x:c>
      <x:c r="H792" s="13" t="n">
        <x:v>8</x:v>
      </x:c>
      <x:c r="I792" s="13" t="n">
        <x:v>0</x:v>
      </x:c>
      <x:c r="J792" s="12" t="str">
        <x:v>agent_ingress</x:v>
      </x:c>
      <x:c r="K792" s="12" t="str">
        <x:v>none</x:v>
      </x:c>
      <x:c r="L792" s="13" t="n">
        <x:f>IF(G792&lt;=I792,0,MAX(0,L791)+IF(E792="via",MAX(0,G792-MAX(F792,I792)),0))</x:f>
        <x:v>1.6300000000000001</x:v>
      </x:c>
    </x:row>
    <x:row r="793" ht="42" customHeight="1">
      <x:c r="A793" s="7" t="str">
        <x:v>DP3-B-R1</x:v>
      </x:c>
      <x:c r="B793" s="7" t="str">
        <x:v>U09</x:v>
      </x:c>
      <x:c r="C793" s="7" t="str">
        <x:v>result_display</x:v>
      </x:c>
      <x:c r="D793" s="7" t="str">
        <x:v>최종 결과 상세 표시</x:v>
      </x:c>
      <x:c r="E793" s="7" t="str">
        <x:v>via</x:v>
      </x:c>
      <x:c r="F793" s="14" t="n">
        <x:v>9.63</x:v>
      </x:c>
      <x:c r="G793" s="14" t="n">
        <x:v>9.67</x:v>
      </x:c>
      <x:c r="H793" s="14" t="n">
        <x:v>0.04</x:v>
      </x:c>
      <x:c r="I793" s="14" t="n">
        <x:v>0</x:v>
      </x:c>
      <x:c r="J793" s="7" t="str">
        <x:v>agent_result</x:v>
      </x:c>
      <x:c r="K793" s="7" t="str">
        <x:v>none</x:v>
      </x:c>
      <x:c r="L793" s="14" t="n">
        <x:f>IF(G793&lt;=I793,0,MAX(0,L792)+IF(E793="via",MAX(0,G793-MAX(F793,I793)),0))</x:f>
        <x:v>1.6699999999999993</x:v>
      </x:c>
    </x:row>
    <x:row r="794" ht="42" customHeight="1">
      <x:c r="A794" s="12" t="str">
        <x:v>DP3-B-R1</x:v>
      </x:c>
      <x:c r="B794" s="12" t="str">
        <x:v>U09</x:v>
      </x:c>
      <x:c r="C794" s="12" t="str">
        <x:v>response_audio</x:v>
      </x:c>
      <x:c r="D794" s="12" t="str">
        <x:v>선택한 응답 음성 생성</x:v>
      </x:c>
      <x:c r="E794" s="12" t="str">
        <x:v>via</x:v>
      </x:c>
      <x:c r="F794" s="13" t="n">
        <x:v>9.63</x:v>
      </x:c>
      <x:c r="G794" s="13" t="n">
        <x:v>11.518</x:v>
      </x:c>
      <x:c r="H794" s="13" t="n">
        <x:v>1.888</x:v>
      </x:c>
      <x:c r="I794" s="13" t="n">
        <x:v>0</x:v>
      </x:c>
      <x:c r="J794" s="12" t="str">
        <x:v>agent_result</x:v>
      </x:c>
      <x:c r="K794" s="12" t="str">
        <x:v>speech</x:v>
      </x:c>
      <x:c r="L794" s="13" t="n">
        <x:f>IF(G794&lt;=I794,0,MAX(0,L792)+IF(E794="via",MAX(0,G794-MAX(F794,I794)),0))</x:f>
        <x:v>3.518</x:v>
      </x:c>
    </x:row>
    <x:row r="795" ht="42" customHeight="1">
      <x:c r="A795" s="7" t="str">
        <x:v>DP3-B-R1</x:v>
      </x:c>
      <x:c r="B795" s="7" t="str">
        <x:v>U09</x:v>
      </x:c>
      <x:c r="C795" s="7" t="str">
        <x:v>intent_audio</x:v>
      </x:c>
      <x:c r="D795" s="7" t="str">
        <x:v>채택한 구체적 수행 의도의 짧은 음성</x:v>
      </x:c>
      <x:c r="E795" s="7" t="str">
        <x:v>via</x:v>
      </x:c>
      <x:c r="F795" s="14" t="n">
        <x:v>1.59</x:v>
      </x:c>
      <x:c r="G795" s="14" t="n">
        <x:v>2.724</x:v>
      </x:c>
      <x:c r="H795" s="14" t="n">
        <x:v>1.134</x:v>
      </x:c>
      <x:c r="I795" s="14" t="n">
        <x:v>0</x:v>
      </x:c>
      <x:c r="J795" s="7" t="str">
        <x:v>adopt</x:v>
      </x:c>
      <x:c r="K795" s="7" t="str">
        <x:v>speech</x:v>
      </x:c>
      <x:c r="L795" s="14" t="n">
        <x:f>IF(G795&lt;=I795,0,MAX(0,L789)+IF(E795="via",MAX(0,G795-MAX(F795,I795)),0))</x:f>
        <x:v>2.724</x:v>
      </x:c>
    </x:row>
    <x:row r="796" ht="42" customHeight="1">
      <x:c r="A796" s="12" t="str">
        <x:v>DP3-B-R1</x:v>
      </x:c>
      <x:c r="B796" s="12" t="str">
        <x:v>U09</x:v>
      </x:c>
      <x:c r="C796" s="12" t="str">
        <x:v>first_chunk</x:v>
      </x:c>
      <x:c r="D796" s="12" t="str">
        <x:v>같은 생성 job의 유효 첫 chunk 관측</x:v>
      </x:c>
      <x:c r="E796" s="12" t="str">
        <x:v>via</x:v>
      </x:c>
      <x:c r="F796" s="13" t="n">
        <x:v>1.59</x:v>
      </x:c>
      <x:c r="G796" s="13" t="n">
        <x:v>2.024</x:v>
      </x:c>
      <x:c r="H796" s="13" t="n">
        <x:v>0.434</x:v>
      </x:c>
      <x:c r="I796" s="13" t="n">
        <x:v>0</x:v>
      </x:c>
      <x:c r="J796" s="12" t="str">
        <x:v>adopt</x:v>
      </x:c>
      <x:c r="K796" s="12" t="str">
        <x:v>none</x:v>
      </x:c>
      <x:c r="L796" s="13" t="n">
        <x:f>IF(G796&lt;=I796,0,MAX(0,L789)+IF(E796="via",MAX(0,G796-MAX(F796,I796)),0))</x:f>
        <x:v>2.024</x:v>
      </x:c>
    </x:row>
    <x:row r="797" ht="42" customHeight="1">
      <x:c r="A797" s="7" t="str">
        <x:v>DP3-B-R1</x:v>
      </x:c>
      <x:c r="B797" s="7" t="str">
        <x:v>U09</x:v>
      </x:c>
      <x:c r="C797" s="7" t="str">
        <x:v>first_audio_output</x:v>
      </x:c>
      <x:c r="D797" s="7" t="str">
        <x:v>공통 장치의 첫 음성 출력</x:v>
      </x:c>
      <x:c r="E797" s="7" t="str">
        <x:v>via</x:v>
      </x:c>
      <x:c r="F797" s="14" t="n">
        <x:v>2.024</x:v>
      </x:c>
      <x:c r="G797" s="14" t="n">
        <x:v>2.064</x:v>
      </x:c>
      <x:c r="H797" s="14" t="n">
        <x:v>0.04</x:v>
      </x:c>
      <x:c r="I797" s="14" t="n">
        <x:v>0</x:v>
      </x:c>
      <x:c r="J797" s="7" t="str">
        <x:v>adopt, first_chunk</x:v>
      </x:c>
      <x:c r="K797" s="7" t="str">
        <x:v>none</x:v>
      </x:c>
      <x:c r="L797" s="14" t="n">
        <x:f>IF(G797&lt;=I797,0,MAX(0,L789,L796)+IF(E797="via",MAX(0,G797-MAX(F797,I797)),0))</x:f>
        <x:v>2.064</x:v>
      </x:c>
    </x:row>
    <x:row r="798" ht="42" customHeight="1">
      <x:c r="A798" s="12" t="str">
        <x:v>DP3-B-R1</x:v>
      </x:c>
      <x:c r="B798" s="12" t="str">
        <x:v>U09</x:v>
      </x:c>
      <x:c r="C798" s="12" t="str">
        <x:v>next_speech_selection</x:v>
      </x:c>
      <x:c r="D798" s="12" t="str">
        <x:v>현재 발화 재생 후 다음 응답 선택</x:v>
      </x:c>
      <x:c r="E798" s="12" t="str">
        <x:v>external</x:v>
      </x:c>
      <x:c r="F798" s="13" t="n">
        <x:v>2.064</x:v>
      </x:c>
      <x:c r="G798" s="13" t="n">
        <x:v>5.064</x:v>
      </x:c>
      <x:c r="H798" s="13" t="n">
        <x:v>3</x:v>
      </x:c>
      <x:c r="I798" s="13" t="n">
        <x:v>0</x:v>
      </x:c>
      <x:c r="J798" s="12" t="str">
        <x:v>first_audio_output</x:v>
      </x:c>
      <x:c r="K798" s="12" t="str">
        <x:v>none</x:v>
      </x:c>
      <x:c r="L798" s="13" t="n">
        <x:f>IF(G798&lt;=I798,0,MAX(0,L797)+IF(E798="via",MAX(0,G798-MAX(F798,I798)),0))</x:f>
        <x:v>2.064</x:v>
      </x:c>
    </x:row>
    <x:row r="799" ht="42" customHeight="1">
      <x:c r="A799" s="7" t="str">
        <x:v>DP3-B-R1</x:v>
      </x:c>
      <x:c r="B799" s="7" t="str">
        <x:v>U09</x:v>
      </x:c>
      <x:c r="C799" s="7" t="str">
        <x:v>terminal</x:v>
      </x:c>
      <x:c r="D799" s="7" t="str">
        <x:v>공통 목표 최종 상태와 전체 음성 준비</x:v>
      </x:c>
      <x:c r="E799" s="7" t="str">
        <x:v>via</x:v>
      </x:c>
      <x:c r="F799" s="14" t="n">
        <x:v>11.518</x:v>
      </x:c>
      <x:c r="G799" s="14" t="n">
        <x:v>11.518</x:v>
      </x:c>
      <x:c r="H799" s="14" t="n">
        <x:v>0</x:v>
      </x:c>
      <x:c r="I799" s="14" t="n">
        <x:v>0</x:v>
      </x:c>
      <x:c r="J799" s="7" t="str">
        <x:v>result_display, response_audio, intent_audio, first_audio_output</x:v>
      </x:c>
      <x:c r="K799" s="7" t="str">
        <x:v>none</x:v>
      </x:c>
      <x:c r="L799" s="14" t="n">
        <x:f>IF(G799&lt;=I799,0,MAX(0,L793,L794,L795,L797)+IF(E799="via",MAX(0,G799-MAX(F799,I799)),0))</x:f>
        <x:v>3.518</x:v>
      </x:c>
    </x:row>
    <x:row r="800" ht="42" customHeight="1">
      <x:c r="A800" s="12" t="str">
        <x:v>DP3-B-R1</x:v>
      </x:c>
      <x:c r="B800" s="12" t="str">
        <x:v>U10</x:v>
      </x:c>
      <x:c r="C800" s="12" t="str">
        <x:v>input_end</x:v>
      </x:c>
      <x:c r="D800" s="12" t="str">
        <x:v>사용자 입력 종료</x:v>
      </x:c>
      <x:c r="E800" s="12" t="str">
        <x:v>external</x:v>
      </x:c>
      <x:c r="F800" s="13" t="n">
        <x:v>0</x:v>
      </x:c>
      <x:c r="G800" s="13" t="n">
        <x:v>0</x:v>
      </x:c>
      <x:c r="H800" s="13" t="n">
        <x:v>0</x:v>
      </x:c>
      <x:c r="I800" s="13" t="n">
        <x:v>0</x:v>
      </x:c>
      <x:c r="J800" s="12" t="str"/>
      <x:c r="K800" s="12" t="str">
        <x:v>none</x:v>
      </x:c>
      <x:c r="L800" s="13" t="n">
        <x:f>IF(G800&lt;=I800,0,MAX(0)+IF(E800="via",MAX(0,G800-MAX(F800,I800)),0))</x:f>
        <x:v>0</x:v>
      </x:c>
    </x:row>
    <x:row r="801" ht="42" customHeight="1">
      <x:c r="A801" s="7" t="str">
        <x:v>DP3-B-R1</x:v>
      </x:c>
      <x:c r="B801" s="7" t="str">
        <x:v>U10</x:v>
      </x:c>
      <x:c r="C801" s="7" t="str">
        <x:v>intake</x:v>
      </x:c>
      <x:c r="D801" s="7" t="str">
        <x:v>입력 확정</x:v>
      </x:c>
      <x:c r="E801" s="7" t="str">
        <x:v>via</x:v>
      </x:c>
      <x:c r="F801" s="14" t="n">
        <x:v>0</x:v>
      </x:c>
      <x:c r="G801" s="14" t="n">
        <x:v>0.3</x:v>
      </x:c>
      <x:c r="H801" s="14" t="n">
        <x:v>0.3</x:v>
      </x:c>
      <x:c r="I801" s="14" t="n">
        <x:v>0</x:v>
      </x:c>
      <x:c r="J801" s="7" t="str">
        <x:v>input_end</x:v>
      </x:c>
      <x:c r="K801" s="7" t="str">
        <x:v>none</x:v>
      </x:c>
      <x:c r="L801" s="14" t="n">
        <x:f>IF(G801&lt;=I801,0,MAX(0,L800)+IF(E801="via",MAX(0,G801-MAX(F801,I801)),0))</x:f>
        <x:v>0.3</x:v>
      </x:c>
    </x:row>
    <x:row r="802" ht="42" customHeight="1">
      <x:c r="A802" s="12" t="str">
        <x:v>DP3-B-R1</x:v>
      </x:c>
      <x:c r="B802" s="12" t="str">
        <x:v>U10</x:v>
      </x:c>
      <x:c r="C802" s="12" t="str">
        <x:v>read</x:v>
      </x:c>
      <x:c r="D802" s="12" t="str">
        <x:v>공통 허용 원본 조회</x:v>
      </x:c>
      <x:c r="E802" s="12" t="str">
        <x:v>via</x:v>
      </x:c>
      <x:c r="F802" s="13" t="n">
        <x:v>0.3</x:v>
      </x:c>
      <x:c r="G802" s="13" t="n">
        <x:v>0.38</x:v>
      </x:c>
      <x:c r="H802" s="13" t="n">
        <x:v>0.08</x:v>
      </x:c>
      <x:c r="I802" s="13" t="n">
        <x:v>0</x:v>
      </x:c>
      <x:c r="J802" s="12" t="str">
        <x:v>intake</x:v>
      </x:c>
      <x:c r="K802" s="12" t="str">
        <x:v>none</x:v>
      </x:c>
      <x:c r="L802" s="13" t="n">
        <x:f>IF(G802&lt;=I802,0,MAX(0,L801)+IF(E802="via",MAX(0,G802-MAX(F802,I802)),0))</x:f>
        <x:v>0.38</x:v>
      </x:c>
    </x:row>
    <x:row r="803" ht="42" customHeight="1">
      <x:c r="A803" s="7" t="str">
        <x:v>DP3-B-R1</x:v>
      </x:c>
      <x:c r="B803" s="7" t="str">
        <x:v>U10</x:v>
      </x:c>
      <x:c r="C803" s="7" t="str">
        <x:v>now_ui_boot</x:v>
      </x:c>
      <x:c r="D803" s="7" t="str">
        <x:v>ui runtime 시작</x:v>
      </x:c>
      <x:c r="E803" s="7" t="str">
        <x:v>via</x:v>
      </x:c>
      <x:c r="F803" s="14" t="n">
        <x:v>0.38</x:v>
      </x:c>
      <x:c r="G803" s="14" t="n">
        <x:v>1.58</x:v>
      </x:c>
      <x:c r="H803" s="14" t="n">
        <x:v>1.2</x:v>
      </x:c>
      <x:c r="I803" s="14" t="n">
        <x:v>0</x:v>
      </x:c>
      <x:c r="J803" s="7" t="str">
        <x:v>read</x:v>
      </x:c>
      <x:c r="K803" s="7" t="str">
        <x:v>visual</x:v>
      </x:c>
      <x:c r="L803" s="14" t="n">
        <x:f>IF(G803&lt;=I803,0,MAX(0,L802)+IF(E803="via",MAX(0,G803-MAX(F803,I803)),0))</x:f>
        <x:v>1.58</x:v>
      </x:c>
    </x:row>
    <x:row r="804" ht="42" customHeight="1">
      <x:c r="A804" s="12" t="str">
        <x:v>DP3-B-R1</x:v>
      </x:c>
      <x:c r="B804" s="12" t="str">
        <x:v>U10</x:v>
      </x:c>
      <x:c r="C804" s="12" t="str">
        <x:v>now_ui_load</x:v>
      </x:c>
      <x:c r="D804" s="12" t="str">
        <x:v>ui 모델 적재</x:v>
      </x:c>
      <x:c r="E804" s="12" t="str">
        <x:v>via</x:v>
      </x:c>
      <x:c r="F804" s="13" t="n">
        <x:v>1.58</x:v>
      </x:c>
      <x:c r="G804" s="13" t="n">
        <x:v>2.68</x:v>
      </x:c>
      <x:c r="H804" s="13" t="n">
        <x:v>1.1</x:v>
      </x:c>
      <x:c r="I804" s="13" t="n">
        <x:v>0</x:v>
      </x:c>
      <x:c r="J804" s="12" t="str">
        <x:v>read, now_ui_boot</x:v>
      </x:c>
      <x:c r="K804" s="12" t="str">
        <x:v>visual</x:v>
      </x:c>
      <x:c r="L804" s="13" t="n">
        <x:f>IF(G804&lt;=I804,0,MAX(0,L802,L803)+IF(E804="via",MAX(0,G804-MAX(F804,I804)),0))</x:f>
        <x:v>2.68</x:v>
      </x:c>
    </x:row>
    <x:row r="805" ht="42" customHeight="1">
      <x:c r="A805" s="7" t="str">
        <x:v>DP3-B-R1</x:v>
      </x:c>
      <x:c r="B805" s="7" t="str">
        <x:v>U10</x:v>
      </x:c>
      <x:c r="C805" s="7" t="str">
        <x:v>now_ui_infer</x:v>
      </x:c>
      <x:c r="D805" s="7" t="str">
        <x:v>ui 후보 생산</x:v>
      </x:c>
      <x:c r="E805" s="7" t="str">
        <x:v>via</x:v>
      </x:c>
      <x:c r="F805" s="14" t="n">
        <x:v>2.68</x:v>
      </x:c>
      <x:c r="G805" s="14" t="n">
        <x:v>4.28</x:v>
      </x:c>
      <x:c r="H805" s="14" t="n">
        <x:v>1.6</x:v>
      </x:c>
      <x:c r="I805" s="14" t="n">
        <x:v>0</x:v>
      </x:c>
      <x:c r="J805" s="7" t="str">
        <x:v>now_ui_load</x:v>
      </x:c>
      <x:c r="K805" s="7" t="str">
        <x:v>visual</x:v>
      </x:c>
      <x:c r="L805" s="14" t="n">
        <x:f>IF(G805&lt;=I805,0,MAX(0,L804)+IF(E805="via",MAX(0,G805-MAX(F805,I805)),0))</x:f>
        <x:v>4.28</x:v>
      </x:c>
    </x:row>
    <x:row r="806" ht="42" customHeight="1">
      <x:c r="A806" s="12" t="str">
        <x:v>DP3-B-R1</x:v>
      </x:c>
      <x:c r="B806" s="12" t="str">
        <x:v>U10</x:v>
      </x:c>
      <x:c r="C806" s="12" t="str">
        <x:v>now_ui_release</x:v>
      </x:c>
      <x:c r="D806" s="12" t="str">
        <x:v>ui 가중치 회수</x:v>
      </x:c>
      <x:c r="E806" s="12" t="str">
        <x:v>via</x:v>
      </x:c>
      <x:c r="F806" s="13" t="n">
        <x:v>4.28</x:v>
      </x:c>
      <x:c r="G806" s="13" t="n">
        <x:v>4.430000000000001</x:v>
      </x:c>
      <x:c r="H806" s="13" t="n">
        <x:v>0.15</x:v>
      </x:c>
      <x:c r="I806" s="13" t="n">
        <x:v>0</x:v>
      </x:c>
      <x:c r="J806" s="12" t="str">
        <x:v>now_ui_infer</x:v>
      </x:c>
      <x:c r="K806" s="12" t="str">
        <x:v>visual</x:v>
      </x:c>
      <x:c r="L806" s="13" t="n">
        <x:f>IF(G806&lt;=I806,0,MAX(0,L805)+IF(E806="via",MAX(0,G806-MAX(F806,I806)),0))</x:f>
        <x:v>4.430000000000001</x:v>
      </x:c>
    </x:row>
    <x:row r="807" ht="42" customHeight="1">
      <x:c r="A807" s="7" t="str">
        <x:v>DP3-B-R1</x:v>
      </x:c>
      <x:c r="B807" s="7" t="str">
        <x:v>U10</x:v>
      </x:c>
      <x:c r="C807" s="7" t="str">
        <x:v>meaning</x:v>
      </x:c>
      <x:c r="D807" s="7" t="str">
        <x:v>최초 요청 의미 채택 packet 생성</x:v>
      </x:c>
      <x:c r="E807" s="7" t="str">
        <x:v>via</x:v>
      </x:c>
      <x:c r="F807" s="14" t="n">
        <x:v>4.430000000000001</x:v>
      </x:c>
      <x:c r="G807" s="14" t="n">
        <x:v>5.616666666666667</x:v>
      </x:c>
      <x:c r="H807" s="14" t="n">
        <x:v>1.1866666666666668</x:v>
      </x:c>
      <x:c r="I807" s="14" t="n">
        <x:v>0</x:v>
      </x:c>
      <x:c r="J807" s="7" t="str">
        <x:v>now_ui_release</x:v>
      </x:c>
      <x:c r="K807" s="7" t="str">
        <x:v>semantic</x:v>
      </x:c>
      <x:c r="L807" s="14" t="n">
        <x:f>IF(G807&lt;=I807,0,MAX(0,L806)+IF(E807="via",MAX(0,G807-MAX(F807,I807)),0))</x:f>
        <x:v>5.616666666666667</x:v>
      </x:c>
    </x:row>
    <x:row r="808" ht="42" customHeight="1">
      <x:c r="A808" s="12" t="str">
        <x:v>DP3-B-R1</x:v>
      </x:c>
      <x:c r="B808" s="12" t="str">
        <x:v>U10</x:v>
      </x:c>
      <x:c r="C808" s="12" t="str">
        <x:v>adopt</x:v>
      </x:c>
      <x:c r="D808" s="12" t="str">
        <x:v>현재 revision과 권한 검사 및 채택</x:v>
      </x:c>
      <x:c r="E808" s="12" t="str">
        <x:v>via</x:v>
      </x:c>
      <x:c r="F808" s="13" t="n">
        <x:v>5.616666666666667</x:v>
      </x:c>
      <x:c r="G808" s="13" t="n">
        <x:v>5.646666666666667</x:v>
      </x:c>
      <x:c r="H808" s="13" t="n">
        <x:v>0.03</x:v>
      </x:c>
      <x:c r="I808" s="13" t="n">
        <x:v>0</x:v>
      </x:c>
      <x:c r="J808" s="12" t="str">
        <x:v>meaning</x:v>
      </x:c>
      <x:c r="K808" s="12" t="str">
        <x:v>none</x:v>
      </x:c>
      <x:c r="L808" s="13" t="n">
        <x:f>IF(G808&lt;=I808,0,MAX(0,L807)+IF(E808="via",MAX(0,G808-MAX(F808,I808)),0))</x:f>
        <x:v>5.646666666666667</x:v>
      </x:c>
    </x:row>
    <x:row r="809" ht="42" customHeight="1">
      <x:c r="A809" s="7" t="str">
        <x:v>DP3-B-R1</x:v>
      </x:c>
      <x:c r="B809" s="7" t="str">
        <x:v>U10</x:v>
      </x:c>
      <x:c r="C809" s="7" t="str">
        <x:v>first_display</x:v>
      </x:c>
      <x:c r="D809" s="7" t="str">
        <x:v>첫 구체적 채택 내용 화면 표시</x:v>
      </x:c>
      <x:c r="E809" s="7" t="str">
        <x:v>via</x:v>
      </x:c>
      <x:c r="F809" s="14" t="n">
        <x:v>5.646666666666667</x:v>
      </x:c>
      <x:c r="G809" s="14" t="n">
        <x:v>5.686666666666667</x:v>
      </x:c>
      <x:c r="H809" s="14" t="n">
        <x:v>0.04</x:v>
      </x:c>
      <x:c r="I809" s="14" t="n">
        <x:v>0</x:v>
      </x:c>
      <x:c r="J809" s="7" t="str">
        <x:v>adopt</x:v>
      </x:c>
      <x:c r="K809" s="7" t="str">
        <x:v>none</x:v>
      </x:c>
      <x:c r="L809" s="14" t="n">
        <x:f>IF(G809&lt;=I809,0,MAX(0,L808)+IF(E809="via",MAX(0,G809-MAX(F809,I809)),0))</x:f>
        <x:v>5.686666666666667</x:v>
      </x:c>
    </x:row>
    <x:row r="810" ht="42" customHeight="1">
      <x:c r="A810" s="12" t="str">
        <x:v>DP3-B-R1</x:v>
      </x:c>
      <x:c r="B810" s="12" t="str">
        <x:v>U10</x:v>
      </x:c>
      <x:c r="C810" s="12" t="str">
        <x:v>agent_ingress</x:v>
      </x:c>
      <x:c r="D810" s="12" t="str">
        <x:v>Agent 요청 전송</x:v>
      </x:c>
      <x:c r="E810" s="12" t="str">
        <x:v>via</x:v>
      </x:c>
      <x:c r="F810" s="13" t="n">
        <x:v>5.646666666666667</x:v>
      </x:c>
      <x:c r="G810" s="13" t="n">
        <x:v>5.686666666666667</x:v>
      </x:c>
      <x:c r="H810" s="13" t="n">
        <x:v>0.04</x:v>
      </x:c>
      <x:c r="I810" s="13" t="n">
        <x:v>0</x:v>
      </x:c>
      <x:c r="J810" s="12" t="str">
        <x:v>adopt</x:v>
      </x:c>
      <x:c r="K810" s="12" t="str">
        <x:v>none</x:v>
      </x:c>
      <x:c r="L810" s="13" t="n">
        <x:f>IF(G810&lt;=I810,0,MAX(0,L808)+IF(E810="via",MAX(0,G810-MAX(F810,I810)),0))</x:f>
        <x:v>5.686666666666667</x:v>
      </x:c>
    </x:row>
    <x:row r="811" ht="42" customHeight="1">
      <x:c r="A811" s="7" t="str">
        <x:v>DP3-B-R1</x:v>
      </x:c>
      <x:c r="B811" s="7" t="str">
        <x:v>U10</x:v>
      </x:c>
      <x:c r="C811" s="7" t="str">
        <x:v>agent_result</x:v>
      </x:c>
      <x:c r="D811" s="7" t="str">
        <x:v>외부 Agent 업무</x:v>
      </x:c>
      <x:c r="E811" s="7" t="str">
        <x:v>external</x:v>
      </x:c>
      <x:c r="F811" s="14" t="n">
        <x:v>5.686666666666667</x:v>
      </x:c>
      <x:c r="G811" s="14" t="n">
        <x:v>13.686666666666667</x:v>
      </x:c>
      <x:c r="H811" s="14" t="n">
        <x:v>8</x:v>
      </x:c>
      <x:c r="I811" s="14" t="n">
        <x:v>0</x:v>
      </x:c>
      <x:c r="J811" s="7" t="str">
        <x:v>agent_ingress</x:v>
      </x:c>
      <x:c r="K811" s="7" t="str">
        <x:v>none</x:v>
      </x:c>
      <x:c r="L811" s="14" t="n">
        <x:f>IF(G811&lt;=I811,0,MAX(0,L810)+IF(E811="via",MAX(0,G811-MAX(F811,I811)),0))</x:f>
        <x:v>5.686666666666667</x:v>
      </x:c>
    </x:row>
    <x:row r="812" ht="42" customHeight="1">
      <x:c r="A812" s="12" t="str">
        <x:v>DP3-B-R1</x:v>
      </x:c>
      <x:c r="B812" s="12" t="str">
        <x:v>U10</x:v>
      </x:c>
      <x:c r="C812" s="12" t="str">
        <x:v>result_display</x:v>
      </x:c>
      <x:c r="D812" s="12" t="str">
        <x:v>최종 결과 상세 표시</x:v>
      </x:c>
      <x:c r="E812" s="12" t="str">
        <x:v>via</x:v>
      </x:c>
      <x:c r="F812" s="13" t="n">
        <x:v>13.686666666666667</x:v>
      </x:c>
      <x:c r="G812" s="13" t="n">
        <x:v>13.726666666666667</x:v>
      </x:c>
      <x:c r="H812" s="13" t="n">
        <x:v>0.04</x:v>
      </x:c>
      <x:c r="I812" s="13" t="n">
        <x:v>0</x:v>
      </x:c>
      <x:c r="J812" s="12" t="str">
        <x:v>agent_result</x:v>
      </x:c>
      <x:c r="K812" s="12" t="str">
        <x:v>none</x:v>
      </x:c>
      <x:c r="L812" s="13" t="n">
        <x:f>IF(G812&lt;=I812,0,MAX(0,L811)+IF(E812="via",MAX(0,G812-MAX(F812,I812)),0))</x:f>
        <x:v>5.726666666666667</x:v>
      </x:c>
    </x:row>
    <x:row r="813" ht="42" customHeight="1">
      <x:c r="A813" s="7" t="str">
        <x:v>DP3-B-R1</x:v>
      </x:c>
      <x:c r="B813" s="7" t="str">
        <x:v>U10</x:v>
      </x:c>
      <x:c r="C813" s="7" t="str">
        <x:v>response_audio</x:v>
      </x:c>
      <x:c r="D813" s="7" t="str">
        <x:v>선택한 응답 음성 생성</x:v>
      </x:c>
      <x:c r="E813" s="7" t="str">
        <x:v>via</x:v>
      </x:c>
      <x:c r="F813" s="14" t="n">
        <x:v>13.686666666666667</x:v>
      </x:c>
      <x:c r="G813" s="14" t="n">
        <x:v>15.574666666666667</x:v>
      </x:c>
      <x:c r="H813" s="14" t="n">
        <x:v>1.888</x:v>
      </x:c>
      <x:c r="I813" s="14" t="n">
        <x:v>0</x:v>
      </x:c>
      <x:c r="J813" s="7" t="str">
        <x:v>agent_result</x:v>
      </x:c>
      <x:c r="K813" s="7" t="str">
        <x:v>speech</x:v>
      </x:c>
      <x:c r="L813" s="14" t="n">
        <x:f>IF(G813&lt;=I813,0,MAX(0,L811)+IF(E813="via",MAX(0,G813-MAX(F813,I813)),0))</x:f>
        <x:v>7.574666666666667</x:v>
      </x:c>
    </x:row>
    <x:row r="814" ht="42" customHeight="1">
      <x:c r="A814" s="12" t="str">
        <x:v>DP3-B-R1</x:v>
      </x:c>
      <x:c r="B814" s="12" t="str">
        <x:v>U10</x:v>
      </x:c>
      <x:c r="C814" s="12" t="str">
        <x:v>intent_audio</x:v>
      </x:c>
      <x:c r="D814" s="12" t="str">
        <x:v>채택한 구체적 수행 의도의 짧은 음성</x:v>
      </x:c>
      <x:c r="E814" s="12" t="str">
        <x:v>via</x:v>
      </x:c>
      <x:c r="F814" s="13" t="n">
        <x:v>5.646666666666667</x:v>
      </x:c>
      <x:c r="G814" s="13" t="n">
        <x:v>6.780666666666667</x:v>
      </x:c>
      <x:c r="H814" s="13" t="n">
        <x:v>1.134</x:v>
      </x:c>
      <x:c r="I814" s="13" t="n">
        <x:v>0</x:v>
      </x:c>
      <x:c r="J814" s="12" t="str">
        <x:v>adopt</x:v>
      </x:c>
      <x:c r="K814" s="12" t="str">
        <x:v>speech</x:v>
      </x:c>
      <x:c r="L814" s="13" t="n">
        <x:f>IF(G814&lt;=I814,0,MAX(0,L808)+IF(E814="via",MAX(0,G814-MAX(F814,I814)),0))</x:f>
        <x:v>6.780666666666667</x:v>
      </x:c>
    </x:row>
    <x:row r="815" ht="42" customHeight="1">
      <x:c r="A815" s="7" t="str">
        <x:v>DP3-B-R1</x:v>
      </x:c>
      <x:c r="B815" s="7" t="str">
        <x:v>U10</x:v>
      </x:c>
      <x:c r="C815" s="7" t="str">
        <x:v>first_chunk</x:v>
      </x:c>
      <x:c r="D815" s="7" t="str">
        <x:v>같은 생성 job의 유효 첫 chunk 관측</x:v>
      </x:c>
      <x:c r="E815" s="7" t="str">
        <x:v>via</x:v>
      </x:c>
      <x:c r="F815" s="14" t="n">
        <x:v>5.646666666666667</x:v>
      </x:c>
      <x:c r="G815" s="14" t="n">
        <x:v>6.0806666666666676</x:v>
      </x:c>
      <x:c r="H815" s="14" t="n">
        <x:v>0.434</x:v>
      </x:c>
      <x:c r="I815" s="14" t="n">
        <x:v>0</x:v>
      </x:c>
      <x:c r="J815" s="7" t="str">
        <x:v>adopt</x:v>
      </x:c>
      <x:c r="K815" s="7" t="str">
        <x:v>none</x:v>
      </x:c>
      <x:c r="L815" s="14" t="n">
        <x:f>IF(G815&lt;=I815,0,MAX(0,L808)+IF(E815="via",MAX(0,G815-MAX(F815,I815)),0))</x:f>
        <x:v>6.0806666666666676</x:v>
      </x:c>
    </x:row>
    <x:row r="816" ht="42" customHeight="1">
      <x:c r="A816" s="12" t="str">
        <x:v>DP3-B-R1</x:v>
      </x:c>
      <x:c r="B816" s="12" t="str">
        <x:v>U10</x:v>
      </x:c>
      <x:c r="C816" s="12" t="str">
        <x:v>first_audio_output</x:v>
      </x:c>
      <x:c r="D816" s="12" t="str">
        <x:v>공통 장치의 첫 음성 출력</x:v>
      </x:c>
      <x:c r="E816" s="12" t="str">
        <x:v>via</x:v>
      </x:c>
      <x:c r="F816" s="13" t="n">
        <x:v>6.0806666666666676</x:v>
      </x:c>
      <x:c r="G816" s="13" t="n">
        <x:v>6.120666666666668</x:v>
      </x:c>
      <x:c r="H816" s="13" t="n">
        <x:v>0.04</x:v>
      </x:c>
      <x:c r="I816" s="13" t="n">
        <x:v>0</x:v>
      </x:c>
      <x:c r="J816" s="12" t="str">
        <x:v>adopt, first_chunk</x:v>
      </x:c>
      <x:c r="K816" s="12" t="str">
        <x:v>none</x:v>
      </x:c>
      <x:c r="L816" s="13" t="n">
        <x:f>IF(G816&lt;=I816,0,MAX(0,L808,L815)+IF(E816="via",MAX(0,G816-MAX(F816,I816)),0))</x:f>
        <x:v>6.120666666666668</x:v>
      </x:c>
    </x:row>
    <x:row r="817" ht="42" customHeight="1">
      <x:c r="A817" s="7" t="str">
        <x:v>DP3-B-R1</x:v>
      </x:c>
      <x:c r="B817" s="7" t="str">
        <x:v>U10</x:v>
      </x:c>
      <x:c r="C817" s="7" t="str">
        <x:v>next_speech_selection</x:v>
      </x:c>
      <x:c r="D817" s="7" t="str">
        <x:v>현재 발화 재생 후 다음 응답 선택</x:v>
      </x:c>
      <x:c r="E817" s="7" t="str">
        <x:v>external</x:v>
      </x:c>
      <x:c r="F817" s="14" t="n">
        <x:v>6.120666666666668</x:v>
      </x:c>
      <x:c r="G817" s="14" t="n">
        <x:v>9.120666666666668</x:v>
      </x:c>
      <x:c r="H817" s="14" t="n">
        <x:v>3</x:v>
      </x:c>
      <x:c r="I817" s="14" t="n">
        <x:v>0</x:v>
      </x:c>
      <x:c r="J817" s="7" t="str">
        <x:v>first_audio_output</x:v>
      </x:c>
      <x:c r="K817" s="7" t="str">
        <x:v>none</x:v>
      </x:c>
      <x:c r="L817" s="14" t="n">
        <x:f>IF(G817&lt;=I817,0,MAX(0,L816)+IF(E817="via",MAX(0,G817-MAX(F817,I817)),0))</x:f>
        <x:v>6.120666666666668</x:v>
      </x:c>
    </x:row>
    <x:row r="818" ht="42" customHeight="1">
      <x:c r="A818" s="12" t="str">
        <x:v>DP3-B-R1</x:v>
      </x:c>
      <x:c r="B818" s="12" t="str">
        <x:v>U10</x:v>
      </x:c>
      <x:c r="C818" s="12" t="str">
        <x:v>terminal</x:v>
      </x:c>
      <x:c r="D818" s="12" t="str">
        <x:v>공통 목표 최종 상태와 전체 음성 준비</x:v>
      </x:c>
      <x:c r="E818" s="12" t="str">
        <x:v>via</x:v>
      </x:c>
      <x:c r="F818" s="13" t="n">
        <x:v>15.574666666666667</x:v>
      </x:c>
      <x:c r="G818" s="13" t="n">
        <x:v>15.574666666666667</x:v>
      </x:c>
      <x:c r="H818" s="13" t="n">
        <x:v>0</x:v>
      </x:c>
      <x:c r="I818" s="13" t="n">
        <x:v>0</x:v>
      </x:c>
      <x:c r="J818" s="12" t="str">
        <x:v>result_display, response_audio, intent_audio, first_audio_output</x:v>
      </x:c>
      <x:c r="K818" s="12" t="str">
        <x:v>none</x:v>
      </x:c>
      <x:c r="L818" s="13" t="n">
        <x:f>IF(G818&lt;=I818,0,MAX(0,L812,L813,L814,L816)+IF(E818="via",MAX(0,G818-MAX(F818,I818)),0))</x:f>
        <x:v>7.574666666666667</x:v>
      </x:c>
    </x:row>
    <x:row r="819" ht="42" customHeight="1">
      <x:c r="A819" s="7" t="str">
        <x:v>DP3-B-R1</x:v>
      </x:c>
      <x:c r="B819" s="7" t="str">
        <x:v>U11</x:v>
      </x:c>
      <x:c r="C819" s="7" t="str">
        <x:v>input_end</x:v>
      </x:c>
      <x:c r="D819" s="7" t="str">
        <x:v>사용자 입력 종료</x:v>
      </x:c>
      <x:c r="E819" s="7" t="str">
        <x:v>external</x:v>
      </x:c>
      <x:c r="F819" s="14" t="n">
        <x:v>0</x:v>
      </x:c>
      <x:c r="G819" s="14" t="n">
        <x:v>0</x:v>
      </x:c>
      <x:c r="H819" s="14" t="n">
        <x:v>0</x:v>
      </x:c>
      <x:c r="I819" s="14" t="n">
        <x:v>0</x:v>
      </x:c>
      <x:c r="J819" s="7" t="str"/>
      <x:c r="K819" s="7" t="str">
        <x:v>none</x:v>
      </x:c>
      <x:c r="L819" s="14" t="n">
        <x:f>IF(G819&lt;=I819,0,MAX(0)+IF(E819="via",MAX(0,G819-MAX(F819,I819)),0))</x:f>
        <x:v>0</x:v>
      </x:c>
    </x:row>
    <x:row r="820" ht="42" customHeight="1">
      <x:c r="A820" s="12" t="str">
        <x:v>DP3-B-R1</x:v>
      </x:c>
      <x:c r="B820" s="12" t="str">
        <x:v>U11</x:v>
      </x:c>
      <x:c r="C820" s="12" t="str">
        <x:v>intake</x:v>
      </x:c>
      <x:c r="D820" s="12" t="str">
        <x:v>입력 확정</x:v>
      </x:c>
      <x:c r="E820" s="12" t="str">
        <x:v>via</x:v>
      </x:c>
      <x:c r="F820" s="13" t="n">
        <x:v>0</x:v>
      </x:c>
      <x:c r="G820" s="13" t="n">
        <x:v>0.3</x:v>
      </x:c>
      <x:c r="H820" s="13" t="n">
        <x:v>0.3</x:v>
      </x:c>
      <x:c r="I820" s="13" t="n">
        <x:v>0</x:v>
      </x:c>
      <x:c r="J820" s="12" t="str">
        <x:v>input_end</x:v>
      </x:c>
      <x:c r="K820" s="12" t="str">
        <x:v>none</x:v>
      </x:c>
      <x:c r="L820" s="13" t="n">
        <x:f>IF(G820&lt;=I820,0,MAX(0,L819)+IF(E820="via",MAX(0,G820-MAX(F820,I820)),0))</x:f>
        <x:v>0.3</x:v>
      </x:c>
    </x:row>
    <x:row r="821" ht="42" customHeight="1">
      <x:c r="A821" s="7" t="str">
        <x:v>DP3-B-R1</x:v>
      </x:c>
      <x:c r="B821" s="7" t="str">
        <x:v>U11</x:v>
      </x:c>
      <x:c r="C821" s="7" t="str">
        <x:v>read</x:v>
      </x:c>
      <x:c r="D821" s="7" t="str">
        <x:v>공통 허용 원본 조회</x:v>
      </x:c>
      <x:c r="E821" s="7" t="str">
        <x:v>via</x:v>
      </x:c>
      <x:c r="F821" s="14" t="n">
        <x:v>0.3</x:v>
      </x:c>
      <x:c r="G821" s="14" t="n">
        <x:v>0.38</x:v>
      </x:c>
      <x:c r="H821" s="14" t="n">
        <x:v>0.08</x:v>
      </x:c>
      <x:c r="I821" s="14" t="n">
        <x:v>0</x:v>
      </x:c>
      <x:c r="J821" s="7" t="str">
        <x:v>intake</x:v>
      </x:c>
      <x:c r="K821" s="7" t="str">
        <x:v>none</x:v>
      </x:c>
      <x:c r="L821" s="14" t="n">
        <x:f>IF(G821&lt;=I821,0,MAX(0,L820)+IF(E821="via",MAX(0,G821-MAX(F821,I821)),0))</x:f>
        <x:v>0.38</x:v>
      </x:c>
    </x:row>
    <x:row r="822" ht="42" customHeight="1">
      <x:c r="A822" s="12" t="str">
        <x:v>DP3-B-R1</x:v>
      </x:c>
      <x:c r="B822" s="12" t="str">
        <x:v>U11</x:v>
      </x:c>
      <x:c r="C822" s="12" t="str">
        <x:v>now_ui_boot</x:v>
      </x:c>
      <x:c r="D822" s="12" t="str">
        <x:v>ui runtime 시작</x:v>
      </x:c>
      <x:c r="E822" s="12" t="str">
        <x:v>via</x:v>
      </x:c>
      <x:c r="F822" s="13" t="n">
        <x:v>0.38</x:v>
      </x:c>
      <x:c r="G822" s="13" t="n">
        <x:v>1.58</x:v>
      </x:c>
      <x:c r="H822" s="13" t="n">
        <x:v>1.2</x:v>
      </x:c>
      <x:c r="I822" s="13" t="n">
        <x:v>0</x:v>
      </x:c>
      <x:c r="J822" s="12" t="str">
        <x:v>read</x:v>
      </x:c>
      <x:c r="K822" s="12" t="str">
        <x:v>visual</x:v>
      </x:c>
      <x:c r="L822" s="13" t="n">
        <x:f>IF(G822&lt;=I822,0,MAX(0,L821)+IF(E822="via",MAX(0,G822-MAX(F822,I822)),0))</x:f>
        <x:v>1.58</x:v>
      </x:c>
    </x:row>
    <x:row r="823" ht="42" customHeight="1">
      <x:c r="A823" s="7" t="str">
        <x:v>DP3-B-R1</x:v>
      </x:c>
      <x:c r="B823" s="7" t="str">
        <x:v>U11</x:v>
      </x:c>
      <x:c r="C823" s="7" t="str">
        <x:v>now_ui_load</x:v>
      </x:c>
      <x:c r="D823" s="7" t="str">
        <x:v>ui 모델 적재</x:v>
      </x:c>
      <x:c r="E823" s="7" t="str">
        <x:v>via</x:v>
      </x:c>
      <x:c r="F823" s="14" t="n">
        <x:v>1.58</x:v>
      </x:c>
      <x:c r="G823" s="14" t="n">
        <x:v>2.68</x:v>
      </x:c>
      <x:c r="H823" s="14" t="n">
        <x:v>1.1</x:v>
      </x:c>
      <x:c r="I823" s="14" t="n">
        <x:v>0</x:v>
      </x:c>
      <x:c r="J823" s="7" t="str">
        <x:v>read, now_ui_boot</x:v>
      </x:c>
      <x:c r="K823" s="7" t="str">
        <x:v>visual</x:v>
      </x:c>
      <x:c r="L823" s="14" t="n">
        <x:f>IF(G823&lt;=I823,0,MAX(0,L821,L822)+IF(E823="via",MAX(0,G823-MAX(F823,I823)),0))</x:f>
        <x:v>2.68</x:v>
      </x:c>
    </x:row>
    <x:row r="824" ht="42" customHeight="1">
      <x:c r="A824" s="12" t="str">
        <x:v>DP3-B-R1</x:v>
      </x:c>
      <x:c r="B824" s="12" t="str">
        <x:v>U11</x:v>
      </x:c>
      <x:c r="C824" s="12" t="str">
        <x:v>now_ui_infer</x:v>
      </x:c>
      <x:c r="D824" s="12" t="str">
        <x:v>ui 후보 생산</x:v>
      </x:c>
      <x:c r="E824" s="12" t="str">
        <x:v>via</x:v>
      </x:c>
      <x:c r="F824" s="13" t="n">
        <x:v>2.68</x:v>
      </x:c>
      <x:c r="G824" s="13" t="n">
        <x:v>4.28</x:v>
      </x:c>
      <x:c r="H824" s="13" t="n">
        <x:v>1.6</x:v>
      </x:c>
      <x:c r="I824" s="13" t="n">
        <x:v>0</x:v>
      </x:c>
      <x:c r="J824" s="12" t="str">
        <x:v>now_ui_load</x:v>
      </x:c>
      <x:c r="K824" s="12" t="str">
        <x:v>visual</x:v>
      </x:c>
      <x:c r="L824" s="13" t="n">
        <x:f>IF(G824&lt;=I824,0,MAX(0,L823)+IF(E824="via",MAX(0,G824-MAX(F824,I824)),0))</x:f>
        <x:v>4.28</x:v>
      </x:c>
    </x:row>
    <x:row r="825" ht="42" customHeight="1">
      <x:c r="A825" s="7" t="str">
        <x:v>DP3-B-R1</x:v>
      </x:c>
      <x:c r="B825" s="7" t="str">
        <x:v>U11</x:v>
      </x:c>
      <x:c r="C825" s="7" t="str">
        <x:v>now_ui_release</x:v>
      </x:c>
      <x:c r="D825" s="7" t="str">
        <x:v>ui 가중치 회수</x:v>
      </x:c>
      <x:c r="E825" s="7" t="str">
        <x:v>via</x:v>
      </x:c>
      <x:c r="F825" s="14" t="n">
        <x:v>4.28</x:v>
      </x:c>
      <x:c r="G825" s="14" t="n">
        <x:v>4.430000000000001</x:v>
      </x:c>
      <x:c r="H825" s="14" t="n">
        <x:v>0.15</x:v>
      </x:c>
      <x:c r="I825" s="14" t="n">
        <x:v>0</x:v>
      </x:c>
      <x:c r="J825" s="7" t="str">
        <x:v>now_ui_infer</x:v>
      </x:c>
      <x:c r="K825" s="7" t="str">
        <x:v>visual</x:v>
      </x:c>
      <x:c r="L825" s="14" t="n">
        <x:f>IF(G825&lt;=I825,0,MAX(0,L824)+IF(E825="via",MAX(0,G825-MAX(F825,I825)),0))</x:f>
        <x:v>4.430000000000001</x:v>
      </x:c>
    </x:row>
    <x:row r="826" ht="42" customHeight="1">
      <x:c r="A826" s="12" t="str">
        <x:v>DP3-B-R1</x:v>
      </x:c>
      <x:c r="B826" s="12" t="str">
        <x:v>U11</x:v>
      </x:c>
      <x:c r="C826" s="12" t="str">
        <x:v>now_sam_load</x:v>
      </x:c>
      <x:c r="D826" s="12" t="str">
        <x:v>sam 모델 적재</x:v>
      </x:c>
      <x:c r="E826" s="12" t="str">
        <x:v>via</x:v>
      </x:c>
      <x:c r="F826" s="13" t="n">
        <x:v>4.430000000000001</x:v>
      </x:c>
      <x:c r="G826" s="13" t="n">
        <x:v>5.080000000000001</x:v>
      </x:c>
      <x:c r="H826" s="13" t="n">
        <x:v>0.65</x:v>
      </x:c>
      <x:c r="I826" s="13" t="n">
        <x:v>0</x:v>
      </x:c>
      <x:c r="J826" s="12" t="str">
        <x:v>now_ui_release, now_ui_boot</x:v>
      </x:c>
      <x:c r="K826" s="12" t="str">
        <x:v>visual</x:v>
      </x:c>
      <x:c r="L826" s="13" t="n">
        <x:f>IF(G826&lt;=I826,0,MAX(0,L825,L822)+IF(E826="via",MAX(0,G826-MAX(F826,I826)),0))</x:f>
        <x:v>5.080000000000001</x:v>
      </x:c>
    </x:row>
    <x:row r="827" ht="42" customHeight="1">
      <x:c r="A827" s="7" t="str">
        <x:v>DP3-B-R1</x:v>
      </x:c>
      <x:c r="B827" s="7" t="str">
        <x:v>U11</x:v>
      </x:c>
      <x:c r="C827" s="7" t="str">
        <x:v>now_sam_infer</x:v>
      </x:c>
      <x:c r="D827" s="7" t="str">
        <x:v>sam 후보 생산</x:v>
      </x:c>
      <x:c r="E827" s="7" t="str">
        <x:v>via</x:v>
      </x:c>
      <x:c r="F827" s="14" t="n">
        <x:v>5.080000000000001</x:v>
      </x:c>
      <x:c r="G827" s="14" t="n">
        <x:v>9.18</x:v>
      </x:c>
      <x:c r="H827" s="14" t="n">
        <x:v>4.1</x:v>
      </x:c>
      <x:c r="I827" s="14" t="n">
        <x:v>0</x:v>
      </x:c>
      <x:c r="J827" s="7" t="str">
        <x:v>now_sam_load</x:v>
      </x:c>
      <x:c r="K827" s="7" t="str">
        <x:v>visual</x:v>
      </x:c>
      <x:c r="L827" s="14" t="n">
        <x:f>IF(G827&lt;=I827,0,MAX(0,L826)+IF(E827="via",MAX(0,G827-MAX(F827,I827)),0))</x:f>
        <x:v>9.18</x:v>
      </x:c>
    </x:row>
    <x:row r="828" ht="42" customHeight="1">
      <x:c r="A828" s="12" t="str">
        <x:v>DP3-B-R1</x:v>
      </x:c>
      <x:c r="B828" s="12" t="str">
        <x:v>U11</x:v>
      </x:c>
      <x:c r="C828" s="12" t="str">
        <x:v>now_sam_release</x:v>
      </x:c>
      <x:c r="D828" s="12" t="str">
        <x:v>sam 가중치 회수</x:v>
      </x:c>
      <x:c r="E828" s="12" t="str">
        <x:v>via</x:v>
      </x:c>
      <x:c r="F828" s="13" t="n">
        <x:v>9.18</x:v>
      </x:c>
      <x:c r="G828" s="13" t="n">
        <x:v>9.33</x:v>
      </x:c>
      <x:c r="H828" s="13" t="n">
        <x:v>0.15</x:v>
      </x:c>
      <x:c r="I828" s="13" t="n">
        <x:v>0</x:v>
      </x:c>
      <x:c r="J828" s="12" t="str">
        <x:v>now_sam_infer</x:v>
      </x:c>
      <x:c r="K828" s="12" t="str">
        <x:v>visual</x:v>
      </x:c>
      <x:c r="L828" s="13" t="n">
        <x:f>IF(G828&lt;=I828,0,MAX(0,L827)+IF(E828="via",MAX(0,G828-MAX(F828,I828)),0))</x:f>
        <x:v>9.33</x:v>
      </x:c>
    </x:row>
    <x:row r="829" ht="42" customHeight="1">
      <x:c r="A829" s="7" t="str">
        <x:v>DP3-B-R1</x:v>
      </x:c>
      <x:c r="B829" s="7" t="str">
        <x:v>U11</x:v>
      </x:c>
      <x:c r="C829" s="7" t="str">
        <x:v>expand_need</x:v>
      </x:c>
      <x:c r="D829" s="7" t="str">
        <x:v>초기 binder의 부족 판정과 ExpandNeed 생성</x:v>
      </x:c>
      <x:c r="E829" s="7" t="str">
        <x:v>via</x:v>
      </x:c>
      <x:c r="F829" s="14" t="n">
        <x:v>9.33</x:v>
      </x:c>
      <x:c r="G829" s="14" t="n">
        <x:v>10.203333333333333</x:v>
      </x:c>
      <x:c r="H829" s="14" t="n">
        <x:v>0.8733333333333333</x:v>
      </x:c>
      <x:c r="I829" s="14" t="n">
        <x:v>0</x:v>
      </x:c>
      <x:c r="J829" s="7" t="str">
        <x:v>now_sam_release</x:v>
      </x:c>
      <x:c r="K829" s="7" t="str">
        <x:v>semantic</x:v>
      </x:c>
      <x:c r="L829" s="14" t="n">
        <x:f>IF(G829&lt;=I829,0,MAX(0,L828)+IF(E829="via",MAX(0,G829-MAX(F829,I829)),0))</x:f>
        <x:v>10.203333333333333</x:v>
      </x:c>
    </x:row>
    <x:row r="830" ht="42" customHeight="1">
      <x:c r="A830" s="12" t="str">
        <x:v>DP3-B-R1</x:v>
      </x:c>
      <x:c r="B830" s="12" t="str">
        <x:v>U11</x:v>
      </x:c>
      <x:c r="C830" s="12" t="str">
        <x:v>raw_expansion</x:v>
      </x:c>
      <x:c r="D830" s="12" t="str">
        <x:v>ExpandNeed에 따른 원본 확장 조회</x:v>
      </x:c>
      <x:c r="E830" s="12" t="str">
        <x:v>via</x:v>
      </x:c>
      <x:c r="F830" s="13" t="n">
        <x:v>10.203333333333333</x:v>
      </x:c>
      <x:c r="G830" s="13" t="n">
        <x:v>10.283333333333333</x:v>
      </x:c>
      <x:c r="H830" s="13" t="n">
        <x:v>0.08</x:v>
      </x:c>
      <x:c r="I830" s="13" t="n">
        <x:v>0</x:v>
      </x:c>
      <x:c r="J830" s="12" t="str">
        <x:v>expand_need</x:v>
      </x:c>
      <x:c r="K830" s="12" t="str">
        <x:v>none</x:v>
      </x:c>
      <x:c r="L830" s="13" t="n">
        <x:f>IF(G830&lt;=I830,0,MAX(0,L829)+IF(E830="via",MAX(0,G830-MAX(F830,I830)),0))</x:f>
        <x:v>10.283333333333333</x:v>
      </x:c>
    </x:row>
    <x:row r="831" ht="42" customHeight="1">
      <x:c r="A831" s="7" t="str">
        <x:v>DP3-B-R1</x:v>
      </x:c>
      <x:c r="B831" s="7" t="str">
        <x:v>U11</x:v>
      </x:c>
      <x:c r="C831" s="7" t="str">
        <x:v>expand_ui_load</x:v>
      </x:c>
      <x:c r="D831" s="7" t="str">
        <x:v>ui 모델 적재</x:v>
      </x:c>
      <x:c r="E831" s="7" t="str">
        <x:v>via</x:v>
      </x:c>
      <x:c r="F831" s="14" t="n">
        <x:v>10.283333333333333</x:v>
      </x:c>
      <x:c r="G831" s="14" t="n">
        <x:v>11.383333333333333</x:v>
      </x:c>
      <x:c r="H831" s="14" t="n">
        <x:v>1.1</x:v>
      </x:c>
      <x:c r="I831" s="14" t="n">
        <x:v>0</x:v>
      </x:c>
      <x:c r="J831" s="7" t="str">
        <x:v>raw_expansion, now_ui_boot</x:v>
      </x:c>
      <x:c r="K831" s="7" t="str">
        <x:v>visual</x:v>
      </x:c>
      <x:c r="L831" s="14" t="n">
        <x:f>IF(G831&lt;=I831,0,MAX(0,L830,L822)+IF(E831="via",MAX(0,G831-MAX(F831,I831)),0))</x:f>
        <x:v>11.383333333333333</x:v>
      </x:c>
    </x:row>
    <x:row r="832" ht="42" customHeight="1">
      <x:c r="A832" s="12" t="str">
        <x:v>DP3-B-R1</x:v>
      </x:c>
      <x:c r="B832" s="12" t="str">
        <x:v>U11</x:v>
      </x:c>
      <x:c r="C832" s="12" t="str">
        <x:v>expand_ui_infer</x:v>
      </x:c>
      <x:c r="D832" s="12" t="str">
        <x:v>ui 후보 생산</x:v>
      </x:c>
      <x:c r="E832" s="12" t="str">
        <x:v>via</x:v>
      </x:c>
      <x:c r="F832" s="13" t="n">
        <x:v>11.383333333333333</x:v>
      </x:c>
      <x:c r="G832" s="13" t="n">
        <x:v>12.983333333333333</x:v>
      </x:c>
      <x:c r="H832" s="13" t="n">
        <x:v>1.6</x:v>
      </x:c>
      <x:c r="I832" s="13" t="n">
        <x:v>0</x:v>
      </x:c>
      <x:c r="J832" s="12" t="str">
        <x:v>expand_ui_load</x:v>
      </x:c>
      <x:c r="K832" s="12" t="str">
        <x:v>visual</x:v>
      </x:c>
      <x:c r="L832" s="13" t="n">
        <x:f>IF(G832&lt;=I832,0,MAX(0,L831)+IF(E832="via",MAX(0,G832-MAX(F832,I832)),0))</x:f>
        <x:v>12.983333333333333</x:v>
      </x:c>
    </x:row>
    <x:row r="833" ht="42" customHeight="1">
      <x:c r="A833" s="7" t="str">
        <x:v>DP3-B-R1</x:v>
      </x:c>
      <x:c r="B833" s="7" t="str">
        <x:v>U11</x:v>
      </x:c>
      <x:c r="C833" s="7" t="str">
        <x:v>expand_ui_release</x:v>
      </x:c>
      <x:c r="D833" s="7" t="str">
        <x:v>ui 가중치 회수</x:v>
      </x:c>
      <x:c r="E833" s="7" t="str">
        <x:v>via</x:v>
      </x:c>
      <x:c r="F833" s="14" t="n">
        <x:v>12.983333333333333</x:v>
      </x:c>
      <x:c r="G833" s="14" t="n">
        <x:v>13.133333333333333</x:v>
      </x:c>
      <x:c r="H833" s="14" t="n">
        <x:v>0.15</x:v>
      </x:c>
      <x:c r="I833" s="14" t="n">
        <x:v>0</x:v>
      </x:c>
      <x:c r="J833" s="7" t="str">
        <x:v>expand_ui_infer</x:v>
      </x:c>
      <x:c r="K833" s="7" t="str">
        <x:v>visual</x:v>
      </x:c>
      <x:c r="L833" s="14" t="n">
        <x:f>IF(G833&lt;=I833,0,MAX(0,L832)+IF(E833="via",MAX(0,G833-MAX(F833,I833)),0))</x:f>
        <x:v>13.133333333333333</x:v>
      </x:c>
    </x:row>
    <x:row r="834" ht="42" customHeight="1">
      <x:c r="A834" s="12" t="str">
        <x:v>DP3-B-R1</x:v>
      </x:c>
      <x:c r="B834" s="12" t="str">
        <x:v>U11</x:v>
      </x:c>
      <x:c r="C834" s="12" t="str">
        <x:v>expand_sam_load</x:v>
      </x:c>
      <x:c r="D834" s="12" t="str">
        <x:v>sam 모델 적재</x:v>
      </x:c>
      <x:c r="E834" s="12" t="str">
        <x:v>via</x:v>
      </x:c>
      <x:c r="F834" s="13" t="n">
        <x:v>13.133333333333333</x:v>
      </x:c>
      <x:c r="G834" s="13" t="n">
        <x:v>13.783333333333333</x:v>
      </x:c>
      <x:c r="H834" s="13" t="n">
        <x:v>0.65</x:v>
      </x:c>
      <x:c r="I834" s="13" t="n">
        <x:v>0</x:v>
      </x:c>
      <x:c r="J834" s="12" t="str">
        <x:v>expand_ui_release, now_ui_boot</x:v>
      </x:c>
      <x:c r="K834" s="12" t="str">
        <x:v>visual</x:v>
      </x:c>
      <x:c r="L834" s="13" t="n">
        <x:f>IF(G834&lt;=I834,0,MAX(0,L833,L822)+IF(E834="via",MAX(0,G834-MAX(F834,I834)),0))</x:f>
        <x:v>13.783333333333333</x:v>
      </x:c>
    </x:row>
    <x:row r="835" ht="42" customHeight="1">
      <x:c r="A835" s="7" t="str">
        <x:v>DP3-B-R1</x:v>
      </x:c>
      <x:c r="B835" s="7" t="str">
        <x:v>U11</x:v>
      </x:c>
      <x:c r="C835" s="7" t="str">
        <x:v>expand_sam_infer</x:v>
      </x:c>
      <x:c r="D835" s="7" t="str">
        <x:v>sam 후보 생산</x:v>
      </x:c>
      <x:c r="E835" s="7" t="str">
        <x:v>via</x:v>
      </x:c>
      <x:c r="F835" s="14" t="n">
        <x:v>13.783333333333333</x:v>
      </x:c>
      <x:c r="G835" s="14" t="n">
        <x:v>15.833333333333332</x:v>
      </x:c>
      <x:c r="H835" s="14" t="n">
        <x:v>2.05</x:v>
      </x:c>
      <x:c r="I835" s="14" t="n">
        <x:v>0</x:v>
      </x:c>
      <x:c r="J835" s="7" t="str">
        <x:v>expand_sam_load</x:v>
      </x:c>
      <x:c r="K835" s="7" t="str">
        <x:v>visual</x:v>
      </x:c>
      <x:c r="L835" s="14" t="n">
        <x:f>IF(G835&lt;=I835,0,MAX(0,L834)+IF(E835="via",MAX(0,G835-MAX(F835,I835)),0))</x:f>
        <x:v>15.833333333333332</x:v>
      </x:c>
    </x:row>
    <x:row r="836" ht="42" customHeight="1">
      <x:c r="A836" s="12" t="str">
        <x:v>DP3-B-R1</x:v>
      </x:c>
      <x:c r="B836" s="12" t="str">
        <x:v>U11</x:v>
      </x:c>
      <x:c r="C836" s="12" t="str">
        <x:v>expand_sam_release</x:v>
      </x:c>
      <x:c r="D836" s="12" t="str">
        <x:v>sam 가중치 회수</x:v>
      </x:c>
      <x:c r="E836" s="12" t="str">
        <x:v>via</x:v>
      </x:c>
      <x:c r="F836" s="13" t="n">
        <x:v>15.833333333333332</x:v>
      </x:c>
      <x:c r="G836" s="13" t="n">
        <x:v>15.983333333333333</x:v>
      </x:c>
      <x:c r="H836" s="13" t="n">
        <x:v>0.15</x:v>
      </x:c>
      <x:c r="I836" s="13" t="n">
        <x:v>0</x:v>
      </x:c>
      <x:c r="J836" s="12" t="str">
        <x:v>expand_sam_infer</x:v>
      </x:c>
      <x:c r="K836" s="12" t="str">
        <x:v>visual</x:v>
      </x:c>
      <x:c r="L836" s="13" t="n">
        <x:f>IF(G836&lt;=I836,0,MAX(0,L835)+IF(E836="via",MAX(0,G836-MAX(F836,I836)),0))</x:f>
        <x:v>15.983333333333333</x:v>
      </x:c>
    </x:row>
    <x:row r="837" ht="42" customHeight="1">
      <x:c r="A837" s="7" t="str">
        <x:v>DP3-B-R1</x:v>
      </x:c>
      <x:c r="B837" s="7" t="str">
        <x:v>U11</x:v>
      </x:c>
      <x:c r="C837" s="7" t="str">
        <x:v>expanded_revision</x:v>
      </x:c>
      <x:c r="D837" s="7" t="str">
        <x:v>확장 후보 revision 게시 및 결합 재개</x:v>
      </x:c>
      <x:c r="E837" s="7" t="str">
        <x:v>via</x:v>
      </x:c>
      <x:c r="F837" s="14" t="n">
        <x:v>15.983333333333333</x:v>
      </x:c>
      <x:c r="G837" s="14" t="n">
        <x:v>16.013333333333332</x:v>
      </x:c>
      <x:c r="H837" s="14" t="n">
        <x:v>0.03</x:v>
      </x:c>
      <x:c r="I837" s="14" t="n">
        <x:v>0</x:v>
      </x:c>
      <x:c r="J837" s="7" t="str">
        <x:v>expand_sam_release</x:v>
      </x:c>
      <x:c r="K837" s="7" t="str">
        <x:v>none</x:v>
      </x:c>
      <x:c r="L837" s="14" t="n">
        <x:f>IF(G837&lt;=I837,0,MAX(0,L836)+IF(E837="via",MAX(0,G837-MAX(F837,I837)),0))</x:f>
        <x:v>16.013333333333332</x:v>
      </x:c>
    </x:row>
    <x:row r="838" ht="42" customHeight="1">
      <x:c r="A838" s="12" t="str">
        <x:v>DP3-B-R1</x:v>
      </x:c>
      <x:c r="B838" s="12" t="str">
        <x:v>U11</x:v>
      </x:c>
      <x:c r="C838" s="12" t="str">
        <x:v>meaning</x:v>
      </x:c>
      <x:c r="D838" s="12" t="str">
        <x:v>최초 요청 의미 채택 packet 생성</x:v>
      </x:c>
      <x:c r="E838" s="12" t="str">
        <x:v>via</x:v>
      </x:c>
      <x:c r="F838" s="13" t="n">
        <x:v>16.013333333333332</x:v>
      </x:c>
      <x:c r="G838" s="13" t="n">
        <x:v>17.436666666666664</x:v>
      </x:c>
      <x:c r="H838" s="13" t="n">
        <x:v>1.4233333333333333</x:v>
      </x:c>
      <x:c r="I838" s="13" t="n">
        <x:v>0</x:v>
      </x:c>
      <x:c r="J838" s="12" t="str">
        <x:v>expanded_revision</x:v>
      </x:c>
      <x:c r="K838" s="12" t="str">
        <x:v>semantic</x:v>
      </x:c>
      <x:c r="L838" s="13" t="n">
        <x:f>IF(G838&lt;=I838,0,MAX(0,L837)+IF(E838="via",MAX(0,G838-MAX(F838,I838)),0))</x:f>
        <x:v>17.436666666666664</x:v>
      </x:c>
    </x:row>
    <x:row r="839" ht="42" customHeight="1">
      <x:c r="A839" s="7" t="str">
        <x:v>DP3-B-R1</x:v>
      </x:c>
      <x:c r="B839" s="7" t="str">
        <x:v>U11</x:v>
      </x:c>
      <x:c r="C839" s="7" t="str">
        <x:v>adopt</x:v>
      </x:c>
      <x:c r="D839" s="7" t="str">
        <x:v>현재 revision과 권한 검사 및 채택</x:v>
      </x:c>
      <x:c r="E839" s="7" t="str">
        <x:v>via</x:v>
      </x:c>
      <x:c r="F839" s="14" t="n">
        <x:v>17.436666666666664</x:v>
      </x:c>
      <x:c r="G839" s="14" t="n">
        <x:v>17.466666666666665</x:v>
      </x:c>
      <x:c r="H839" s="14" t="n">
        <x:v>0.03</x:v>
      </x:c>
      <x:c r="I839" s="14" t="n">
        <x:v>0</x:v>
      </x:c>
      <x:c r="J839" s="7" t="str">
        <x:v>meaning</x:v>
      </x:c>
      <x:c r="K839" s="7" t="str">
        <x:v>none</x:v>
      </x:c>
      <x:c r="L839" s="14" t="n">
        <x:f>IF(G839&lt;=I839,0,MAX(0,L838)+IF(E839="via",MAX(0,G839-MAX(F839,I839)),0))</x:f>
        <x:v>17.466666666666665</x:v>
      </x:c>
    </x:row>
    <x:row r="840" ht="42" customHeight="1">
      <x:c r="A840" s="12" t="str">
        <x:v>DP3-B-R1</x:v>
      </x:c>
      <x:c r="B840" s="12" t="str">
        <x:v>U11</x:v>
      </x:c>
      <x:c r="C840" s="12" t="str">
        <x:v>first_display</x:v>
      </x:c>
      <x:c r="D840" s="12" t="str">
        <x:v>첫 구체적 채택 내용 화면 표시</x:v>
      </x:c>
      <x:c r="E840" s="12" t="str">
        <x:v>via</x:v>
      </x:c>
      <x:c r="F840" s="13" t="n">
        <x:v>17.466666666666665</x:v>
      </x:c>
      <x:c r="G840" s="13" t="n">
        <x:v>17.506666666666664</x:v>
      </x:c>
      <x:c r="H840" s="13" t="n">
        <x:v>0.04</x:v>
      </x:c>
      <x:c r="I840" s="13" t="n">
        <x:v>0</x:v>
      </x:c>
      <x:c r="J840" s="12" t="str">
        <x:v>adopt</x:v>
      </x:c>
      <x:c r="K840" s="12" t="str">
        <x:v>none</x:v>
      </x:c>
      <x:c r="L840" s="13" t="n">
        <x:f>IF(G840&lt;=I840,0,MAX(0,L839)+IF(E840="via",MAX(0,G840-MAX(F840,I840)),0))</x:f>
        <x:v>17.506666666666664</x:v>
      </x:c>
    </x:row>
    <x:row r="841" ht="42" customHeight="1">
      <x:c r="A841" s="7" t="str">
        <x:v>DP3-B-R1</x:v>
      </x:c>
      <x:c r="B841" s="7" t="str">
        <x:v>U11</x:v>
      </x:c>
      <x:c r="C841" s="7" t="str">
        <x:v>agent_ingress</x:v>
      </x:c>
      <x:c r="D841" s="7" t="str">
        <x:v>Agent 요청 전송</x:v>
      </x:c>
      <x:c r="E841" s="7" t="str">
        <x:v>via</x:v>
      </x:c>
      <x:c r="F841" s="14" t="n">
        <x:v>17.466666666666665</x:v>
      </x:c>
      <x:c r="G841" s="14" t="n">
        <x:v>17.506666666666664</x:v>
      </x:c>
      <x:c r="H841" s="14" t="n">
        <x:v>0.04</x:v>
      </x:c>
      <x:c r="I841" s="14" t="n">
        <x:v>0</x:v>
      </x:c>
      <x:c r="J841" s="7" t="str">
        <x:v>adopt</x:v>
      </x:c>
      <x:c r="K841" s="7" t="str">
        <x:v>none</x:v>
      </x:c>
      <x:c r="L841" s="14" t="n">
        <x:f>IF(G841&lt;=I841,0,MAX(0,L839)+IF(E841="via",MAX(0,G841-MAX(F841,I841)),0))</x:f>
        <x:v>17.506666666666664</x:v>
      </x:c>
    </x:row>
    <x:row r="842" ht="42" customHeight="1">
      <x:c r="A842" s="12" t="str">
        <x:v>DP3-B-R1</x:v>
      </x:c>
      <x:c r="B842" s="12" t="str">
        <x:v>U11</x:v>
      </x:c>
      <x:c r="C842" s="12" t="str">
        <x:v>agent_result</x:v>
      </x:c>
      <x:c r="D842" s="12" t="str">
        <x:v>외부 Agent 업무</x:v>
      </x:c>
      <x:c r="E842" s="12" t="str">
        <x:v>external</x:v>
      </x:c>
      <x:c r="F842" s="13" t="n">
        <x:v>17.506666666666664</x:v>
      </x:c>
      <x:c r="G842" s="13" t="n">
        <x:v>25.506666666666664</x:v>
      </x:c>
      <x:c r="H842" s="13" t="n">
        <x:v>8</x:v>
      </x:c>
      <x:c r="I842" s="13" t="n">
        <x:v>0</x:v>
      </x:c>
      <x:c r="J842" s="12" t="str">
        <x:v>agent_ingress</x:v>
      </x:c>
      <x:c r="K842" s="12" t="str">
        <x:v>none</x:v>
      </x:c>
      <x:c r="L842" s="13" t="n">
        <x:f>IF(G842&lt;=I842,0,MAX(0,L841)+IF(E842="via",MAX(0,G842-MAX(F842,I842)),0))</x:f>
        <x:v>17.506666666666664</x:v>
      </x:c>
    </x:row>
    <x:row r="843" ht="42" customHeight="1">
      <x:c r="A843" s="7" t="str">
        <x:v>DP3-B-R1</x:v>
      </x:c>
      <x:c r="B843" s="7" t="str">
        <x:v>U11</x:v>
      </x:c>
      <x:c r="C843" s="7" t="str">
        <x:v>result_display</x:v>
      </x:c>
      <x:c r="D843" s="7" t="str">
        <x:v>최종 결과 상세 표시</x:v>
      </x:c>
      <x:c r="E843" s="7" t="str">
        <x:v>via</x:v>
      </x:c>
      <x:c r="F843" s="14" t="n">
        <x:v>25.506666666666664</x:v>
      </x:c>
      <x:c r="G843" s="14" t="n">
        <x:v>25.546666666666663</x:v>
      </x:c>
      <x:c r="H843" s="14" t="n">
        <x:v>0.04</x:v>
      </x:c>
      <x:c r="I843" s="14" t="n">
        <x:v>0</x:v>
      </x:c>
      <x:c r="J843" s="7" t="str">
        <x:v>agent_result</x:v>
      </x:c>
      <x:c r="K843" s="7" t="str">
        <x:v>none</x:v>
      </x:c>
      <x:c r="L843" s="14" t="n">
        <x:f>IF(G843&lt;=I843,0,MAX(0,L842)+IF(E843="via",MAX(0,G843-MAX(F843,I843)),0))</x:f>
        <x:v>17.546666666666663</x:v>
      </x:c>
    </x:row>
    <x:row r="844" ht="42" customHeight="1">
      <x:c r="A844" s="12" t="str">
        <x:v>DP3-B-R1</x:v>
      </x:c>
      <x:c r="B844" s="12" t="str">
        <x:v>U11</x:v>
      </x:c>
      <x:c r="C844" s="12" t="str">
        <x:v>response_audio</x:v>
      </x:c>
      <x:c r="D844" s="12" t="str">
        <x:v>선택한 응답 음성 생성</x:v>
      </x:c>
      <x:c r="E844" s="12" t="str">
        <x:v>via</x:v>
      </x:c>
      <x:c r="F844" s="13" t="n">
        <x:v>25.506666666666664</x:v>
      </x:c>
      <x:c r="G844" s="13" t="n">
        <x:v>27.394666666666666</x:v>
      </x:c>
      <x:c r="H844" s="13" t="n">
        <x:v>1.888</x:v>
      </x:c>
      <x:c r="I844" s="13" t="n">
        <x:v>0</x:v>
      </x:c>
      <x:c r="J844" s="12" t="str">
        <x:v>agent_result</x:v>
      </x:c>
      <x:c r="K844" s="12" t="str">
        <x:v>speech</x:v>
      </x:c>
      <x:c r="L844" s="13" t="n">
        <x:f>IF(G844&lt;=I844,0,MAX(0,L842)+IF(E844="via",MAX(0,G844-MAX(F844,I844)),0))</x:f>
        <x:v>19.394666666666666</x:v>
      </x:c>
    </x:row>
    <x:row r="845" ht="42" customHeight="1">
      <x:c r="A845" s="7" t="str">
        <x:v>DP3-B-R1</x:v>
      </x:c>
      <x:c r="B845" s="7" t="str">
        <x:v>U11</x:v>
      </x:c>
      <x:c r="C845" s="7" t="str">
        <x:v>intent_audio</x:v>
      </x:c>
      <x:c r="D845" s="7" t="str">
        <x:v>채택한 구체적 수행 의도의 짧은 음성</x:v>
      </x:c>
      <x:c r="E845" s="7" t="str">
        <x:v>via</x:v>
      </x:c>
      <x:c r="F845" s="14" t="n">
        <x:v>17.466666666666665</x:v>
      </x:c>
      <x:c r="G845" s="14" t="n">
        <x:v>18.600666666666665</x:v>
      </x:c>
      <x:c r="H845" s="14" t="n">
        <x:v>1.134</x:v>
      </x:c>
      <x:c r="I845" s="14" t="n">
        <x:v>0</x:v>
      </x:c>
      <x:c r="J845" s="7" t="str">
        <x:v>adopt</x:v>
      </x:c>
      <x:c r="K845" s="7" t="str">
        <x:v>speech</x:v>
      </x:c>
      <x:c r="L845" s="14" t="n">
        <x:f>IF(G845&lt;=I845,0,MAX(0,L839)+IF(E845="via",MAX(0,G845-MAX(F845,I845)),0))</x:f>
        <x:v>18.600666666666665</x:v>
      </x:c>
    </x:row>
    <x:row r="846" ht="42" customHeight="1">
      <x:c r="A846" s="12" t="str">
        <x:v>DP3-B-R1</x:v>
      </x:c>
      <x:c r="B846" s="12" t="str">
        <x:v>U11</x:v>
      </x:c>
      <x:c r="C846" s="12" t="str">
        <x:v>first_chunk</x:v>
      </x:c>
      <x:c r="D846" s="12" t="str">
        <x:v>같은 생성 job의 유효 첫 chunk 관측</x:v>
      </x:c>
      <x:c r="E846" s="12" t="str">
        <x:v>via</x:v>
      </x:c>
      <x:c r="F846" s="13" t="n">
        <x:v>17.466666666666665</x:v>
      </x:c>
      <x:c r="G846" s="13" t="n">
        <x:v>17.900666666666666</x:v>
      </x:c>
      <x:c r="H846" s="13" t="n">
        <x:v>0.434</x:v>
      </x:c>
      <x:c r="I846" s="13" t="n">
        <x:v>0</x:v>
      </x:c>
      <x:c r="J846" s="12" t="str">
        <x:v>adopt</x:v>
      </x:c>
      <x:c r="K846" s="12" t="str">
        <x:v>none</x:v>
      </x:c>
      <x:c r="L846" s="13" t="n">
        <x:f>IF(G846&lt;=I846,0,MAX(0,L839)+IF(E846="via",MAX(0,G846-MAX(F846,I846)),0))</x:f>
        <x:v>17.900666666666666</x:v>
      </x:c>
    </x:row>
    <x:row r="847" ht="42" customHeight="1">
      <x:c r="A847" s="7" t="str">
        <x:v>DP3-B-R1</x:v>
      </x:c>
      <x:c r="B847" s="7" t="str">
        <x:v>U11</x:v>
      </x:c>
      <x:c r="C847" s="7" t="str">
        <x:v>first_audio_output</x:v>
      </x:c>
      <x:c r="D847" s="7" t="str">
        <x:v>공통 장치의 첫 음성 출력</x:v>
      </x:c>
      <x:c r="E847" s="7" t="str">
        <x:v>via</x:v>
      </x:c>
      <x:c r="F847" s="14" t="n">
        <x:v>17.900666666666666</x:v>
      </x:c>
      <x:c r="G847" s="14" t="n">
        <x:v>17.940666666666665</x:v>
      </x:c>
      <x:c r="H847" s="14" t="n">
        <x:v>0.04</x:v>
      </x:c>
      <x:c r="I847" s="14" t="n">
        <x:v>0</x:v>
      </x:c>
      <x:c r="J847" s="7" t="str">
        <x:v>adopt, first_chunk</x:v>
      </x:c>
      <x:c r="K847" s="7" t="str">
        <x:v>none</x:v>
      </x:c>
      <x:c r="L847" s="14" t="n">
        <x:f>IF(G847&lt;=I847,0,MAX(0,L839,L846)+IF(E847="via",MAX(0,G847-MAX(F847,I847)),0))</x:f>
        <x:v>17.940666666666665</x:v>
      </x:c>
    </x:row>
    <x:row r="848" ht="42" customHeight="1">
      <x:c r="A848" s="12" t="str">
        <x:v>DP3-B-R1</x:v>
      </x:c>
      <x:c r="B848" s="12" t="str">
        <x:v>U11</x:v>
      </x:c>
      <x:c r="C848" s="12" t="str">
        <x:v>next_speech_selection</x:v>
      </x:c>
      <x:c r="D848" s="12" t="str">
        <x:v>현재 발화 재생 후 다음 응답 선택</x:v>
      </x:c>
      <x:c r="E848" s="12" t="str">
        <x:v>external</x:v>
      </x:c>
      <x:c r="F848" s="13" t="n">
        <x:v>17.940666666666665</x:v>
      </x:c>
      <x:c r="G848" s="13" t="n">
        <x:v>20.940666666666665</x:v>
      </x:c>
      <x:c r="H848" s="13" t="n">
        <x:v>3</x:v>
      </x:c>
      <x:c r="I848" s="13" t="n">
        <x:v>0</x:v>
      </x:c>
      <x:c r="J848" s="12" t="str">
        <x:v>first_audio_output</x:v>
      </x:c>
      <x:c r="K848" s="12" t="str">
        <x:v>none</x:v>
      </x:c>
      <x:c r="L848" s="13" t="n">
        <x:f>IF(G848&lt;=I848,0,MAX(0,L847)+IF(E848="via",MAX(0,G848-MAX(F848,I848)),0))</x:f>
        <x:v>17.940666666666665</x:v>
      </x:c>
    </x:row>
    <x:row r="849" ht="42" customHeight="1">
      <x:c r="A849" s="7" t="str">
        <x:v>DP3-B-R1</x:v>
      </x:c>
      <x:c r="B849" s="7" t="str">
        <x:v>U11</x:v>
      </x:c>
      <x:c r="C849" s="7" t="str">
        <x:v>terminal</x:v>
      </x:c>
      <x:c r="D849" s="7" t="str">
        <x:v>공통 목표 최종 상태와 전체 음성 준비</x:v>
      </x:c>
      <x:c r="E849" s="7" t="str">
        <x:v>via</x:v>
      </x:c>
      <x:c r="F849" s="14" t="n">
        <x:v>27.394666666666666</x:v>
      </x:c>
      <x:c r="G849" s="14" t="n">
        <x:v>27.394666666666666</x:v>
      </x:c>
      <x:c r="H849" s="14" t="n">
        <x:v>0</x:v>
      </x:c>
      <x:c r="I849" s="14" t="n">
        <x:v>0</x:v>
      </x:c>
      <x:c r="J849" s="7" t="str">
        <x:v>result_display, response_audio, intent_audio, first_audio_output</x:v>
      </x:c>
      <x:c r="K849" s="7" t="str">
        <x:v>none</x:v>
      </x:c>
      <x:c r="L849" s="14" t="n">
        <x:f>IF(G849&lt;=I849,0,MAX(0,L843,L844,L845,L847)+IF(E849="via",MAX(0,G849-MAX(F849,I849)),0))</x:f>
        <x:v>19.394666666666666</x:v>
      </x:c>
    </x:row>
    <x:row r="850" ht="42" customHeight="1">
      <x:c r="A850" s="12" t="str">
        <x:v>DP3-B-R1</x:v>
      </x:c>
      <x:c r="B850" s="12" t="str">
        <x:v>U12</x:v>
      </x:c>
      <x:c r="C850" s="12" t="str">
        <x:v>input_end</x:v>
      </x:c>
      <x:c r="D850" s="12" t="str">
        <x:v>사용자 입력 종료</x:v>
      </x:c>
      <x:c r="E850" s="12" t="str">
        <x:v>external</x:v>
      </x:c>
      <x:c r="F850" s="13" t="n">
        <x:v>0</x:v>
      </x:c>
      <x:c r="G850" s="13" t="n">
        <x:v>0</x:v>
      </x:c>
      <x:c r="H850" s="13" t="n">
        <x:v>0</x:v>
      </x:c>
      <x:c r="I850" s="13" t="n">
        <x:v>0</x:v>
      </x:c>
      <x:c r="J850" s="12" t="str"/>
      <x:c r="K850" s="12" t="str">
        <x:v>none</x:v>
      </x:c>
      <x:c r="L850" s="13" t="n">
        <x:f>IF(G850&lt;=I850,0,MAX(0)+IF(E850="via",MAX(0,G850-MAX(F850,I850)),0))</x:f>
        <x:v>0</x:v>
      </x:c>
    </x:row>
    <x:row r="851" ht="42" customHeight="1">
      <x:c r="A851" s="7" t="str">
        <x:v>DP3-B-R1</x:v>
      </x:c>
      <x:c r="B851" s="7" t="str">
        <x:v>U12</x:v>
      </x:c>
      <x:c r="C851" s="7" t="str">
        <x:v>intake</x:v>
      </x:c>
      <x:c r="D851" s="7" t="str">
        <x:v>입력 확정</x:v>
      </x:c>
      <x:c r="E851" s="7" t="str">
        <x:v>via</x:v>
      </x:c>
      <x:c r="F851" s="14" t="n">
        <x:v>0</x:v>
      </x:c>
      <x:c r="G851" s="14" t="n">
        <x:v>0.3</x:v>
      </x:c>
      <x:c r="H851" s="14" t="n">
        <x:v>0.3</x:v>
      </x:c>
      <x:c r="I851" s="14" t="n">
        <x:v>0</x:v>
      </x:c>
      <x:c r="J851" s="7" t="str">
        <x:v>input_end</x:v>
      </x:c>
      <x:c r="K851" s="7" t="str">
        <x:v>none</x:v>
      </x:c>
      <x:c r="L851" s="14" t="n">
        <x:f>IF(G851&lt;=I851,0,MAX(0,L850)+IF(E851="via",MAX(0,G851-MAX(F851,I851)),0))</x:f>
        <x:v>0.3</x:v>
      </x:c>
    </x:row>
    <x:row r="852" ht="42" customHeight="1">
      <x:c r="A852" s="12" t="str">
        <x:v>DP3-B-R1</x:v>
      </x:c>
      <x:c r="B852" s="12" t="str">
        <x:v>U12</x:v>
      </x:c>
      <x:c r="C852" s="12" t="str">
        <x:v>read</x:v>
      </x:c>
      <x:c r="D852" s="12" t="str">
        <x:v>공통 허용 원본 조회</x:v>
      </x:c>
      <x:c r="E852" s="12" t="str">
        <x:v>via</x:v>
      </x:c>
      <x:c r="F852" s="13" t="n">
        <x:v>0.3</x:v>
      </x:c>
      <x:c r="G852" s="13" t="n">
        <x:v>0.38</x:v>
      </x:c>
      <x:c r="H852" s="13" t="n">
        <x:v>0.08</x:v>
      </x:c>
      <x:c r="I852" s="13" t="n">
        <x:v>0</x:v>
      </x:c>
      <x:c r="J852" s="12" t="str">
        <x:v>intake</x:v>
      </x:c>
      <x:c r="K852" s="12" t="str">
        <x:v>none</x:v>
      </x:c>
      <x:c r="L852" s="13" t="n">
        <x:f>IF(G852&lt;=I852,0,MAX(0,L851)+IF(E852="via",MAX(0,G852-MAX(F852,I852)),0))</x:f>
        <x:v>0.38</x:v>
      </x:c>
    </x:row>
    <x:row r="853" ht="42" customHeight="1">
      <x:c r="A853" s="7" t="str">
        <x:v>DP3-B-R1</x:v>
      </x:c>
      <x:c r="B853" s="7" t="str">
        <x:v>U12</x:v>
      </x:c>
      <x:c r="C853" s="7" t="str">
        <x:v>pre_ui_boot</x:v>
      </x:c>
      <x:c r="D853" s="7" t="str">
        <x:v>ui runtime 시작</x:v>
      </x:c>
      <x:c r="E853" s="7" t="str">
        <x:v>via</x:v>
      </x:c>
      <x:c r="F853" s="14" t="n">
        <x:v>-12</x:v>
      </x:c>
      <x:c r="G853" s="14" t="n">
        <x:v>-10.8</x:v>
      </x:c>
      <x:c r="H853" s="14" t="n">
        <x:v>1.2</x:v>
      </x:c>
      <x:c r="I853" s="14" t="n">
        <x:v>0</x:v>
      </x:c>
      <x:c r="J853" s="7" t="str"/>
      <x:c r="K853" s="7" t="str">
        <x:v>visual</x:v>
      </x:c>
      <x:c r="L853" s="14" t="n">
        <x:f>IF(G853&lt;=I853,0,MAX(0)+IF(E853="via",MAX(0,G853-MAX(F853,I853)),0))</x:f>
        <x:v>0</x:v>
      </x:c>
    </x:row>
    <x:row r="854" ht="42" customHeight="1">
      <x:c r="A854" s="12" t="str">
        <x:v>DP3-B-R1</x:v>
      </x:c>
      <x:c r="B854" s="12" t="str">
        <x:v>U12</x:v>
      </x:c>
      <x:c r="C854" s="12" t="str">
        <x:v>pre_ui_load</x:v>
      </x:c>
      <x:c r="D854" s="12" t="str">
        <x:v>ui 모델 적재</x:v>
      </x:c>
      <x:c r="E854" s="12" t="str">
        <x:v>via</x:v>
      </x:c>
      <x:c r="F854" s="13" t="n">
        <x:v>-10.8</x:v>
      </x:c>
      <x:c r="G854" s="13" t="n">
        <x:v>-9.700000000000001</x:v>
      </x:c>
      <x:c r="H854" s="13" t="n">
        <x:v>1.1</x:v>
      </x:c>
      <x:c r="I854" s="13" t="n">
        <x:v>0</x:v>
      </x:c>
      <x:c r="J854" s="12" t="str">
        <x:v>pre_ui_boot</x:v>
      </x:c>
      <x:c r="K854" s="12" t="str">
        <x:v>visual</x:v>
      </x:c>
      <x:c r="L854" s="13" t="n">
        <x:f>IF(G854&lt;=I854,0,MAX(0,L853)+IF(E854="via",MAX(0,G854-MAX(F854,I854)),0))</x:f>
        <x:v>0</x:v>
      </x:c>
    </x:row>
    <x:row r="855" ht="42" customHeight="1">
      <x:c r="A855" s="7" t="str">
        <x:v>DP3-B-R1</x:v>
      </x:c>
      <x:c r="B855" s="7" t="str">
        <x:v>U12</x:v>
      </x:c>
      <x:c r="C855" s="7" t="str">
        <x:v>pre_ui_infer</x:v>
      </x:c>
      <x:c r="D855" s="7" t="str">
        <x:v>ui 후보 생산</x:v>
      </x:c>
      <x:c r="E855" s="7" t="str">
        <x:v>via</x:v>
      </x:c>
      <x:c r="F855" s="14" t="n">
        <x:v>-9.700000000000001</x:v>
      </x:c>
      <x:c r="G855" s="14" t="n">
        <x:v>-8.100000000000001</x:v>
      </x:c>
      <x:c r="H855" s="14" t="n">
        <x:v>1.6</x:v>
      </x:c>
      <x:c r="I855" s="14" t="n">
        <x:v>0</x:v>
      </x:c>
      <x:c r="J855" s="7" t="str">
        <x:v>pre_ui_load</x:v>
      </x:c>
      <x:c r="K855" s="7" t="str">
        <x:v>visual</x:v>
      </x:c>
      <x:c r="L855" s="14" t="n">
        <x:f>IF(G855&lt;=I855,0,MAX(0,L854)+IF(E855="via",MAX(0,G855-MAX(F855,I855)),0))</x:f>
        <x:v>0</x:v>
      </x:c>
    </x:row>
    <x:row r="856" ht="42" customHeight="1">
      <x:c r="A856" s="12" t="str">
        <x:v>DP3-B-R1</x:v>
      </x:c>
      <x:c r="B856" s="12" t="str">
        <x:v>U12</x:v>
      </x:c>
      <x:c r="C856" s="12" t="str">
        <x:v>pre_ui_release</x:v>
      </x:c>
      <x:c r="D856" s="12" t="str">
        <x:v>ui 가중치 회수</x:v>
      </x:c>
      <x:c r="E856" s="12" t="str">
        <x:v>via</x:v>
      </x:c>
      <x:c r="F856" s="13" t="n">
        <x:v>-8.100000000000001</x:v>
      </x:c>
      <x:c r="G856" s="13" t="n">
        <x:v>-7.950000000000001</x:v>
      </x:c>
      <x:c r="H856" s="13" t="n">
        <x:v>0.15</x:v>
      </x:c>
      <x:c r="I856" s="13" t="n">
        <x:v>0</x:v>
      </x:c>
      <x:c r="J856" s="12" t="str">
        <x:v>pre_ui_infer</x:v>
      </x:c>
      <x:c r="K856" s="12" t="str">
        <x:v>visual</x:v>
      </x:c>
      <x:c r="L856" s="13" t="n">
        <x:f>IF(G856&lt;=I856,0,MAX(0,L855)+IF(E856="via",MAX(0,G856-MAX(F856,I856)),0))</x:f>
        <x:v>0</x:v>
      </x:c>
    </x:row>
    <x:row r="857" ht="42" customHeight="1">
      <x:c r="A857" s="7" t="str">
        <x:v>DP3-B-R1</x:v>
      </x:c>
      <x:c r="B857" s="7" t="str">
        <x:v>U12</x:v>
      </x:c>
      <x:c r="C857" s="7" t="str">
        <x:v>pre_adopt</x:v>
      </x:c>
      <x:c r="D857" s="7" t="str">
        <x:v>선행 후보의 요청 의미 확정</x:v>
      </x:c>
      <x:c r="E857" s="7" t="str">
        <x:v>via</x:v>
      </x:c>
      <x:c r="F857" s="14" t="n">
        <x:v>-7.950000000000001</x:v>
      </x:c>
      <x:c r="G857" s="14" t="n">
        <x:v>-6.7633333333333345</x:v>
      </x:c>
      <x:c r="H857" s="14" t="n">
        <x:v>1.1866666666666668</x:v>
      </x:c>
      <x:c r="I857" s="14" t="n">
        <x:v>0</x:v>
      </x:c>
      <x:c r="J857" s="7" t="str">
        <x:v>pre_ui_release</x:v>
      </x:c>
      <x:c r="K857" s="7" t="str">
        <x:v>semantic</x:v>
      </x:c>
      <x:c r="L857" s="14" t="n">
        <x:f>IF(G857&lt;=I857,0,MAX(0,L856)+IF(E857="via",MAX(0,G857-MAX(F857,I857)),0))</x:f>
        <x:v>0</x:v>
      </x:c>
    </x:row>
    <x:row r="858" ht="42" customHeight="1">
      <x:c r="A858" s="12" t="str">
        <x:v>DP3-B-R1</x:v>
      </x:c>
      <x:c r="B858" s="12" t="str">
        <x:v>U12</x:v>
      </x:c>
      <x:c r="C858" s="12" t="str">
        <x:v>reuse_screen</x:v>
      </x:c>
      <x:c r="D858" s="12" t="str">
        <x:v>이미 확정한 화면 대상 재사용</x:v>
      </x:c>
      <x:c r="E858" s="12" t="str">
        <x:v>via</x:v>
      </x:c>
      <x:c r="F858" s="13" t="n">
        <x:v>0.38</x:v>
      </x:c>
      <x:c r="G858" s="13" t="n">
        <x:v>0.46</x:v>
      </x:c>
      <x:c r="H858" s="13" t="n">
        <x:v>0.08</x:v>
      </x:c>
      <x:c r="I858" s="13" t="n">
        <x:v>0</x:v>
      </x:c>
      <x:c r="J858" s="12" t="str">
        <x:v>read, pre_adopt</x:v>
      </x:c>
      <x:c r="K858" s="12" t="str">
        <x:v>none</x:v>
      </x:c>
      <x:c r="L858" s="13" t="n">
        <x:f>IF(G858&lt;=I858,0,MAX(0,L852,L857)+IF(E858="via",MAX(0,G858-MAX(F858,I858)),0))</x:f>
        <x:v>0.46</x:v>
      </x:c>
    </x:row>
    <x:row r="859" ht="42" customHeight="1">
      <x:c r="A859" s="7" t="str">
        <x:v>DP3-B-R1</x:v>
      </x:c>
      <x:c r="B859" s="7" t="str">
        <x:v>U12</x:v>
      </x:c>
      <x:c r="C859" s="7" t="str">
        <x:v>meaning</x:v>
      </x:c>
      <x:c r="D859" s="7" t="str">
        <x:v>최초 요청 의미 채택 packet 생성</x:v>
      </x:c>
      <x:c r="E859" s="7" t="str">
        <x:v>via</x:v>
      </x:c>
      <x:c r="F859" s="14" t="n">
        <x:v>0.46</x:v>
      </x:c>
      <x:c r="G859" s="14" t="n">
        <x:v>1.56</x:v>
      </x:c>
      <x:c r="H859" s="14" t="n">
        <x:v>1.1</x:v>
      </x:c>
      <x:c r="I859" s="14" t="n">
        <x:v>0</x:v>
      </x:c>
      <x:c r="J859" s="7" t="str">
        <x:v>reuse_screen</x:v>
      </x:c>
      <x:c r="K859" s="7" t="str">
        <x:v>semantic</x:v>
      </x:c>
      <x:c r="L859" s="14" t="n">
        <x:f>IF(G859&lt;=I859,0,MAX(0,L858)+IF(E859="via",MAX(0,G859-MAX(F859,I859)),0))</x:f>
        <x:v>1.56</x:v>
      </x:c>
    </x:row>
    <x:row r="860" ht="42" customHeight="1">
      <x:c r="A860" s="12" t="str">
        <x:v>DP3-B-R1</x:v>
      </x:c>
      <x:c r="B860" s="12" t="str">
        <x:v>U12</x:v>
      </x:c>
      <x:c r="C860" s="12" t="str">
        <x:v>adopt</x:v>
      </x:c>
      <x:c r="D860" s="12" t="str">
        <x:v>현재 revision과 권한 검사 및 채택</x:v>
      </x:c>
      <x:c r="E860" s="12" t="str">
        <x:v>via</x:v>
      </x:c>
      <x:c r="F860" s="13" t="n">
        <x:v>1.56</x:v>
      </x:c>
      <x:c r="G860" s="13" t="n">
        <x:v>1.59</x:v>
      </x:c>
      <x:c r="H860" s="13" t="n">
        <x:v>0.03</x:v>
      </x:c>
      <x:c r="I860" s="13" t="n">
        <x:v>0</x:v>
      </x:c>
      <x:c r="J860" s="12" t="str">
        <x:v>meaning</x:v>
      </x:c>
      <x:c r="K860" s="12" t="str">
        <x:v>none</x:v>
      </x:c>
      <x:c r="L860" s="13" t="n">
        <x:f>IF(G860&lt;=I860,0,MAX(0,L859)+IF(E860="via",MAX(0,G860-MAX(F860,I860)),0))</x:f>
        <x:v>1.59</x:v>
      </x:c>
    </x:row>
    <x:row r="861" ht="42" customHeight="1">
      <x:c r="A861" s="7" t="str">
        <x:v>DP3-B-R1</x:v>
      </x:c>
      <x:c r="B861" s="7" t="str">
        <x:v>U12</x:v>
      </x:c>
      <x:c r="C861" s="7" t="str">
        <x:v>first_display</x:v>
      </x:c>
      <x:c r="D861" s="7" t="str">
        <x:v>첫 구체적 채택 내용 화면 표시</x:v>
      </x:c>
      <x:c r="E861" s="7" t="str">
        <x:v>via</x:v>
      </x:c>
      <x:c r="F861" s="14" t="n">
        <x:v>1.59</x:v>
      </x:c>
      <x:c r="G861" s="14" t="n">
        <x:v>1.6300000000000001</x:v>
      </x:c>
      <x:c r="H861" s="14" t="n">
        <x:v>0.04</x:v>
      </x:c>
      <x:c r="I861" s="14" t="n">
        <x:v>0</x:v>
      </x:c>
      <x:c r="J861" s="7" t="str">
        <x:v>adopt</x:v>
      </x:c>
      <x:c r="K861" s="7" t="str">
        <x:v>none</x:v>
      </x:c>
      <x:c r="L861" s="14" t="n">
        <x:f>IF(G861&lt;=I861,0,MAX(0,L860)+IF(E861="via",MAX(0,G861-MAX(F861,I861)),0))</x:f>
        <x:v>1.6300000000000001</x:v>
      </x:c>
    </x:row>
    <x:row r="862" ht="42" customHeight="1">
      <x:c r="A862" s="12" t="str">
        <x:v>DP3-B-R1</x:v>
      </x:c>
      <x:c r="B862" s="12" t="str">
        <x:v>U12</x:v>
      </x:c>
      <x:c r="C862" s="12" t="str">
        <x:v>agent_ingress</x:v>
      </x:c>
      <x:c r="D862" s="12" t="str">
        <x:v>Agent 요청 전송</x:v>
      </x:c>
      <x:c r="E862" s="12" t="str">
        <x:v>via</x:v>
      </x:c>
      <x:c r="F862" s="13" t="n">
        <x:v>1.59</x:v>
      </x:c>
      <x:c r="G862" s="13" t="n">
        <x:v>1.6300000000000001</x:v>
      </x:c>
      <x:c r="H862" s="13" t="n">
        <x:v>0.04</x:v>
      </x:c>
      <x:c r="I862" s="13" t="n">
        <x:v>0</x:v>
      </x:c>
      <x:c r="J862" s="12" t="str">
        <x:v>adopt</x:v>
      </x:c>
      <x:c r="K862" s="12" t="str">
        <x:v>none</x:v>
      </x:c>
      <x:c r="L862" s="13" t="n">
        <x:f>IF(G862&lt;=I862,0,MAX(0,L860)+IF(E862="via",MAX(0,G862-MAX(F862,I862)),0))</x:f>
        <x:v>1.6300000000000001</x:v>
      </x:c>
    </x:row>
    <x:row r="863" ht="42" customHeight="1">
      <x:c r="A863" s="7" t="str">
        <x:v>DP3-B-R1</x:v>
      </x:c>
      <x:c r="B863" s="7" t="str">
        <x:v>U12</x:v>
      </x:c>
      <x:c r="C863" s="7" t="str">
        <x:v>agent_result</x:v>
      </x:c>
      <x:c r="D863" s="7" t="str">
        <x:v>외부 Agent 업무</x:v>
      </x:c>
      <x:c r="E863" s="7" t="str">
        <x:v>external</x:v>
      </x:c>
      <x:c r="F863" s="14" t="n">
        <x:v>1.6300000000000001</x:v>
      </x:c>
      <x:c r="G863" s="14" t="n">
        <x:v>9.63</x:v>
      </x:c>
      <x:c r="H863" s="14" t="n">
        <x:v>8</x:v>
      </x:c>
      <x:c r="I863" s="14" t="n">
        <x:v>0</x:v>
      </x:c>
      <x:c r="J863" s="7" t="str">
        <x:v>agent_ingress</x:v>
      </x:c>
      <x:c r="K863" s="7" t="str">
        <x:v>none</x:v>
      </x:c>
      <x:c r="L863" s="14" t="n">
        <x:f>IF(G863&lt;=I863,0,MAX(0,L862)+IF(E863="via",MAX(0,G863-MAX(F863,I863)),0))</x:f>
        <x:v>1.6300000000000001</x:v>
      </x:c>
    </x:row>
    <x:row r="864" ht="42" customHeight="1">
      <x:c r="A864" s="12" t="str">
        <x:v>DP3-B-R1</x:v>
      </x:c>
      <x:c r="B864" s="12" t="str">
        <x:v>U12</x:v>
      </x:c>
      <x:c r="C864" s="12" t="str">
        <x:v>result_display</x:v>
      </x:c>
      <x:c r="D864" s="12" t="str">
        <x:v>최종 결과 상세 표시</x:v>
      </x:c>
      <x:c r="E864" s="12" t="str">
        <x:v>via</x:v>
      </x:c>
      <x:c r="F864" s="13" t="n">
        <x:v>9.63</x:v>
      </x:c>
      <x:c r="G864" s="13" t="n">
        <x:v>9.67</x:v>
      </x:c>
      <x:c r="H864" s="13" t="n">
        <x:v>0.04</x:v>
      </x:c>
      <x:c r="I864" s="13" t="n">
        <x:v>0</x:v>
      </x:c>
      <x:c r="J864" s="12" t="str">
        <x:v>agent_result</x:v>
      </x:c>
      <x:c r="K864" s="12" t="str">
        <x:v>none</x:v>
      </x:c>
      <x:c r="L864" s="13" t="n">
        <x:f>IF(G864&lt;=I864,0,MAX(0,L863)+IF(E864="via",MAX(0,G864-MAX(F864,I864)),0))</x:f>
        <x:v>1.6699999999999993</x:v>
      </x:c>
    </x:row>
    <x:row r="865" ht="42" customHeight="1">
      <x:c r="A865" s="7" t="str">
        <x:v>DP3-B-R1</x:v>
      </x:c>
      <x:c r="B865" s="7" t="str">
        <x:v>U12</x:v>
      </x:c>
      <x:c r="C865" s="7" t="str">
        <x:v>response_audio</x:v>
      </x:c>
      <x:c r="D865" s="7" t="str">
        <x:v>선택한 응답 음성 생성</x:v>
      </x:c>
      <x:c r="E865" s="7" t="str">
        <x:v>via</x:v>
      </x:c>
      <x:c r="F865" s="14" t="n">
        <x:v>9.63</x:v>
      </x:c>
      <x:c r="G865" s="14" t="n">
        <x:v>11.518</x:v>
      </x:c>
      <x:c r="H865" s="14" t="n">
        <x:v>1.888</x:v>
      </x:c>
      <x:c r="I865" s="14" t="n">
        <x:v>0</x:v>
      </x:c>
      <x:c r="J865" s="7" t="str">
        <x:v>agent_result</x:v>
      </x:c>
      <x:c r="K865" s="7" t="str">
        <x:v>speech</x:v>
      </x:c>
      <x:c r="L865" s="14" t="n">
        <x:f>IF(G865&lt;=I865,0,MAX(0,L863)+IF(E865="via",MAX(0,G865-MAX(F865,I865)),0))</x:f>
        <x:v>3.518</x:v>
      </x:c>
    </x:row>
    <x:row r="866" ht="42" customHeight="1">
      <x:c r="A866" s="12" t="str">
        <x:v>DP3-B-R1</x:v>
      </x:c>
      <x:c r="B866" s="12" t="str">
        <x:v>U12</x:v>
      </x:c>
      <x:c r="C866" s="12" t="str">
        <x:v>intent_audio</x:v>
      </x:c>
      <x:c r="D866" s="12" t="str">
        <x:v>채택한 구체적 수행 의도의 짧은 음성</x:v>
      </x:c>
      <x:c r="E866" s="12" t="str">
        <x:v>via</x:v>
      </x:c>
      <x:c r="F866" s="13" t="n">
        <x:v>1.59</x:v>
      </x:c>
      <x:c r="G866" s="13" t="n">
        <x:v>2.724</x:v>
      </x:c>
      <x:c r="H866" s="13" t="n">
        <x:v>1.134</x:v>
      </x:c>
      <x:c r="I866" s="13" t="n">
        <x:v>0</x:v>
      </x:c>
      <x:c r="J866" s="12" t="str">
        <x:v>adopt</x:v>
      </x:c>
      <x:c r="K866" s="12" t="str">
        <x:v>speech</x:v>
      </x:c>
      <x:c r="L866" s="13" t="n">
        <x:f>IF(G866&lt;=I866,0,MAX(0,L860)+IF(E866="via",MAX(0,G866-MAX(F866,I866)),0))</x:f>
        <x:v>2.724</x:v>
      </x:c>
    </x:row>
    <x:row r="867" ht="42" customHeight="1">
      <x:c r="A867" s="7" t="str">
        <x:v>DP3-B-R1</x:v>
      </x:c>
      <x:c r="B867" s="7" t="str">
        <x:v>U12</x:v>
      </x:c>
      <x:c r="C867" s="7" t="str">
        <x:v>first_chunk</x:v>
      </x:c>
      <x:c r="D867" s="7" t="str">
        <x:v>같은 생성 job의 유효 첫 chunk 관측</x:v>
      </x:c>
      <x:c r="E867" s="7" t="str">
        <x:v>via</x:v>
      </x:c>
      <x:c r="F867" s="14" t="n">
        <x:v>1.59</x:v>
      </x:c>
      <x:c r="G867" s="14" t="n">
        <x:v>2.024</x:v>
      </x:c>
      <x:c r="H867" s="14" t="n">
        <x:v>0.434</x:v>
      </x:c>
      <x:c r="I867" s="14" t="n">
        <x:v>0</x:v>
      </x:c>
      <x:c r="J867" s="7" t="str">
        <x:v>adopt</x:v>
      </x:c>
      <x:c r="K867" s="7" t="str">
        <x:v>none</x:v>
      </x:c>
      <x:c r="L867" s="14" t="n">
        <x:f>IF(G867&lt;=I867,0,MAX(0,L860)+IF(E867="via",MAX(0,G867-MAX(F867,I867)),0))</x:f>
        <x:v>2.024</x:v>
      </x:c>
    </x:row>
    <x:row r="868" ht="42" customHeight="1">
      <x:c r="A868" s="12" t="str">
        <x:v>DP3-B-R1</x:v>
      </x:c>
      <x:c r="B868" s="12" t="str">
        <x:v>U12</x:v>
      </x:c>
      <x:c r="C868" s="12" t="str">
        <x:v>first_audio_output</x:v>
      </x:c>
      <x:c r="D868" s="12" t="str">
        <x:v>공통 장치의 첫 음성 출력</x:v>
      </x:c>
      <x:c r="E868" s="12" t="str">
        <x:v>via</x:v>
      </x:c>
      <x:c r="F868" s="13" t="n">
        <x:v>2.024</x:v>
      </x:c>
      <x:c r="G868" s="13" t="n">
        <x:v>2.064</x:v>
      </x:c>
      <x:c r="H868" s="13" t="n">
        <x:v>0.04</x:v>
      </x:c>
      <x:c r="I868" s="13" t="n">
        <x:v>0</x:v>
      </x:c>
      <x:c r="J868" s="12" t="str">
        <x:v>adopt, first_chunk</x:v>
      </x:c>
      <x:c r="K868" s="12" t="str">
        <x:v>none</x:v>
      </x:c>
      <x:c r="L868" s="13" t="n">
        <x:f>IF(G868&lt;=I868,0,MAX(0,L860,L867)+IF(E868="via",MAX(0,G868-MAX(F868,I868)),0))</x:f>
        <x:v>2.064</x:v>
      </x:c>
    </x:row>
    <x:row r="869" ht="42" customHeight="1">
      <x:c r="A869" s="7" t="str">
        <x:v>DP3-B-R1</x:v>
      </x:c>
      <x:c r="B869" s="7" t="str">
        <x:v>U12</x:v>
      </x:c>
      <x:c r="C869" s="7" t="str">
        <x:v>next_speech_selection</x:v>
      </x:c>
      <x:c r="D869" s="7" t="str">
        <x:v>현재 발화 재생 후 다음 응답 선택</x:v>
      </x:c>
      <x:c r="E869" s="7" t="str">
        <x:v>external</x:v>
      </x:c>
      <x:c r="F869" s="14" t="n">
        <x:v>2.064</x:v>
      </x:c>
      <x:c r="G869" s="14" t="n">
        <x:v>5.064</x:v>
      </x:c>
      <x:c r="H869" s="14" t="n">
        <x:v>3</x:v>
      </x:c>
      <x:c r="I869" s="14" t="n">
        <x:v>0</x:v>
      </x:c>
      <x:c r="J869" s="7" t="str">
        <x:v>first_audio_output</x:v>
      </x:c>
      <x:c r="K869" s="7" t="str">
        <x:v>none</x:v>
      </x:c>
      <x:c r="L869" s="14" t="n">
        <x:f>IF(G869&lt;=I869,0,MAX(0,L868)+IF(E869="via",MAX(0,G869-MAX(F869,I869)),0))</x:f>
        <x:v>2.064</x:v>
      </x:c>
    </x:row>
    <x:row r="870" ht="42" customHeight="1">
      <x:c r="A870" s="12" t="str">
        <x:v>DP3-B-R1</x:v>
      </x:c>
      <x:c r="B870" s="12" t="str">
        <x:v>U12</x:v>
      </x:c>
      <x:c r="C870" s="12" t="str">
        <x:v>terminal</x:v>
      </x:c>
      <x:c r="D870" s="12" t="str">
        <x:v>공통 목표 최종 상태와 전체 음성 준비</x:v>
      </x:c>
      <x:c r="E870" s="12" t="str">
        <x:v>via</x:v>
      </x:c>
      <x:c r="F870" s="13" t="n">
        <x:v>11.518</x:v>
      </x:c>
      <x:c r="G870" s="13" t="n">
        <x:v>11.518</x:v>
      </x:c>
      <x:c r="H870" s="13" t="n">
        <x:v>0</x:v>
      </x:c>
      <x:c r="I870" s="13" t="n">
        <x:v>0</x:v>
      </x:c>
      <x:c r="J870" s="12" t="str">
        <x:v>result_display, response_audio, intent_audio, first_audio_output</x:v>
      </x:c>
      <x:c r="K870" s="12" t="str">
        <x:v>none</x:v>
      </x:c>
      <x:c r="L870" s="13" t="n">
        <x:f>IF(G870&lt;=I870,0,MAX(0,L864,L865,L866,L868)+IF(E870="via",MAX(0,G870-MAX(F870,I870)),0))</x:f>
        <x:v>3.518</x:v>
      </x:c>
    </x:row>
    <x:row r="871" ht="42" customHeight="1">
      <x:c r="A871" s="7" t="str">
        <x:v>DP3-B-R1</x:v>
      </x:c>
      <x:c r="B871" s="7" t="str">
        <x:v>U13</x:v>
      </x:c>
      <x:c r="C871" s="7" t="str">
        <x:v>input_end</x:v>
      </x:c>
      <x:c r="D871" s="7" t="str">
        <x:v>사용자 입력 종료</x:v>
      </x:c>
      <x:c r="E871" s="7" t="str">
        <x:v>external</x:v>
      </x:c>
      <x:c r="F871" s="14" t="n">
        <x:v>0</x:v>
      </x:c>
      <x:c r="G871" s="14" t="n">
        <x:v>0</x:v>
      </x:c>
      <x:c r="H871" s="14" t="n">
        <x:v>0</x:v>
      </x:c>
      <x:c r="I871" s="14" t="n">
        <x:v>0</x:v>
      </x:c>
      <x:c r="J871" s="7" t="str"/>
      <x:c r="K871" s="7" t="str">
        <x:v>none</x:v>
      </x:c>
      <x:c r="L871" s="14" t="n">
        <x:f>IF(G871&lt;=I871,0,MAX(0)+IF(E871="via",MAX(0,G871-MAX(F871,I871)),0))</x:f>
        <x:v>0</x:v>
      </x:c>
    </x:row>
    <x:row r="872" ht="42" customHeight="1">
      <x:c r="A872" s="12" t="str">
        <x:v>DP3-B-R1</x:v>
      </x:c>
      <x:c r="B872" s="12" t="str">
        <x:v>U13</x:v>
      </x:c>
      <x:c r="C872" s="12" t="str">
        <x:v>intake</x:v>
      </x:c>
      <x:c r="D872" s="12" t="str">
        <x:v>입력 확정</x:v>
      </x:c>
      <x:c r="E872" s="12" t="str">
        <x:v>via</x:v>
      </x:c>
      <x:c r="F872" s="13" t="n">
        <x:v>0</x:v>
      </x:c>
      <x:c r="G872" s="13" t="n">
        <x:v>0.06</x:v>
      </x:c>
      <x:c r="H872" s="13" t="n">
        <x:v>0.06</x:v>
      </x:c>
      <x:c r="I872" s="13" t="n">
        <x:v>0</x:v>
      </x:c>
      <x:c r="J872" s="12" t="str">
        <x:v>input_end</x:v>
      </x:c>
      <x:c r="K872" s="12" t="str">
        <x:v>none</x:v>
      </x:c>
      <x:c r="L872" s="13" t="n">
        <x:f>IF(G872&lt;=I872,0,MAX(0,L871)+IF(E872="via",MAX(0,G872-MAX(F872,I872)),0))</x:f>
        <x:v>0.06</x:v>
      </x:c>
    </x:row>
    <x:row r="873" ht="42" customHeight="1">
      <x:c r="A873" s="7" t="str">
        <x:v>DP3-B-R1</x:v>
      </x:c>
      <x:c r="B873" s="7" t="str">
        <x:v>U13</x:v>
      </x:c>
      <x:c r="C873" s="7" t="str">
        <x:v>read</x:v>
      </x:c>
      <x:c r="D873" s="7" t="str">
        <x:v>공통 허용 원본 조회</x:v>
      </x:c>
      <x:c r="E873" s="7" t="str">
        <x:v>via</x:v>
      </x:c>
      <x:c r="F873" s="14" t="n">
        <x:v>0.06</x:v>
      </x:c>
      <x:c r="G873" s="14" t="n">
        <x:v>0.14</x:v>
      </x:c>
      <x:c r="H873" s="14" t="n">
        <x:v>0.08</x:v>
      </x:c>
      <x:c r="I873" s="14" t="n">
        <x:v>0</x:v>
      </x:c>
      <x:c r="J873" s="7" t="str">
        <x:v>intake</x:v>
      </x:c>
      <x:c r="K873" s="7" t="str">
        <x:v>none</x:v>
      </x:c>
      <x:c r="L873" s="14" t="n">
        <x:f>IF(G873&lt;=I873,0,MAX(0,L872)+IF(E873="via",MAX(0,G873-MAX(F873,I873)),0))</x:f>
        <x:v>0.14</x:v>
      </x:c>
    </x:row>
    <x:row r="874" ht="42" customHeight="1">
      <x:c r="A874" s="12" t="str">
        <x:v>DP3-B-R1</x:v>
      </x:c>
      <x:c r="B874" s="12" t="str">
        <x:v>U13</x:v>
      </x:c>
      <x:c r="C874" s="12" t="str">
        <x:v>meaning</x:v>
      </x:c>
      <x:c r="D874" s="12" t="str">
        <x:v>최초 요청 의미 채택 packet 생성</x:v>
      </x:c>
      <x:c r="E874" s="12" t="str">
        <x:v>via</x:v>
      </x:c>
      <x:c r="F874" s="13" t="n">
        <x:v>0.14</x:v>
      </x:c>
      <x:c r="G874" s="13" t="n">
        <x:v>1.2400000000000002</x:v>
      </x:c>
      <x:c r="H874" s="13" t="n">
        <x:v>1.1</x:v>
      </x:c>
      <x:c r="I874" s="13" t="n">
        <x:v>0</x:v>
      </x:c>
      <x:c r="J874" s="12" t="str">
        <x:v>read</x:v>
      </x:c>
      <x:c r="K874" s="12" t="str">
        <x:v>semantic</x:v>
      </x:c>
      <x:c r="L874" s="13" t="n">
        <x:f>IF(G874&lt;=I874,0,MAX(0,L873)+IF(E874="via",MAX(0,G874-MAX(F874,I874)),0))</x:f>
        <x:v>1.2400000000000002</x:v>
      </x:c>
    </x:row>
    <x:row r="875" ht="42" customHeight="1">
      <x:c r="A875" s="7" t="str">
        <x:v>DP3-B-R1</x:v>
      </x:c>
      <x:c r="B875" s="7" t="str">
        <x:v>U13</x:v>
      </x:c>
      <x:c r="C875" s="7" t="str">
        <x:v>adopt</x:v>
      </x:c>
      <x:c r="D875" s="7" t="str">
        <x:v>현재 revision과 권한 검사 및 채택</x:v>
      </x:c>
      <x:c r="E875" s="7" t="str">
        <x:v>via</x:v>
      </x:c>
      <x:c r="F875" s="14" t="n">
        <x:v>1.2400000000000002</x:v>
      </x:c>
      <x:c r="G875" s="14" t="n">
        <x:v>1.2700000000000002</x:v>
      </x:c>
      <x:c r="H875" s="14" t="n">
        <x:v>0.03</x:v>
      </x:c>
      <x:c r="I875" s="14" t="n">
        <x:v>0</x:v>
      </x:c>
      <x:c r="J875" s="7" t="str">
        <x:v>meaning</x:v>
      </x:c>
      <x:c r="K875" s="7" t="str">
        <x:v>none</x:v>
      </x:c>
      <x:c r="L875" s="14" t="n">
        <x:f>IF(G875&lt;=I875,0,MAX(0,L874)+IF(E875="via",MAX(0,G875-MAX(F875,I875)),0))</x:f>
        <x:v>1.2700000000000002</x:v>
      </x:c>
    </x:row>
    <x:row r="876" ht="42" customHeight="1">
      <x:c r="A876" s="12" t="str">
        <x:v>DP3-B-R1</x:v>
      </x:c>
      <x:c r="B876" s="12" t="str">
        <x:v>U13</x:v>
      </x:c>
      <x:c r="C876" s="12" t="str">
        <x:v>first_display</x:v>
      </x:c>
      <x:c r="D876" s="12" t="str">
        <x:v>첫 구체적 채택 내용 화면 표시</x:v>
      </x:c>
      <x:c r="E876" s="12" t="str">
        <x:v>via</x:v>
      </x:c>
      <x:c r="F876" s="13" t="n">
        <x:v>1.2700000000000002</x:v>
      </x:c>
      <x:c r="G876" s="13" t="n">
        <x:v>1.3100000000000003</x:v>
      </x:c>
      <x:c r="H876" s="13" t="n">
        <x:v>0.04</x:v>
      </x:c>
      <x:c r="I876" s="13" t="n">
        <x:v>0</x:v>
      </x:c>
      <x:c r="J876" s="12" t="str">
        <x:v>adopt</x:v>
      </x:c>
      <x:c r="K876" s="12" t="str">
        <x:v>none</x:v>
      </x:c>
      <x:c r="L876" s="13" t="n">
        <x:f>IF(G876&lt;=I876,0,MAX(0,L875)+IF(E876="via",MAX(0,G876-MAX(F876,I876)),0))</x:f>
        <x:v>1.3100000000000003</x:v>
      </x:c>
    </x:row>
    <x:row r="877" ht="42" customHeight="1">
      <x:c r="A877" s="7" t="str">
        <x:v>DP3-B-R1</x:v>
      </x:c>
      <x:c r="B877" s="7" t="str">
        <x:v>U13</x:v>
      </x:c>
      <x:c r="C877" s="7" t="str">
        <x:v>agent_ingress</x:v>
      </x:c>
      <x:c r="D877" s="7" t="str">
        <x:v>Agent 요청 전송</x:v>
      </x:c>
      <x:c r="E877" s="7" t="str">
        <x:v>via</x:v>
      </x:c>
      <x:c r="F877" s="14" t="n">
        <x:v>1.2700000000000002</x:v>
      </x:c>
      <x:c r="G877" s="14" t="n">
        <x:v>1.3100000000000003</x:v>
      </x:c>
      <x:c r="H877" s="14" t="n">
        <x:v>0.04</x:v>
      </x:c>
      <x:c r="I877" s="14" t="n">
        <x:v>0</x:v>
      </x:c>
      <x:c r="J877" s="7" t="str">
        <x:v>adopt</x:v>
      </x:c>
      <x:c r="K877" s="7" t="str">
        <x:v>none</x:v>
      </x:c>
      <x:c r="L877" s="14" t="n">
        <x:f>IF(G877&lt;=I877,0,MAX(0,L875)+IF(E877="via",MAX(0,G877-MAX(F877,I877)),0))</x:f>
        <x:v>1.3100000000000003</x:v>
      </x:c>
    </x:row>
    <x:row r="878" ht="42" customHeight="1">
      <x:c r="A878" s="12" t="str">
        <x:v>DP3-B-R1</x:v>
      </x:c>
      <x:c r="B878" s="12" t="str">
        <x:v>U13</x:v>
      </x:c>
      <x:c r="C878" s="12" t="str">
        <x:v>agent_result</x:v>
      </x:c>
      <x:c r="D878" s="12" t="str">
        <x:v>외부 Agent 업무</x:v>
      </x:c>
      <x:c r="E878" s="12" t="str">
        <x:v>external</x:v>
      </x:c>
      <x:c r="F878" s="13" t="n">
        <x:v>1.3100000000000003</x:v>
      </x:c>
      <x:c r="G878" s="13" t="n">
        <x:v>9.31</x:v>
      </x:c>
      <x:c r="H878" s="13" t="n">
        <x:v>8</x:v>
      </x:c>
      <x:c r="I878" s="13" t="n">
        <x:v>0</x:v>
      </x:c>
      <x:c r="J878" s="12" t="str">
        <x:v>agent_ingress</x:v>
      </x:c>
      <x:c r="K878" s="12" t="str">
        <x:v>none</x:v>
      </x:c>
      <x:c r="L878" s="13" t="n">
        <x:f>IF(G878&lt;=I878,0,MAX(0,L877)+IF(E878="via",MAX(0,G878-MAX(F878,I878)),0))</x:f>
        <x:v>1.3100000000000003</x:v>
      </x:c>
    </x:row>
    <x:row r="879" ht="42" customHeight="1">
      <x:c r="A879" s="7" t="str">
        <x:v>DP3-B-R1</x:v>
      </x:c>
      <x:c r="B879" s="7" t="str">
        <x:v>U13</x:v>
      </x:c>
      <x:c r="C879" s="7" t="str">
        <x:v>result_display</x:v>
      </x:c>
      <x:c r="D879" s="7" t="str">
        <x:v>최종 결과 상세 표시</x:v>
      </x:c>
      <x:c r="E879" s="7" t="str">
        <x:v>via</x:v>
      </x:c>
      <x:c r="F879" s="14" t="n">
        <x:v>9.31</x:v>
      </x:c>
      <x:c r="G879" s="14" t="n">
        <x:v>9.35</x:v>
      </x:c>
      <x:c r="H879" s="14" t="n">
        <x:v>0.04</x:v>
      </x:c>
      <x:c r="I879" s="14" t="n">
        <x:v>0</x:v>
      </x:c>
      <x:c r="J879" s="7" t="str">
        <x:v>agent_result</x:v>
      </x:c>
      <x:c r="K879" s="7" t="str">
        <x:v>none</x:v>
      </x:c>
      <x:c r="L879" s="14" t="n">
        <x:f>IF(G879&lt;=I879,0,MAX(0,L878)+IF(E879="via",MAX(0,G879-MAX(F879,I879)),0))</x:f>
        <x:v>1.3499999999999994</x:v>
      </x:c>
    </x:row>
    <x:row r="880" ht="42" customHeight="1">
      <x:c r="A880" s="12" t="str">
        <x:v>DP3-B-R1</x:v>
      </x:c>
      <x:c r="B880" s="12" t="str">
        <x:v>U13</x:v>
      </x:c>
      <x:c r="C880" s="12" t="str">
        <x:v>response_audio</x:v>
      </x:c>
      <x:c r="D880" s="12" t="str">
        <x:v>선택한 응답 음성 생성</x:v>
      </x:c>
      <x:c r="E880" s="12" t="str">
        <x:v>via</x:v>
      </x:c>
      <x:c r="F880" s="13" t="n">
        <x:v>9.31</x:v>
      </x:c>
      <x:c r="G880" s="13" t="n">
        <x:v>11.198</x:v>
      </x:c>
      <x:c r="H880" s="13" t="n">
        <x:v>1.888</x:v>
      </x:c>
      <x:c r="I880" s="13" t="n">
        <x:v>0</x:v>
      </x:c>
      <x:c r="J880" s="12" t="str">
        <x:v>agent_result</x:v>
      </x:c>
      <x:c r="K880" s="12" t="str">
        <x:v>speech</x:v>
      </x:c>
      <x:c r="L880" s="13" t="n">
        <x:f>IF(G880&lt;=I880,0,MAX(0,L878)+IF(E880="via",MAX(0,G880-MAX(F880,I880)),0))</x:f>
        <x:v>3.1980000000000004</x:v>
      </x:c>
    </x:row>
    <x:row r="881" ht="42" customHeight="1">
      <x:c r="A881" s="7" t="str">
        <x:v>DP3-B-R1</x:v>
      </x:c>
      <x:c r="B881" s="7" t="str">
        <x:v>U13</x:v>
      </x:c>
      <x:c r="C881" s="7" t="str">
        <x:v>intent_audio</x:v>
      </x:c>
      <x:c r="D881" s="7" t="str">
        <x:v>채택한 구체적 수행 의도의 짧은 음성</x:v>
      </x:c>
      <x:c r="E881" s="7" t="str">
        <x:v>via</x:v>
      </x:c>
      <x:c r="F881" s="14" t="n">
        <x:v>1.2700000000000002</x:v>
      </x:c>
      <x:c r="G881" s="14" t="n">
        <x:v>2.404</x:v>
      </x:c>
      <x:c r="H881" s="14" t="n">
        <x:v>1.134</x:v>
      </x:c>
      <x:c r="I881" s="14" t="n">
        <x:v>0</x:v>
      </x:c>
      <x:c r="J881" s="7" t="str">
        <x:v>adopt</x:v>
      </x:c>
      <x:c r="K881" s="7" t="str">
        <x:v>speech</x:v>
      </x:c>
      <x:c r="L881" s="14" t="n">
        <x:f>IF(G881&lt;=I881,0,MAX(0,L875)+IF(E881="via",MAX(0,G881-MAX(F881,I881)),0))</x:f>
        <x:v>2.404</x:v>
      </x:c>
    </x:row>
    <x:row r="882" ht="42" customHeight="1">
      <x:c r="A882" s="12" t="str">
        <x:v>DP3-B-R1</x:v>
      </x:c>
      <x:c r="B882" s="12" t="str">
        <x:v>U13</x:v>
      </x:c>
      <x:c r="C882" s="12" t="str">
        <x:v>first_chunk</x:v>
      </x:c>
      <x:c r="D882" s="12" t="str">
        <x:v>같은 생성 job의 유효 첫 chunk 관측</x:v>
      </x:c>
      <x:c r="E882" s="12" t="str">
        <x:v>via</x:v>
      </x:c>
      <x:c r="F882" s="13" t="n">
        <x:v>1.2700000000000002</x:v>
      </x:c>
      <x:c r="G882" s="13" t="n">
        <x:v>1.7040000000000002</x:v>
      </x:c>
      <x:c r="H882" s="13" t="n">
        <x:v>0.434</x:v>
      </x:c>
      <x:c r="I882" s="13" t="n">
        <x:v>0</x:v>
      </x:c>
      <x:c r="J882" s="12" t="str">
        <x:v>adopt</x:v>
      </x:c>
      <x:c r="K882" s="12" t="str">
        <x:v>none</x:v>
      </x:c>
      <x:c r="L882" s="13" t="n">
        <x:f>IF(G882&lt;=I882,0,MAX(0,L875)+IF(E882="via",MAX(0,G882-MAX(F882,I882)),0))</x:f>
        <x:v>1.7040000000000002</x:v>
      </x:c>
    </x:row>
    <x:row r="883" ht="42" customHeight="1">
      <x:c r="A883" s="7" t="str">
        <x:v>DP3-B-R1</x:v>
      </x:c>
      <x:c r="B883" s="7" t="str">
        <x:v>U13</x:v>
      </x:c>
      <x:c r="C883" s="7" t="str">
        <x:v>first_audio_output</x:v>
      </x:c>
      <x:c r="D883" s="7" t="str">
        <x:v>공통 장치의 첫 음성 출력</x:v>
      </x:c>
      <x:c r="E883" s="7" t="str">
        <x:v>via</x:v>
      </x:c>
      <x:c r="F883" s="14" t="n">
        <x:v>1.7040000000000002</x:v>
      </x:c>
      <x:c r="G883" s="14" t="n">
        <x:v>1.7440000000000002</x:v>
      </x:c>
      <x:c r="H883" s="14" t="n">
        <x:v>0.04</x:v>
      </x:c>
      <x:c r="I883" s="14" t="n">
        <x:v>0</x:v>
      </x:c>
      <x:c r="J883" s="7" t="str">
        <x:v>adopt, first_chunk</x:v>
      </x:c>
      <x:c r="K883" s="7" t="str">
        <x:v>none</x:v>
      </x:c>
      <x:c r="L883" s="14" t="n">
        <x:f>IF(G883&lt;=I883,0,MAX(0,L875,L882)+IF(E883="via",MAX(0,G883-MAX(F883,I883)),0))</x:f>
        <x:v>1.7440000000000002</x:v>
      </x:c>
    </x:row>
    <x:row r="884" ht="42" customHeight="1">
      <x:c r="A884" s="12" t="str">
        <x:v>DP3-B-R1</x:v>
      </x:c>
      <x:c r="B884" s="12" t="str">
        <x:v>U13</x:v>
      </x:c>
      <x:c r="C884" s="12" t="str">
        <x:v>next_speech_selection</x:v>
      </x:c>
      <x:c r="D884" s="12" t="str">
        <x:v>현재 발화 재생 후 다음 응답 선택</x:v>
      </x:c>
      <x:c r="E884" s="12" t="str">
        <x:v>external</x:v>
      </x:c>
      <x:c r="F884" s="13" t="n">
        <x:v>1.7440000000000002</x:v>
      </x:c>
      <x:c r="G884" s="13" t="n">
        <x:v>4.744</x:v>
      </x:c>
      <x:c r="H884" s="13" t="n">
        <x:v>3</x:v>
      </x:c>
      <x:c r="I884" s="13" t="n">
        <x:v>0</x:v>
      </x:c>
      <x:c r="J884" s="12" t="str">
        <x:v>first_audio_output</x:v>
      </x:c>
      <x:c r="K884" s="12" t="str">
        <x:v>none</x:v>
      </x:c>
      <x:c r="L884" s="13" t="n">
        <x:f>IF(G884&lt;=I884,0,MAX(0,L883)+IF(E884="via",MAX(0,G884-MAX(F884,I884)),0))</x:f>
        <x:v>1.7440000000000002</x:v>
      </x:c>
    </x:row>
    <x:row r="885" ht="42" customHeight="1">
      <x:c r="A885" s="7" t="str">
        <x:v>DP3-B-R1</x:v>
      </x:c>
      <x:c r="B885" s="7" t="str">
        <x:v>U13</x:v>
      </x:c>
      <x:c r="C885" s="7" t="str">
        <x:v>terminal</x:v>
      </x:c>
      <x:c r="D885" s="7" t="str">
        <x:v>공통 목표 최종 상태와 전체 음성 준비</x:v>
      </x:c>
      <x:c r="E885" s="7" t="str">
        <x:v>via</x:v>
      </x:c>
      <x:c r="F885" s="14" t="n">
        <x:v>11.198</x:v>
      </x:c>
      <x:c r="G885" s="14" t="n">
        <x:v>11.198</x:v>
      </x:c>
      <x:c r="H885" s="14" t="n">
        <x:v>0</x:v>
      </x:c>
      <x:c r="I885" s="14" t="n">
        <x:v>0</x:v>
      </x:c>
      <x:c r="J885" s="7" t="str">
        <x:v>result_display, response_audio, intent_audio, first_audio_output</x:v>
      </x:c>
      <x:c r="K885" s="7" t="str">
        <x:v>none</x:v>
      </x:c>
      <x:c r="L885" s="14" t="n">
        <x:f>IF(G885&lt;=I885,0,MAX(0,L879,L880,L881,L883)+IF(E885="via",MAX(0,G885-MAX(F885,I885)),0))</x:f>
        <x:v>3.1980000000000004</x:v>
      </x:c>
    </x:row>
    <x:row r="886" ht="42" customHeight="1">
      <x:c r="A886" s="12" t="str">
        <x:v>DP3-B-R1</x:v>
      </x:c>
      <x:c r="B886" s="12" t="str">
        <x:v>U14</x:v>
      </x:c>
      <x:c r="C886" s="12" t="str">
        <x:v>input_end</x:v>
      </x:c>
      <x:c r="D886" s="12" t="str">
        <x:v>사용자 입력 종료</x:v>
      </x:c>
      <x:c r="E886" s="12" t="str">
        <x:v>external</x:v>
      </x:c>
      <x:c r="F886" s="13" t="n">
        <x:v>0</x:v>
      </x:c>
      <x:c r="G886" s="13" t="n">
        <x:v>0</x:v>
      </x:c>
      <x:c r="H886" s="13" t="n">
        <x:v>0</x:v>
      </x:c>
      <x:c r="I886" s="13" t="n">
        <x:v>0</x:v>
      </x:c>
      <x:c r="J886" s="12" t="str"/>
      <x:c r="K886" s="12" t="str">
        <x:v>none</x:v>
      </x:c>
      <x:c r="L886" s="13" t="n">
        <x:f>IF(G886&lt;=I886,0,MAX(0)+IF(E886="via",MAX(0,G886-MAX(F886,I886)),0))</x:f>
        <x:v>0</x:v>
      </x:c>
    </x:row>
    <x:row r="887" ht="42" customHeight="1">
      <x:c r="A887" s="7" t="str">
        <x:v>DP3-B-R1</x:v>
      </x:c>
      <x:c r="B887" s="7" t="str">
        <x:v>U14</x:v>
      </x:c>
      <x:c r="C887" s="7" t="str">
        <x:v>intake</x:v>
      </x:c>
      <x:c r="D887" s="7" t="str">
        <x:v>입력 확정</x:v>
      </x:c>
      <x:c r="E887" s="7" t="str">
        <x:v>via</x:v>
      </x:c>
      <x:c r="F887" s="14" t="n">
        <x:v>0</x:v>
      </x:c>
      <x:c r="G887" s="14" t="n">
        <x:v>0.3</x:v>
      </x:c>
      <x:c r="H887" s="14" t="n">
        <x:v>0.3</x:v>
      </x:c>
      <x:c r="I887" s="14" t="n">
        <x:v>0</x:v>
      </x:c>
      <x:c r="J887" s="7" t="str">
        <x:v>input_end</x:v>
      </x:c>
      <x:c r="K887" s="7" t="str">
        <x:v>none</x:v>
      </x:c>
      <x:c r="L887" s="14" t="n">
        <x:f>IF(G887&lt;=I887,0,MAX(0,L886)+IF(E887="via",MAX(0,G887-MAX(F887,I887)),0))</x:f>
        <x:v>0.3</x:v>
      </x:c>
    </x:row>
    <x:row r="888" ht="42" customHeight="1">
      <x:c r="A888" s="12" t="str">
        <x:v>DP3-B-R1</x:v>
      </x:c>
      <x:c r="B888" s="12" t="str">
        <x:v>U14</x:v>
      </x:c>
      <x:c r="C888" s="12" t="str">
        <x:v>read</x:v>
      </x:c>
      <x:c r="D888" s="12" t="str">
        <x:v>공통 허용 원본 조회</x:v>
      </x:c>
      <x:c r="E888" s="12" t="str">
        <x:v>via</x:v>
      </x:c>
      <x:c r="F888" s="13" t="n">
        <x:v>0.3</x:v>
      </x:c>
      <x:c r="G888" s="13" t="n">
        <x:v>0.38</x:v>
      </x:c>
      <x:c r="H888" s="13" t="n">
        <x:v>0.08</x:v>
      </x:c>
      <x:c r="I888" s="13" t="n">
        <x:v>0</x:v>
      </x:c>
      <x:c r="J888" s="12" t="str">
        <x:v>intake</x:v>
      </x:c>
      <x:c r="K888" s="12" t="str">
        <x:v>none</x:v>
      </x:c>
      <x:c r="L888" s="13" t="n">
        <x:f>IF(G888&lt;=I888,0,MAX(0,L887)+IF(E888="via",MAX(0,G888-MAX(F888,I888)),0))</x:f>
        <x:v>0.38</x:v>
      </x:c>
    </x:row>
    <x:row r="889" ht="42" customHeight="1">
      <x:c r="A889" s="7" t="str">
        <x:v>DP3-B-R1</x:v>
      </x:c>
      <x:c r="B889" s="7" t="str">
        <x:v>U14</x:v>
      </x:c>
      <x:c r="C889" s="7" t="str">
        <x:v>meaning</x:v>
      </x:c>
      <x:c r="D889" s="7" t="str">
        <x:v>최초 요청 의미 채택 packet 생성</x:v>
      </x:c>
      <x:c r="E889" s="7" t="str">
        <x:v>via</x:v>
      </x:c>
      <x:c r="F889" s="14" t="n">
        <x:v>0.38</x:v>
      </x:c>
      <x:c r="G889" s="14" t="n">
        <x:v>1.88</x:v>
      </x:c>
      <x:c r="H889" s="14" t="n">
        <x:v>1.5</x:v>
      </x:c>
      <x:c r="I889" s="14" t="n">
        <x:v>0</x:v>
      </x:c>
      <x:c r="J889" s="7" t="str">
        <x:v>read</x:v>
      </x:c>
      <x:c r="K889" s="7" t="str">
        <x:v>semantic</x:v>
      </x:c>
      <x:c r="L889" s="14" t="n">
        <x:f>IF(G889&lt;=I889,0,MAX(0,L888)+IF(E889="via",MAX(0,G889-MAX(F889,I889)),0))</x:f>
        <x:v>1.88</x:v>
      </x:c>
    </x:row>
    <x:row r="890" ht="42" customHeight="1">
      <x:c r="A890" s="12" t="str">
        <x:v>DP3-B-R1</x:v>
      </x:c>
      <x:c r="B890" s="12" t="str">
        <x:v>U14</x:v>
      </x:c>
      <x:c r="C890" s="12" t="str">
        <x:v>adopt</x:v>
      </x:c>
      <x:c r="D890" s="12" t="str">
        <x:v>현재 revision과 권한 검사 및 채택</x:v>
      </x:c>
      <x:c r="E890" s="12" t="str">
        <x:v>via</x:v>
      </x:c>
      <x:c r="F890" s="13" t="n">
        <x:v>1.88</x:v>
      </x:c>
      <x:c r="G890" s="13" t="n">
        <x:v>1.91</x:v>
      </x:c>
      <x:c r="H890" s="13" t="n">
        <x:v>0.03</x:v>
      </x:c>
      <x:c r="I890" s="13" t="n">
        <x:v>0</x:v>
      </x:c>
      <x:c r="J890" s="12" t="str">
        <x:v>meaning</x:v>
      </x:c>
      <x:c r="K890" s="12" t="str">
        <x:v>none</x:v>
      </x:c>
      <x:c r="L890" s="13" t="n">
        <x:f>IF(G890&lt;=I890,0,MAX(0,L889)+IF(E890="via",MAX(0,G890-MAX(F890,I890)),0))</x:f>
        <x:v>1.91</x:v>
      </x:c>
    </x:row>
    <x:row r="891" ht="42" customHeight="1">
      <x:c r="A891" s="7" t="str">
        <x:v>DP3-B-R1</x:v>
      </x:c>
      <x:c r="B891" s="7" t="str">
        <x:v>U14</x:v>
      </x:c>
      <x:c r="C891" s="7" t="str">
        <x:v>first_display</x:v>
      </x:c>
      <x:c r="D891" s="7" t="str">
        <x:v>첫 구체적 채택 내용 화면 표시</x:v>
      </x:c>
      <x:c r="E891" s="7" t="str">
        <x:v>via</x:v>
      </x:c>
      <x:c r="F891" s="14" t="n">
        <x:v>1.91</x:v>
      </x:c>
      <x:c r="G891" s="14" t="n">
        <x:v>1.95</x:v>
      </x:c>
      <x:c r="H891" s="14" t="n">
        <x:v>0.04</x:v>
      </x:c>
      <x:c r="I891" s="14" t="n">
        <x:v>0</x:v>
      </x:c>
      <x:c r="J891" s="7" t="str">
        <x:v>adopt</x:v>
      </x:c>
      <x:c r="K891" s="7" t="str">
        <x:v>none</x:v>
      </x:c>
      <x:c r="L891" s="14" t="n">
        <x:f>IF(G891&lt;=I891,0,MAX(0,L890)+IF(E891="via",MAX(0,G891-MAX(F891,I891)),0))</x:f>
        <x:v>1.95</x:v>
      </x:c>
    </x:row>
    <x:row r="892" ht="42" customHeight="1">
      <x:c r="A892" s="12" t="str">
        <x:v>DP3-B-R1</x:v>
      </x:c>
      <x:c r="B892" s="12" t="str">
        <x:v>U14</x:v>
      </x:c>
      <x:c r="C892" s="12" t="str">
        <x:v>agent_ingress</x:v>
      </x:c>
      <x:c r="D892" s="12" t="str">
        <x:v>Agent 요청 전송</x:v>
      </x:c>
      <x:c r="E892" s="12" t="str">
        <x:v>via</x:v>
      </x:c>
      <x:c r="F892" s="13" t="n">
        <x:v>1.91</x:v>
      </x:c>
      <x:c r="G892" s="13" t="n">
        <x:v>1.95</x:v>
      </x:c>
      <x:c r="H892" s="13" t="n">
        <x:v>0.04</x:v>
      </x:c>
      <x:c r="I892" s="13" t="n">
        <x:v>0</x:v>
      </x:c>
      <x:c r="J892" s="12" t="str">
        <x:v>adopt</x:v>
      </x:c>
      <x:c r="K892" s="12" t="str">
        <x:v>none</x:v>
      </x:c>
      <x:c r="L892" s="13" t="n">
        <x:f>IF(G892&lt;=I892,0,MAX(0,L890)+IF(E892="via",MAX(0,G892-MAX(F892,I892)),0))</x:f>
        <x:v>1.95</x:v>
      </x:c>
    </x:row>
    <x:row r="893" ht="42" customHeight="1">
      <x:c r="A893" s="7" t="str">
        <x:v>DP3-B-R1</x:v>
      </x:c>
      <x:c r="B893" s="7" t="str">
        <x:v>U14</x:v>
      </x:c>
      <x:c r="C893" s="7" t="str">
        <x:v>agent_result</x:v>
      </x:c>
      <x:c r="D893" s="7" t="str">
        <x:v>외부 Agent 업무</x:v>
      </x:c>
      <x:c r="E893" s="7" t="str">
        <x:v>external</x:v>
      </x:c>
      <x:c r="F893" s="14" t="n">
        <x:v>1.95</x:v>
      </x:c>
      <x:c r="G893" s="14" t="n">
        <x:v>9.95</x:v>
      </x:c>
      <x:c r="H893" s="14" t="n">
        <x:v>8</x:v>
      </x:c>
      <x:c r="I893" s="14" t="n">
        <x:v>0</x:v>
      </x:c>
      <x:c r="J893" s="7" t="str">
        <x:v>agent_ingress</x:v>
      </x:c>
      <x:c r="K893" s="7" t="str">
        <x:v>none</x:v>
      </x:c>
      <x:c r="L893" s="14" t="n">
        <x:f>IF(G893&lt;=I893,0,MAX(0,L892)+IF(E893="via",MAX(0,G893-MAX(F893,I893)),0))</x:f>
        <x:v>1.95</x:v>
      </x:c>
    </x:row>
    <x:row r="894" ht="42" customHeight="1">
      <x:c r="A894" s="12" t="str">
        <x:v>DP3-B-R1</x:v>
      </x:c>
      <x:c r="B894" s="12" t="str">
        <x:v>U14</x:v>
      </x:c>
      <x:c r="C894" s="12" t="str">
        <x:v>result_display</x:v>
      </x:c>
      <x:c r="D894" s="12" t="str">
        <x:v>최종 결과 상세 표시</x:v>
      </x:c>
      <x:c r="E894" s="12" t="str">
        <x:v>via</x:v>
      </x:c>
      <x:c r="F894" s="13" t="n">
        <x:v>9.95</x:v>
      </x:c>
      <x:c r="G894" s="13" t="n">
        <x:v>9.989999999999998</x:v>
      </x:c>
      <x:c r="H894" s="13" t="n">
        <x:v>0.04</x:v>
      </x:c>
      <x:c r="I894" s="13" t="n">
        <x:v>0</x:v>
      </x:c>
      <x:c r="J894" s="12" t="str">
        <x:v>agent_result</x:v>
      </x:c>
      <x:c r="K894" s="12" t="str">
        <x:v>none</x:v>
      </x:c>
      <x:c r="L894" s="13" t="n">
        <x:f>IF(G894&lt;=I894,0,MAX(0,L893)+IF(E894="via",MAX(0,G894-MAX(F894,I894)),0))</x:f>
        <x:v>1.989999999999999</x:v>
      </x:c>
    </x:row>
    <x:row r="895" ht="42" customHeight="1">
      <x:c r="A895" s="7" t="str">
        <x:v>DP3-B-R1</x:v>
      </x:c>
      <x:c r="B895" s="7" t="str">
        <x:v>U14</x:v>
      </x:c>
      <x:c r="C895" s="7" t="str">
        <x:v>response_audio</x:v>
      </x:c>
      <x:c r="D895" s="7" t="str">
        <x:v>선택한 응답 음성 생성</x:v>
      </x:c>
      <x:c r="E895" s="7" t="str">
        <x:v>via</x:v>
      </x:c>
      <x:c r="F895" s="14" t="n">
        <x:v>9.95</x:v>
      </x:c>
      <x:c r="G895" s="14" t="n">
        <x:v>11.838</x:v>
      </x:c>
      <x:c r="H895" s="14" t="n">
        <x:v>1.888</x:v>
      </x:c>
      <x:c r="I895" s="14" t="n">
        <x:v>0</x:v>
      </x:c>
      <x:c r="J895" s="7" t="str">
        <x:v>agent_result</x:v>
      </x:c>
      <x:c r="K895" s="7" t="str">
        <x:v>speech</x:v>
      </x:c>
      <x:c r="L895" s="14" t="n">
        <x:f>IF(G895&lt;=I895,0,MAX(0,L893)+IF(E895="via",MAX(0,G895-MAX(F895,I895)),0))</x:f>
        <x:v>3.838</x:v>
      </x:c>
    </x:row>
    <x:row r="896" ht="42" customHeight="1">
      <x:c r="A896" s="12" t="str">
        <x:v>DP3-B-R1</x:v>
      </x:c>
      <x:c r="B896" s="12" t="str">
        <x:v>U14</x:v>
      </x:c>
      <x:c r="C896" s="12" t="str">
        <x:v>intent_audio</x:v>
      </x:c>
      <x:c r="D896" s="12" t="str">
        <x:v>채택한 구체적 수행 의도의 짧은 음성</x:v>
      </x:c>
      <x:c r="E896" s="12" t="str">
        <x:v>via</x:v>
      </x:c>
      <x:c r="F896" s="13" t="n">
        <x:v>1.91</x:v>
      </x:c>
      <x:c r="G896" s="13" t="n">
        <x:v>3.0439999999999996</x:v>
      </x:c>
      <x:c r="H896" s="13" t="n">
        <x:v>1.134</x:v>
      </x:c>
      <x:c r="I896" s="13" t="n">
        <x:v>0</x:v>
      </x:c>
      <x:c r="J896" s="12" t="str">
        <x:v>adopt</x:v>
      </x:c>
      <x:c r="K896" s="12" t="str">
        <x:v>speech</x:v>
      </x:c>
      <x:c r="L896" s="13" t="n">
        <x:f>IF(G896&lt;=I896,0,MAX(0,L890)+IF(E896="via",MAX(0,G896-MAX(F896,I896)),0))</x:f>
        <x:v>3.0439999999999996</x:v>
      </x:c>
    </x:row>
    <x:row r="897" ht="42" customHeight="1">
      <x:c r="A897" s="7" t="str">
        <x:v>DP3-B-R1</x:v>
      </x:c>
      <x:c r="B897" s="7" t="str">
        <x:v>U14</x:v>
      </x:c>
      <x:c r="C897" s="7" t="str">
        <x:v>first_chunk</x:v>
      </x:c>
      <x:c r="D897" s="7" t="str">
        <x:v>같은 생성 job의 유효 첫 chunk 관측</x:v>
      </x:c>
      <x:c r="E897" s="7" t="str">
        <x:v>via</x:v>
      </x:c>
      <x:c r="F897" s="14" t="n">
        <x:v>1.91</x:v>
      </x:c>
      <x:c r="G897" s="14" t="n">
        <x:v>2.344</x:v>
      </x:c>
      <x:c r="H897" s="14" t="n">
        <x:v>0.434</x:v>
      </x:c>
      <x:c r="I897" s="14" t="n">
        <x:v>0</x:v>
      </x:c>
      <x:c r="J897" s="7" t="str">
        <x:v>adopt</x:v>
      </x:c>
      <x:c r="K897" s="7" t="str">
        <x:v>none</x:v>
      </x:c>
      <x:c r="L897" s="14" t="n">
        <x:f>IF(G897&lt;=I897,0,MAX(0,L890)+IF(E897="via",MAX(0,G897-MAX(F897,I897)),0))</x:f>
        <x:v>2.344</x:v>
      </x:c>
    </x:row>
    <x:row r="898" ht="42" customHeight="1">
      <x:c r="A898" s="12" t="str">
        <x:v>DP3-B-R1</x:v>
      </x:c>
      <x:c r="B898" s="12" t="str">
        <x:v>U14</x:v>
      </x:c>
      <x:c r="C898" s="12" t="str">
        <x:v>first_audio_output</x:v>
      </x:c>
      <x:c r="D898" s="12" t="str">
        <x:v>공통 장치의 첫 음성 출력</x:v>
      </x:c>
      <x:c r="E898" s="12" t="str">
        <x:v>via</x:v>
      </x:c>
      <x:c r="F898" s="13" t="n">
        <x:v>2.344</x:v>
      </x:c>
      <x:c r="G898" s="13" t="n">
        <x:v>2.384</x:v>
      </x:c>
      <x:c r="H898" s="13" t="n">
        <x:v>0.04</x:v>
      </x:c>
      <x:c r="I898" s="13" t="n">
        <x:v>0</x:v>
      </x:c>
      <x:c r="J898" s="12" t="str">
        <x:v>adopt, first_chunk</x:v>
      </x:c>
      <x:c r="K898" s="12" t="str">
        <x:v>none</x:v>
      </x:c>
      <x:c r="L898" s="13" t="n">
        <x:f>IF(G898&lt;=I898,0,MAX(0,L890,L897)+IF(E898="via",MAX(0,G898-MAX(F898,I898)),0))</x:f>
        <x:v>2.384</x:v>
      </x:c>
    </x:row>
    <x:row r="899" ht="42" customHeight="1">
      <x:c r="A899" s="7" t="str">
        <x:v>DP3-B-R1</x:v>
      </x:c>
      <x:c r="B899" s="7" t="str">
        <x:v>U14</x:v>
      </x:c>
      <x:c r="C899" s="7" t="str">
        <x:v>next_speech_selection</x:v>
      </x:c>
      <x:c r="D899" s="7" t="str">
        <x:v>현재 발화 재생 후 다음 응답 선택</x:v>
      </x:c>
      <x:c r="E899" s="7" t="str">
        <x:v>external</x:v>
      </x:c>
      <x:c r="F899" s="14" t="n">
        <x:v>2.384</x:v>
      </x:c>
      <x:c r="G899" s="14" t="n">
        <x:v>5.384</x:v>
      </x:c>
      <x:c r="H899" s="14" t="n">
        <x:v>3</x:v>
      </x:c>
      <x:c r="I899" s="14" t="n">
        <x:v>0</x:v>
      </x:c>
      <x:c r="J899" s="7" t="str">
        <x:v>first_audio_output</x:v>
      </x:c>
      <x:c r="K899" s="7" t="str">
        <x:v>none</x:v>
      </x:c>
      <x:c r="L899" s="14" t="n">
        <x:f>IF(G899&lt;=I899,0,MAX(0,L898)+IF(E899="via",MAX(0,G899-MAX(F899,I899)),0))</x:f>
        <x:v>2.384</x:v>
      </x:c>
    </x:row>
    <x:row r="900" ht="42" customHeight="1">
      <x:c r="A900" s="12" t="str">
        <x:v>DP3-B-R1</x:v>
      </x:c>
      <x:c r="B900" s="12" t="str">
        <x:v>U14</x:v>
      </x:c>
      <x:c r="C900" s="12" t="str">
        <x:v>terminal</x:v>
      </x:c>
      <x:c r="D900" s="12" t="str">
        <x:v>공통 목표 최종 상태와 전체 음성 준비</x:v>
      </x:c>
      <x:c r="E900" s="12" t="str">
        <x:v>via</x:v>
      </x:c>
      <x:c r="F900" s="13" t="n">
        <x:v>11.838</x:v>
      </x:c>
      <x:c r="G900" s="13" t="n">
        <x:v>11.838</x:v>
      </x:c>
      <x:c r="H900" s="13" t="n">
        <x:v>0</x:v>
      </x:c>
      <x:c r="I900" s="13" t="n">
        <x:v>0</x:v>
      </x:c>
      <x:c r="J900" s="12" t="str">
        <x:v>result_display, response_audio, intent_audio, first_audio_output</x:v>
      </x:c>
      <x:c r="K900" s="12" t="str">
        <x:v>none</x:v>
      </x:c>
      <x:c r="L900" s="13" t="n">
        <x:f>IF(G900&lt;=I900,0,MAX(0,L894,L895,L896,L898)+IF(E900="via",MAX(0,G900-MAX(F900,I900)),0))</x:f>
        <x:v>3.838</x:v>
      </x:c>
    </x:row>
    <x:row r="901" ht="42" customHeight="1">
      <x:c r="A901" s="7" t="str">
        <x:v>DP3-B-R1</x:v>
      </x:c>
      <x:c r="B901" s="7" t="str">
        <x:v>U15</x:v>
      </x:c>
      <x:c r="C901" s="7" t="str">
        <x:v>input_end</x:v>
      </x:c>
      <x:c r="D901" s="7" t="str">
        <x:v>사용자 입력 종료</x:v>
      </x:c>
      <x:c r="E901" s="7" t="str">
        <x:v>external</x:v>
      </x:c>
      <x:c r="F901" s="14" t="n">
        <x:v>0</x:v>
      </x:c>
      <x:c r="G901" s="14" t="n">
        <x:v>0</x:v>
      </x:c>
      <x:c r="H901" s="14" t="n">
        <x:v>0</x:v>
      </x:c>
      <x:c r="I901" s="14" t="n">
        <x:v>0</x:v>
      </x:c>
      <x:c r="J901" s="7" t="str"/>
      <x:c r="K901" s="7" t="str">
        <x:v>none</x:v>
      </x:c>
      <x:c r="L901" s="14" t="n">
        <x:f>IF(G901&lt;=I901,0,MAX(0)+IF(E901="via",MAX(0,G901-MAX(F901,I901)),0))</x:f>
        <x:v>0</x:v>
      </x:c>
    </x:row>
    <x:row r="902" ht="42" customHeight="1">
      <x:c r="A902" s="12" t="str">
        <x:v>DP3-B-R1</x:v>
      </x:c>
      <x:c r="B902" s="12" t="str">
        <x:v>U15</x:v>
      </x:c>
      <x:c r="C902" s="12" t="str">
        <x:v>intake</x:v>
      </x:c>
      <x:c r="D902" s="12" t="str">
        <x:v>입력 확정</x:v>
      </x:c>
      <x:c r="E902" s="12" t="str">
        <x:v>via</x:v>
      </x:c>
      <x:c r="F902" s="13" t="n">
        <x:v>0</x:v>
      </x:c>
      <x:c r="G902" s="13" t="n">
        <x:v>0.06</x:v>
      </x:c>
      <x:c r="H902" s="13" t="n">
        <x:v>0.06</x:v>
      </x:c>
      <x:c r="I902" s="13" t="n">
        <x:v>0</x:v>
      </x:c>
      <x:c r="J902" s="12" t="str">
        <x:v>input_end</x:v>
      </x:c>
      <x:c r="K902" s="12" t="str">
        <x:v>none</x:v>
      </x:c>
      <x:c r="L902" s="13" t="n">
        <x:f>IF(G902&lt;=I902,0,MAX(0,L901)+IF(E902="via",MAX(0,G902-MAX(F902,I902)),0))</x:f>
        <x:v>0.06</x:v>
      </x:c>
    </x:row>
    <x:row r="903" ht="42" customHeight="1">
      <x:c r="A903" s="7" t="str">
        <x:v>DP3-B-R1</x:v>
      </x:c>
      <x:c r="B903" s="7" t="str">
        <x:v>U15</x:v>
      </x:c>
      <x:c r="C903" s="7" t="str">
        <x:v>read</x:v>
      </x:c>
      <x:c r="D903" s="7" t="str">
        <x:v>공통 허용 원본 조회</x:v>
      </x:c>
      <x:c r="E903" s="7" t="str">
        <x:v>via</x:v>
      </x:c>
      <x:c r="F903" s="14" t="n">
        <x:v>0.06</x:v>
      </x:c>
      <x:c r="G903" s="14" t="n">
        <x:v>0.14</x:v>
      </x:c>
      <x:c r="H903" s="14" t="n">
        <x:v>0.08</x:v>
      </x:c>
      <x:c r="I903" s="14" t="n">
        <x:v>0</x:v>
      </x:c>
      <x:c r="J903" s="7" t="str">
        <x:v>intake</x:v>
      </x:c>
      <x:c r="K903" s="7" t="str">
        <x:v>none</x:v>
      </x:c>
      <x:c r="L903" s="14" t="n">
        <x:f>IF(G903&lt;=I903,0,MAX(0,L902)+IF(E903="via",MAX(0,G903-MAX(F903,I903)),0))</x:f>
        <x:v>0.14</x:v>
      </x:c>
    </x:row>
    <x:row r="904" ht="42" customHeight="1">
      <x:c r="A904" s="12" t="str">
        <x:v>DP3-B-R1</x:v>
      </x:c>
      <x:c r="B904" s="12" t="str">
        <x:v>U15</x:v>
      </x:c>
      <x:c r="C904" s="12" t="str">
        <x:v>meaning</x:v>
      </x:c>
      <x:c r="D904" s="12" t="str">
        <x:v>최초 요청 의미 채택 packet 생성</x:v>
      </x:c>
      <x:c r="E904" s="12" t="str">
        <x:v>via</x:v>
      </x:c>
      <x:c r="F904" s="13" t="n">
        <x:v>0.14</x:v>
      </x:c>
      <x:c r="G904" s="13" t="n">
        <x:v>1.2400000000000002</x:v>
      </x:c>
      <x:c r="H904" s="13" t="n">
        <x:v>1.1</x:v>
      </x:c>
      <x:c r="I904" s="13" t="n">
        <x:v>0</x:v>
      </x:c>
      <x:c r="J904" s="12" t="str">
        <x:v>read</x:v>
      </x:c>
      <x:c r="K904" s="12" t="str">
        <x:v>semantic</x:v>
      </x:c>
      <x:c r="L904" s="13" t="n">
        <x:f>IF(G904&lt;=I904,0,MAX(0,L903)+IF(E904="via",MAX(0,G904-MAX(F904,I904)),0))</x:f>
        <x:v>1.2400000000000002</x:v>
      </x:c>
    </x:row>
    <x:row r="905" ht="42" customHeight="1">
      <x:c r="A905" s="7" t="str">
        <x:v>DP3-B-R1</x:v>
      </x:c>
      <x:c r="B905" s="7" t="str">
        <x:v>U15</x:v>
      </x:c>
      <x:c r="C905" s="7" t="str">
        <x:v>adopt</x:v>
      </x:c>
      <x:c r="D905" s="7" t="str">
        <x:v>현재 revision과 권한 검사 및 채택</x:v>
      </x:c>
      <x:c r="E905" s="7" t="str">
        <x:v>via</x:v>
      </x:c>
      <x:c r="F905" s="14" t="n">
        <x:v>1.2400000000000002</x:v>
      </x:c>
      <x:c r="G905" s="14" t="n">
        <x:v>1.2700000000000002</x:v>
      </x:c>
      <x:c r="H905" s="14" t="n">
        <x:v>0.03</x:v>
      </x:c>
      <x:c r="I905" s="14" t="n">
        <x:v>0</x:v>
      </x:c>
      <x:c r="J905" s="7" t="str">
        <x:v>meaning</x:v>
      </x:c>
      <x:c r="K905" s="7" t="str">
        <x:v>none</x:v>
      </x:c>
      <x:c r="L905" s="14" t="n">
        <x:f>IF(G905&lt;=I905,0,MAX(0,L904)+IF(E905="via",MAX(0,G905-MAX(F905,I905)),0))</x:f>
        <x:v>1.2700000000000002</x:v>
      </x:c>
    </x:row>
    <x:row r="906" ht="42" customHeight="1">
      <x:c r="A906" s="12" t="str">
        <x:v>DP3-B-R1</x:v>
      </x:c>
      <x:c r="B906" s="12" t="str">
        <x:v>U15</x:v>
      </x:c>
      <x:c r="C906" s="12" t="str">
        <x:v>first_display</x:v>
      </x:c>
      <x:c r="D906" s="12" t="str">
        <x:v>첫 구체적 채택 내용 화면 표시</x:v>
      </x:c>
      <x:c r="E906" s="12" t="str">
        <x:v>via</x:v>
      </x:c>
      <x:c r="F906" s="13" t="n">
        <x:v>1.2700000000000002</x:v>
      </x:c>
      <x:c r="G906" s="13" t="n">
        <x:v>1.3100000000000003</x:v>
      </x:c>
      <x:c r="H906" s="13" t="n">
        <x:v>0.04</x:v>
      </x:c>
      <x:c r="I906" s="13" t="n">
        <x:v>0</x:v>
      </x:c>
      <x:c r="J906" s="12" t="str">
        <x:v>adopt</x:v>
      </x:c>
      <x:c r="K906" s="12" t="str">
        <x:v>none</x:v>
      </x:c>
      <x:c r="L906" s="13" t="n">
        <x:f>IF(G906&lt;=I906,0,MAX(0,L905)+IF(E906="via",MAX(0,G906-MAX(F906,I906)),0))</x:f>
        <x:v>1.3100000000000003</x:v>
      </x:c>
    </x:row>
    <x:row r="907" ht="42" customHeight="1">
      <x:c r="A907" s="7" t="str">
        <x:v>DP3-B-R1</x:v>
      </x:c>
      <x:c r="B907" s="7" t="str">
        <x:v>U15</x:v>
      </x:c>
      <x:c r="C907" s="7" t="str">
        <x:v>agent_ingress</x:v>
      </x:c>
      <x:c r="D907" s="7" t="str">
        <x:v>Agent 요청 전송</x:v>
      </x:c>
      <x:c r="E907" s="7" t="str">
        <x:v>via</x:v>
      </x:c>
      <x:c r="F907" s="14" t="n">
        <x:v>1.2700000000000002</x:v>
      </x:c>
      <x:c r="G907" s="14" t="n">
        <x:v>1.3100000000000003</x:v>
      </x:c>
      <x:c r="H907" s="14" t="n">
        <x:v>0.04</x:v>
      </x:c>
      <x:c r="I907" s="14" t="n">
        <x:v>0</x:v>
      </x:c>
      <x:c r="J907" s="7" t="str">
        <x:v>adopt</x:v>
      </x:c>
      <x:c r="K907" s="7" t="str">
        <x:v>none</x:v>
      </x:c>
      <x:c r="L907" s="14" t="n">
        <x:f>IF(G907&lt;=I907,0,MAX(0,L905)+IF(E907="via",MAX(0,G907-MAX(F907,I907)),0))</x:f>
        <x:v>1.3100000000000003</x:v>
      </x:c>
    </x:row>
    <x:row r="908" ht="42" customHeight="1">
      <x:c r="A908" s="12" t="str">
        <x:v>DP3-B-R1</x:v>
      </x:c>
      <x:c r="B908" s="12" t="str">
        <x:v>U15</x:v>
      </x:c>
      <x:c r="C908" s="12" t="str">
        <x:v>agent_result</x:v>
      </x:c>
      <x:c r="D908" s="12" t="str">
        <x:v>외부 Agent 업무</x:v>
      </x:c>
      <x:c r="E908" s="12" t="str">
        <x:v>external</x:v>
      </x:c>
      <x:c r="F908" s="13" t="n">
        <x:v>1.3100000000000003</x:v>
      </x:c>
      <x:c r="G908" s="13" t="n">
        <x:v>9.31</x:v>
      </x:c>
      <x:c r="H908" s="13" t="n">
        <x:v>8</x:v>
      </x:c>
      <x:c r="I908" s="13" t="n">
        <x:v>0</x:v>
      </x:c>
      <x:c r="J908" s="12" t="str">
        <x:v>agent_ingress</x:v>
      </x:c>
      <x:c r="K908" s="12" t="str">
        <x:v>none</x:v>
      </x:c>
      <x:c r="L908" s="13" t="n">
        <x:f>IF(G908&lt;=I908,0,MAX(0,L907)+IF(E908="via",MAX(0,G908-MAX(F908,I908)),0))</x:f>
        <x:v>1.3100000000000003</x:v>
      </x:c>
    </x:row>
    <x:row r="909" ht="42" customHeight="1">
      <x:c r="A909" s="7" t="str">
        <x:v>DP3-B-R1</x:v>
      </x:c>
      <x:c r="B909" s="7" t="str">
        <x:v>U15</x:v>
      </x:c>
      <x:c r="C909" s="7" t="str">
        <x:v>result_display</x:v>
      </x:c>
      <x:c r="D909" s="7" t="str">
        <x:v>최종 결과 상세 표시</x:v>
      </x:c>
      <x:c r="E909" s="7" t="str">
        <x:v>via</x:v>
      </x:c>
      <x:c r="F909" s="14" t="n">
        <x:v>9.31</x:v>
      </x:c>
      <x:c r="G909" s="14" t="n">
        <x:v>9.35</x:v>
      </x:c>
      <x:c r="H909" s="14" t="n">
        <x:v>0.04</x:v>
      </x:c>
      <x:c r="I909" s="14" t="n">
        <x:v>0</x:v>
      </x:c>
      <x:c r="J909" s="7" t="str">
        <x:v>agent_result</x:v>
      </x:c>
      <x:c r="K909" s="7" t="str">
        <x:v>none</x:v>
      </x:c>
      <x:c r="L909" s="14" t="n">
        <x:f>IF(G909&lt;=I909,0,MAX(0,L908)+IF(E909="via",MAX(0,G909-MAX(F909,I909)),0))</x:f>
        <x:v>1.3499999999999994</x:v>
      </x:c>
    </x:row>
    <x:row r="910" ht="42" customHeight="1">
      <x:c r="A910" s="12" t="str">
        <x:v>DP3-B-R1</x:v>
      </x:c>
      <x:c r="B910" s="12" t="str">
        <x:v>U15</x:v>
      </x:c>
      <x:c r="C910" s="12" t="str">
        <x:v>response_audio</x:v>
      </x:c>
      <x:c r="D910" s="12" t="str">
        <x:v>선택한 응답 음성 생성</x:v>
      </x:c>
      <x:c r="E910" s="12" t="str">
        <x:v>via</x:v>
      </x:c>
      <x:c r="F910" s="13" t="n">
        <x:v>9.31</x:v>
      </x:c>
      <x:c r="G910" s="13" t="n">
        <x:v>11.198</x:v>
      </x:c>
      <x:c r="H910" s="13" t="n">
        <x:v>1.888</x:v>
      </x:c>
      <x:c r="I910" s="13" t="n">
        <x:v>0</x:v>
      </x:c>
      <x:c r="J910" s="12" t="str">
        <x:v>agent_result</x:v>
      </x:c>
      <x:c r="K910" s="12" t="str">
        <x:v>speech</x:v>
      </x:c>
      <x:c r="L910" s="13" t="n">
        <x:f>IF(G910&lt;=I910,0,MAX(0,L908)+IF(E910="via",MAX(0,G910-MAX(F910,I910)),0))</x:f>
        <x:v>3.1980000000000004</x:v>
      </x:c>
    </x:row>
    <x:row r="911" ht="42" customHeight="1">
      <x:c r="A911" s="7" t="str">
        <x:v>DP3-B-R1</x:v>
      </x:c>
      <x:c r="B911" s="7" t="str">
        <x:v>U15</x:v>
      </x:c>
      <x:c r="C911" s="7" t="str">
        <x:v>intent_audio</x:v>
      </x:c>
      <x:c r="D911" s="7" t="str">
        <x:v>채택한 구체적 수행 의도의 짧은 음성</x:v>
      </x:c>
      <x:c r="E911" s="7" t="str">
        <x:v>via</x:v>
      </x:c>
      <x:c r="F911" s="14" t="n">
        <x:v>1.2700000000000002</x:v>
      </x:c>
      <x:c r="G911" s="14" t="n">
        <x:v>2.404</x:v>
      </x:c>
      <x:c r="H911" s="14" t="n">
        <x:v>1.134</x:v>
      </x:c>
      <x:c r="I911" s="14" t="n">
        <x:v>0</x:v>
      </x:c>
      <x:c r="J911" s="7" t="str">
        <x:v>adopt</x:v>
      </x:c>
      <x:c r="K911" s="7" t="str">
        <x:v>speech</x:v>
      </x:c>
      <x:c r="L911" s="14" t="n">
        <x:f>IF(G911&lt;=I911,0,MAX(0,L905)+IF(E911="via",MAX(0,G911-MAX(F911,I911)),0))</x:f>
        <x:v>2.404</x:v>
      </x:c>
    </x:row>
    <x:row r="912" ht="42" customHeight="1">
      <x:c r="A912" s="12" t="str">
        <x:v>DP3-B-R1</x:v>
      </x:c>
      <x:c r="B912" s="12" t="str">
        <x:v>U15</x:v>
      </x:c>
      <x:c r="C912" s="12" t="str">
        <x:v>first_chunk</x:v>
      </x:c>
      <x:c r="D912" s="12" t="str">
        <x:v>같은 생성 job의 유효 첫 chunk 관측</x:v>
      </x:c>
      <x:c r="E912" s="12" t="str">
        <x:v>via</x:v>
      </x:c>
      <x:c r="F912" s="13" t="n">
        <x:v>1.2700000000000002</x:v>
      </x:c>
      <x:c r="G912" s="13" t="n">
        <x:v>1.7040000000000002</x:v>
      </x:c>
      <x:c r="H912" s="13" t="n">
        <x:v>0.434</x:v>
      </x:c>
      <x:c r="I912" s="13" t="n">
        <x:v>0</x:v>
      </x:c>
      <x:c r="J912" s="12" t="str">
        <x:v>adopt</x:v>
      </x:c>
      <x:c r="K912" s="12" t="str">
        <x:v>none</x:v>
      </x:c>
      <x:c r="L912" s="13" t="n">
        <x:f>IF(G912&lt;=I912,0,MAX(0,L905)+IF(E912="via",MAX(0,G912-MAX(F912,I912)),0))</x:f>
        <x:v>1.7040000000000002</x:v>
      </x:c>
    </x:row>
    <x:row r="913" ht="42" customHeight="1">
      <x:c r="A913" s="7" t="str">
        <x:v>DP3-B-R1</x:v>
      </x:c>
      <x:c r="B913" s="7" t="str">
        <x:v>U15</x:v>
      </x:c>
      <x:c r="C913" s="7" t="str">
        <x:v>first_audio_output</x:v>
      </x:c>
      <x:c r="D913" s="7" t="str">
        <x:v>공통 장치의 첫 음성 출력</x:v>
      </x:c>
      <x:c r="E913" s="7" t="str">
        <x:v>via</x:v>
      </x:c>
      <x:c r="F913" s="14" t="n">
        <x:v>1.7040000000000002</x:v>
      </x:c>
      <x:c r="G913" s="14" t="n">
        <x:v>1.7440000000000002</x:v>
      </x:c>
      <x:c r="H913" s="14" t="n">
        <x:v>0.04</x:v>
      </x:c>
      <x:c r="I913" s="14" t="n">
        <x:v>0</x:v>
      </x:c>
      <x:c r="J913" s="7" t="str">
        <x:v>adopt, first_chunk</x:v>
      </x:c>
      <x:c r="K913" s="7" t="str">
        <x:v>none</x:v>
      </x:c>
      <x:c r="L913" s="14" t="n">
        <x:f>IF(G913&lt;=I913,0,MAX(0,L905,L912)+IF(E913="via",MAX(0,G913-MAX(F913,I913)),0))</x:f>
        <x:v>1.7440000000000002</x:v>
      </x:c>
    </x:row>
    <x:row r="914" ht="42" customHeight="1">
      <x:c r="A914" s="12" t="str">
        <x:v>DP3-B-R1</x:v>
      </x:c>
      <x:c r="B914" s="12" t="str">
        <x:v>U15</x:v>
      </x:c>
      <x:c r="C914" s="12" t="str">
        <x:v>next_speech_selection</x:v>
      </x:c>
      <x:c r="D914" s="12" t="str">
        <x:v>현재 발화 재생 후 다음 응답 선택</x:v>
      </x:c>
      <x:c r="E914" s="12" t="str">
        <x:v>external</x:v>
      </x:c>
      <x:c r="F914" s="13" t="n">
        <x:v>1.7440000000000002</x:v>
      </x:c>
      <x:c r="G914" s="13" t="n">
        <x:v>4.744</x:v>
      </x:c>
      <x:c r="H914" s="13" t="n">
        <x:v>3</x:v>
      </x:c>
      <x:c r="I914" s="13" t="n">
        <x:v>0</x:v>
      </x:c>
      <x:c r="J914" s="12" t="str">
        <x:v>first_audio_output</x:v>
      </x:c>
      <x:c r="K914" s="12" t="str">
        <x:v>none</x:v>
      </x:c>
      <x:c r="L914" s="13" t="n">
        <x:f>IF(G914&lt;=I914,0,MAX(0,L913)+IF(E914="via",MAX(0,G914-MAX(F914,I914)),0))</x:f>
        <x:v>1.7440000000000002</x:v>
      </x:c>
    </x:row>
    <x:row r="915" ht="42" customHeight="1">
      <x:c r="A915" s="7" t="str">
        <x:v>DP3-B-R1</x:v>
      </x:c>
      <x:c r="B915" s="7" t="str">
        <x:v>U15</x:v>
      </x:c>
      <x:c r="C915" s="7" t="str">
        <x:v>terminal</x:v>
      </x:c>
      <x:c r="D915" s="7" t="str">
        <x:v>공통 목표 최종 상태와 전체 음성 준비</x:v>
      </x:c>
      <x:c r="E915" s="7" t="str">
        <x:v>via</x:v>
      </x:c>
      <x:c r="F915" s="14" t="n">
        <x:v>11.198</x:v>
      </x:c>
      <x:c r="G915" s="14" t="n">
        <x:v>11.198</x:v>
      </x:c>
      <x:c r="H915" s="14" t="n">
        <x:v>0</x:v>
      </x:c>
      <x:c r="I915" s="14" t="n">
        <x:v>0</x:v>
      </x:c>
      <x:c r="J915" s="7" t="str">
        <x:v>result_display, response_audio, intent_audio, first_audio_output</x:v>
      </x:c>
      <x:c r="K915" s="7" t="str">
        <x:v>none</x:v>
      </x:c>
      <x:c r="L915" s="14" t="n">
        <x:f>IF(G915&lt;=I915,0,MAX(0,L909,L910,L911,L913)+IF(E915="via",MAX(0,G915-MAX(F915,I915)),0))</x:f>
        <x:v>3.1980000000000004</x:v>
      </x:c>
    </x:row>
    <x:row r="916" ht="42" customHeight="1">
      <x:c r="A916" s="12" t="str">
        <x:v>DP3-B-R1</x:v>
      </x:c>
      <x:c r="B916" s="12" t="str">
        <x:v>U16</x:v>
      </x:c>
      <x:c r="C916" s="12" t="str">
        <x:v>original_work</x:v>
      </x:c>
      <x:c r="D916" s="12" t="str">
        <x:v>원래 목표의 최초 VIA 처리</x:v>
      </x:c>
      <x:c r="E916" s="12" t="str">
        <x:v>via</x:v>
      </x:c>
      <x:c r="F916" s="13" t="n">
        <x:v>-6</x:v>
      </x:c>
      <x:c r="G916" s="13" t="n">
        <x:v>-4</x:v>
      </x:c>
      <x:c r="H916" s="13" t="n">
        <x:v>2</x:v>
      </x:c>
      <x:c r="I916" s="13" t="n">
        <x:v>-6</x:v>
      </x:c>
      <x:c r="J916" s="12" t="str"/>
      <x:c r="K916" s="12" t="str">
        <x:v>none</x:v>
      </x:c>
      <x:c r="L916" s="13" t="n">
        <x:f>IF(G916&lt;=I916,0,MAX(0)+IF(E916="via",MAX(0,G916-MAX(F916,I916)),0))</x:f>
        <x:v>2</x:v>
      </x:c>
    </x:row>
    <x:row r="917" ht="42" customHeight="1">
      <x:c r="A917" s="7" t="str">
        <x:v>DP3-B-R1</x:v>
      </x:c>
      <x:c r="B917" s="7" t="str">
        <x:v>U16</x:v>
      </x:c>
      <x:c r="C917" s="7" t="str">
        <x:v>input_end</x:v>
      </x:c>
      <x:c r="D917" s="7" t="str">
        <x:v>사용자 입력 종료</x:v>
      </x:c>
      <x:c r="E917" s="7" t="str">
        <x:v>external</x:v>
      </x:c>
      <x:c r="F917" s="14" t="n">
        <x:v>0</x:v>
      </x:c>
      <x:c r="G917" s="14" t="n">
        <x:v>0</x:v>
      </x:c>
      <x:c r="H917" s="14" t="n">
        <x:v>0</x:v>
      </x:c>
      <x:c r="I917" s="14" t="n">
        <x:v>-6</x:v>
      </x:c>
      <x:c r="J917" s="7" t="str">
        <x:v>original_work</x:v>
      </x:c>
      <x:c r="K917" s="7" t="str">
        <x:v>none</x:v>
      </x:c>
      <x:c r="L917" s="14" t="n">
        <x:f>IF(G917&lt;=I917,0,MAX(0,L916)+IF(E917="via",MAX(0,G917-MAX(F917,I917)),0))</x:f>
        <x:v>2</x:v>
      </x:c>
    </x:row>
    <x:row r="918" ht="42" customHeight="1">
      <x:c r="A918" s="12" t="str">
        <x:v>DP3-B-R1</x:v>
      </x:c>
      <x:c r="B918" s="12" t="str">
        <x:v>U16</x:v>
      </x:c>
      <x:c r="C918" s="12" t="str">
        <x:v>intake</x:v>
      </x:c>
      <x:c r="D918" s="12" t="str">
        <x:v>입력 확정</x:v>
      </x:c>
      <x:c r="E918" s="12" t="str">
        <x:v>via</x:v>
      </x:c>
      <x:c r="F918" s="13" t="n">
        <x:v>0</x:v>
      </x:c>
      <x:c r="G918" s="13" t="n">
        <x:v>0.3</x:v>
      </x:c>
      <x:c r="H918" s="13" t="n">
        <x:v>0.3</x:v>
      </x:c>
      <x:c r="I918" s="13" t="n">
        <x:v>-6</x:v>
      </x:c>
      <x:c r="J918" s="12" t="str">
        <x:v>input_end</x:v>
      </x:c>
      <x:c r="K918" s="12" t="str">
        <x:v>none</x:v>
      </x:c>
      <x:c r="L918" s="13" t="n">
        <x:f>IF(G918&lt;=I918,0,MAX(0,L917)+IF(E918="via",MAX(0,G918-MAX(F918,I918)),0))</x:f>
        <x:v>2.3</x:v>
      </x:c>
    </x:row>
    <x:row r="919" ht="42" customHeight="1">
      <x:c r="A919" s="7" t="str">
        <x:v>DP3-B-R1</x:v>
      </x:c>
      <x:c r="B919" s="7" t="str">
        <x:v>U16</x:v>
      </x:c>
      <x:c r="C919" s="7" t="str">
        <x:v>read</x:v>
      </x:c>
      <x:c r="D919" s="7" t="str">
        <x:v>공통 허용 원본 조회</x:v>
      </x:c>
      <x:c r="E919" s="7" t="str">
        <x:v>via</x:v>
      </x:c>
      <x:c r="F919" s="14" t="n">
        <x:v>0.3</x:v>
      </x:c>
      <x:c r="G919" s="14" t="n">
        <x:v>0.38</x:v>
      </x:c>
      <x:c r="H919" s="14" t="n">
        <x:v>0.08</x:v>
      </x:c>
      <x:c r="I919" s="14" t="n">
        <x:v>-6</x:v>
      </x:c>
      <x:c r="J919" s="7" t="str">
        <x:v>intake</x:v>
      </x:c>
      <x:c r="K919" s="7" t="str">
        <x:v>none</x:v>
      </x:c>
      <x:c r="L919" s="14" t="n">
        <x:f>IF(G919&lt;=I919,0,MAX(0,L918)+IF(E919="via",MAX(0,G919-MAX(F919,I919)),0))</x:f>
        <x:v>2.38</x:v>
      </x:c>
    </x:row>
    <x:row r="920" ht="42" customHeight="1">
      <x:c r="A920" s="12" t="str">
        <x:v>DP3-B-R1</x:v>
      </x:c>
      <x:c r="B920" s="12" t="str">
        <x:v>U16</x:v>
      </x:c>
      <x:c r="C920" s="12" t="str">
        <x:v>meaning</x:v>
      </x:c>
      <x:c r="D920" s="12" t="str">
        <x:v>최초 요청 의미 채택 packet 생성</x:v>
      </x:c>
      <x:c r="E920" s="12" t="str">
        <x:v>via</x:v>
      </x:c>
      <x:c r="F920" s="13" t="n">
        <x:v>0.38</x:v>
      </x:c>
      <x:c r="G920" s="13" t="n">
        <x:v>1.88</x:v>
      </x:c>
      <x:c r="H920" s="13" t="n">
        <x:v>1.5</x:v>
      </x:c>
      <x:c r="I920" s="13" t="n">
        <x:v>-6</x:v>
      </x:c>
      <x:c r="J920" s="12" t="str">
        <x:v>read</x:v>
      </x:c>
      <x:c r="K920" s="12" t="str">
        <x:v>semantic</x:v>
      </x:c>
      <x:c r="L920" s="13" t="n">
        <x:f>IF(G920&lt;=I920,0,MAX(0,L919)+IF(E920="via",MAX(0,G920-MAX(F920,I920)),0))</x:f>
        <x:v>3.88</x:v>
      </x:c>
    </x:row>
    <x:row r="921" ht="42" customHeight="1">
      <x:c r="A921" s="7" t="str">
        <x:v>DP3-B-R1</x:v>
      </x:c>
      <x:c r="B921" s="7" t="str">
        <x:v>U16</x:v>
      </x:c>
      <x:c r="C921" s="7" t="str">
        <x:v>adopt</x:v>
      </x:c>
      <x:c r="D921" s="7" t="str">
        <x:v>현재 revision과 권한 검사 및 채택</x:v>
      </x:c>
      <x:c r="E921" s="7" t="str">
        <x:v>via</x:v>
      </x:c>
      <x:c r="F921" s="14" t="n">
        <x:v>1.88</x:v>
      </x:c>
      <x:c r="G921" s="14" t="n">
        <x:v>1.91</x:v>
      </x:c>
      <x:c r="H921" s="14" t="n">
        <x:v>0.03</x:v>
      </x:c>
      <x:c r="I921" s="14" t="n">
        <x:v>-6</x:v>
      </x:c>
      <x:c r="J921" s="7" t="str">
        <x:v>meaning</x:v>
      </x:c>
      <x:c r="K921" s="7" t="str">
        <x:v>none</x:v>
      </x:c>
      <x:c r="L921" s="14" t="n">
        <x:f>IF(G921&lt;=I921,0,MAX(0,L920)+IF(E921="via",MAX(0,G921-MAX(F921,I921)),0))</x:f>
        <x:v>3.91</x:v>
      </x:c>
    </x:row>
    <x:row r="922" ht="42" customHeight="1">
      <x:c r="A922" s="12" t="str">
        <x:v>DP3-B-R1</x:v>
      </x:c>
      <x:c r="B922" s="12" t="str">
        <x:v>U16</x:v>
      </x:c>
      <x:c r="C922" s="12" t="str">
        <x:v>first_display</x:v>
      </x:c>
      <x:c r="D922" s="12" t="str">
        <x:v>첫 구체적 채택 내용 화면 표시</x:v>
      </x:c>
      <x:c r="E922" s="12" t="str">
        <x:v>via</x:v>
      </x:c>
      <x:c r="F922" s="13" t="n">
        <x:v>1.91</x:v>
      </x:c>
      <x:c r="G922" s="13" t="n">
        <x:v>1.95</x:v>
      </x:c>
      <x:c r="H922" s="13" t="n">
        <x:v>0.04</x:v>
      </x:c>
      <x:c r="I922" s="13" t="n">
        <x:v>-6</x:v>
      </x:c>
      <x:c r="J922" s="12" t="str">
        <x:v>adopt</x:v>
      </x:c>
      <x:c r="K922" s="12" t="str">
        <x:v>none</x:v>
      </x:c>
      <x:c r="L922" s="13" t="n">
        <x:f>IF(G922&lt;=I922,0,MAX(0,L921)+IF(E922="via",MAX(0,G922-MAX(F922,I922)),0))</x:f>
        <x:v>3.95</x:v>
      </x:c>
    </x:row>
    <x:row r="923" ht="42" customHeight="1">
      <x:c r="A923" s="7" t="str">
        <x:v>DP3-B-R1</x:v>
      </x:c>
      <x:c r="B923" s="7" t="str">
        <x:v>U16</x:v>
      </x:c>
      <x:c r="C923" s="7" t="str">
        <x:v>agent_ingress</x:v>
      </x:c>
      <x:c r="D923" s="7" t="str">
        <x:v>Agent 요청 전송</x:v>
      </x:c>
      <x:c r="E923" s="7" t="str">
        <x:v>via</x:v>
      </x:c>
      <x:c r="F923" s="14" t="n">
        <x:v>1.91</x:v>
      </x:c>
      <x:c r="G923" s="14" t="n">
        <x:v>1.95</x:v>
      </x:c>
      <x:c r="H923" s="14" t="n">
        <x:v>0.04</x:v>
      </x:c>
      <x:c r="I923" s="14" t="n">
        <x:v>-6</x:v>
      </x:c>
      <x:c r="J923" s="7" t="str">
        <x:v>adopt</x:v>
      </x:c>
      <x:c r="K923" s="7" t="str">
        <x:v>none</x:v>
      </x:c>
      <x:c r="L923" s="14" t="n">
        <x:f>IF(G923&lt;=I923,0,MAX(0,L921)+IF(E923="via",MAX(0,G923-MAX(F923,I923)),0))</x:f>
        <x:v>3.95</x:v>
      </x:c>
    </x:row>
    <x:row r="924" ht="42" customHeight="1">
      <x:c r="A924" s="12" t="str">
        <x:v>DP3-B-R1</x:v>
      </x:c>
      <x:c r="B924" s="12" t="str">
        <x:v>U16</x:v>
      </x:c>
      <x:c r="C924" s="12" t="str">
        <x:v>agent_result</x:v>
      </x:c>
      <x:c r="D924" s="12" t="str">
        <x:v>외부 Agent 업무</x:v>
      </x:c>
      <x:c r="E924" s="12" t="str">
        <x:v>external</x:v>
      </x:c>
      <x:c r="F924" s="13" t="n">
        <x:v>1.95</x:v>
      </x:c>
      <x:c r="G924" s="13" t="n">
        <x:v>9.95</x:v>
      </x:c>
      <x:c r="H924" s="13" t="n">
        <x:v>8</x:v>
      </x:c>
      <x:c r="I924" s="13" t="n">
        <x:v>-6</x:v>
      </x:c>
      <x:c r="J924" s="12" t="str">
        <x:v>agent_ingress</x:v>
      </x:c>
      <x:c r="K924" s="12" t="str">
        <x:v>none</x:v>
      </x:c>
      <x:c r="L924" s="13" t="n">
        <x:f>IF(G924&lt;=I924,0,MAX(0,L923)+IF(E924="via",MAX(0,G924-MAX(F924,I924)),0))</x:f>
        <x:v>3.95</x:v>
      </x:c>
    </x:row>
    <x:row r="925" ht="42" customHeight="1">
      <x:c r="A925" s="7" t="str">
        <x:v>DP3-B-R1</x:v>
      </x:c>
      <x:c r="B925" s="7" t="str">
        <x:v>U16</x:v>
      </x:c>
      <x:c r="C925" s="7" t="str">
        <x:v>result_display</x:v>
      </x:c>
      <x:c r="D925" s="7" t="str">
        <x:v>최종 결과 상세 표시</x:v>
      </x:c>
      <x:c r="E925" s="7" t="str">
        <x:v>via</x:v>
      </x:c>
      <x:c r="F925" s="14" t="n">
        <x:v>9.95</x:v>
      </x:c>
      <x:c r="G925" s="14" t="n">
        <x:v>9.989999999999998</x:v>
      </x:c>
      <x:c r="H925" s="14" t="n">
        <x:v>0.04</x:v>
      </x:c>
      <x:c r="I925" s="14" t="n">
        <x:v>-6</x:v>
      </x:c>
      <x:c r="J925" s="7" t="str">
        <x:v>agent_result</x:v>
      </x:c>
      <x:c r="K925" s="7" t="str">
        <x:v>none</x:v>
      </x:c>
      <x:c r="L925" s="14" t="n">
        <x:f>IF(G925&lt;=I925,0,MAX(0,L924)+IF(E925="via",MAX(0,G925-MAX(F925,I925)),0))</x:f>
        <x:v>3.9899999999999993</x:v>
      </x:c>
    </x:row>
    <x:row r="926" ht="42" customHeight="1">
      <x:c r="A926" s="12" t="str">
        <x:v>DP3-B-R1</x:v>
      </x:c>
      <x:c r="B926" s="12" t="str">
        <x:v>U16</x:v>
      </x:c>
      <x:c r="C926" s="12" t="str">
        <x:v>response_audio</x:v>
      </x:c>
      <x:c r="D926" s="12" t="str">
        <x:v>선택한 응답 음성 생성</x:v>
      </x:c>
      <x:c r="E926" s="12" t="str">
        <x:v>via</x:v>
      </x:c>
      <x:c r="F926" s="13" t="n">
        <x:v>9.95</x:v>
      </x:c>
      <x:c r="G926" s="13" t="n">
        <x:v>11.838</x:v>
      </x:c>
      <x:c r="H926" s="13" t="n">
        <x:v>1.888</x:v>
      </x:c>
      <x:c r="I926" s="13" t="n">
        <x:v>-6</x:v>
      </x:c>
      <x:c r="J926" s="12" t="str">
        <x:v>agent_result</x:v>
      </x:c>
      <x:c r="K926" s="12" t="str">
        <x:v>speech</x:v>
      </x:c>
      <x:c r="L926" s="13" t="n">
        <x:f>IF(G926&lt;=I926,0,MAX(0,L924)+IF(E926="via",MAX(0,G926-MAX(F926,I926)),0))</x:f>
        <x:v>5.838</x:v>
      </x:c>
    </x:row>
    <x:row r="927" ht="42" customHeight="1">
      <x:c r="A927" s="7" t="str">
        <x:v>DP3-B-R1</x:v>
      </x:c>
      <x:c r="B927" s="7" t="str">
        <x:v>U16</x:v>
      </x:c>
      <x:c r="C927" s="7" t="str">
        <x:v>intent_audio</x:v>
      </x:c>
      <x:c r="D927" s="7" t="str">
        <x:v>채택한 구체적 수행 의도의 짧은 음성</x:v>
      </x:c>
      <x:c r="E927" s="7" t="str">
        <x:v>via</x:v>
      </x:c>
      <x:c r="F927" s="14" t="n">
        <x:v>1.91</x:v>
      </x:c>
      <x:c r="G927" s="14" t="n">
        <x:v>3.0439999999999996</x:v>
      </x:c>
      <x:c r="H927" s="14" t="n">
        <x:v>1.134</x:v>
      </x:c>
      <x:c r="I927" s="14" t="n">
        <x:v>-6</x:v>
      </x:c>
      <x:c r="J927" s="7" t="str">
        <x:v>adopt</x:v>
      </x:c>
      <x:c r="K927" s="7" t="str">
        <x:v>speech</x:v>
      </x:c>
      <x:c r="L927" s="14" t="n">
        <x:f>IF(G927&lt;=I927,0,MAX(0,L921)+IF(E927="via",MAX(0,G927-MAX(F927,I927)),0))</x:f>
        <x:v>5.044</x:v>
      </x:c>
    </x:row>
    <x:row r="928" ht="42" customHeight="1">
      <x:c r="A928" s="12" t="str">
        <x:v>DP3-B-R1</x:v>
      </x:c>
      <x:c r="B928" s="12" t="str">
        <x:v>U16</x:v>
      </x:c>
      <x:c r="C928" s="12" t="str">
        <x:v>first_chunk</x:v>
      </x:c>
      <x:c r="D928" s="12" t="str">
        <x:v>같은 생성 job의 유효 첫 chunk 관측</x:v>
      </x:c>
      <x:c r="E928" s="12" t="str">
        <x:v>via</x:v>
      </x:c>
      <x:c r="F928" s="13" t="n">
        <x:v>1.91</x:v>
      </x:c>
      <x:c r="G928" s="13" t="n">
        <x:v>2.344</x:v>
      </x:c>
      <x:c r="H928" s="13" t="n">
        <x:v>0.434</x:v>
      </x:c>
      <x:c r="I928" s="13" t="n">
        <x:v>-6</x:v>
      </x:c>
      <x:c r="J928" s="12" t="str">
        <x:v>adopt</x:v>
      </x:c>
      <x:c r="K928" s="12" t="str">
        <x:v>none</x:v>
      </x:c>
      <x:c r="L928" s="13" t="n">
        <x:f>IF(G928&lt;=I928,0,MAX(0,L921)+IF(E928="via",MAX(0,G928-MAX(F928,I928)),0))</x:f>
        <x:v>4.344</x:v>
      </x:c>
    </x:row>
    <x:row r="929" ht="42" customHeight="1">
      <x:c r="A929" s="7" t="str">
        <x:v>DP3-B-R1</x:v>
      </x:c>
      <x:c r="B929" s="7" t="str">
        <x:v>U16</x:v>
      </x:c>
      <x:c r="C929" s="7" t="str">
        <x:v>first_audio_output</x:v>
      </x:c>
      <x:c r="D929" s="7" t="str">
        <x:v>공통 장치의 첫 음성 출력</x:v>
      </x:c>
      <x:c r="E929" s="7" t="str">
        <x:v>via</x:v>
      </x:c>
      <x:c r="F929" s="14" t="n">
        <x:v>2.344</x:v>
      </x:c>
      <x:c r="G929" s="14" t="n">
        <x:v>2.384</x:v>
      </x:c>
      <x:c r="H929" s="14" t="n">
        <x:v>0.04</x:v>
      </x:c>
      <x:c r="I929" s="14" t="n">
        <x:v>-6</x:v>
      </x:c>
      <x:c r="J929" s="7" t="str">
        <x:v>adopt, first_chunk</x:v>
      </x:c>
      <x:c r="K929" s="7" t="str">
        <x:v>none</x:v>
      </x:c>
      <x:c r="L929" s="14" t="n">
        <x:f>IF(G929&lt;=I929,0,MAX(0,L921,L928)+IF(E929="via",MAX(0,G929-MAX(F929,I929)),0))</x:f>
        <x:v>4.384</x:v>
      </x:c>
    </x:row>
    <x:row r="930" ht="42" customHeight="1">
      <x:c r="A930" s="12" t="str">
        <x:v>DP3-B-R1</x:v>
      </x:c>
      <x:c r="B930" s="12" t="str">
        <x:v>U16</x:v>
      </x:c>
      <x:c r="C930" s="12" t="str">
        <x:v>next_speech_selection</x:v>
      </x:c>
      <x:c r="D930" s="12" t="str">
        <x:v>현재 발화 재생 후 다음 응답 선택</x:v>
      </x:c>
      <x:c r="E930" s="12" t="str">
        <x:v>external</x:v>
      </x:c>
      <x:c r="F930" s="13" t="n">
        <x:v>2.384</x:v>
      </x:c>
      <x:c r="G930" s="13" t="n">
        <x:v>5.384</x:v>
      </x:c>
      <x:c r="H930" s="13" t="n">
        <x:v>3</x:v>
      </x:c>
      <x:c r="I930" s="13" t="n">
        <x:v>-6</x:v>
      </x:c>
      <x:c r="J930" s="12" t="str">
        <x:v>first_audio_output</x:v>
      </x:c>
      <x:c r="K930" s="12" t="str">
        <x:v>none</x:v>
      </x:c>
      <x:c r="L930" s="13" t="n">
        <x:f>IF(G930&lt;=I930,0,MAX(0,L929)+IF(E930="via",MAX(0,G930-MAX(F930,I930)),0))</x:f>
        <x:v>4.384</x:v>
      </x:c>
    </x:row>
    <x:row r="931" ht="42" customHeight="1">
      <x:c r="A931" s="7" t="str">
        <x:v>DP3-B-R1</x:v>
      </x:c>
      <x:c r="B931" s="7" t="str">
        <x:v>U16</x:v>
      </x:c>
      <x:c r="C931" s="7" t="str">
        <x:v>terminal</x:v>
      </x:c>
      <x:c r="D931" s="7" t="str">
        <x:v>공통 목표 최종 상태와 전체 음성 준비</x:v>
      </x:c>
      <x:c r="E931" s="7" t="str">
        <x:v>via</x:v>
      </x:c>
      <x:c r="F931" s="14" t="n">
        <x:v>11.838</x:v>
      </x:c>
      <x:c r="G931" s="14" t="n">
        <x:v>11.838</x:v>
      </x:c>
      <x:c r="H931" s="14" t="n">
        <x:v>0</x:v>
      </x:c>
      <x:c r="I931" s="14" t="n">
        <x:v>-6</x:v>
      </x:c>
      <x:c r="J931" s="7" t="str">
        <x:v>result_display, response_audio, intent_audio, first_audio_output</x:v>
      </x:c>
      <x:c r="K931" s="7" t="str">
        <x:v>none</x:v>
      </x:c>
      <x:c r="L931" s="14" t="n">
        <x:f>IF(G931&lt;=I931,0,MAX(0,L925,L926,L927,L929)+IF(E931="via",MAX(0,G931-MAX(F931,I931)),0))</x:f>
        <x:v>5.838</x:v>
      </x:c>
    </x:row>
    <x:row r="932" ht="42" customHeight="1">
      <x:c r="A932" s="12" t="str">
        <x:v>DP3-B-R1</x:v>
      </x:c>
      <x:c r="B932" s="12" t="str">
        <x:v>U17</x:v>
      </x:c>
      <x:c r="C932" s="12" t="str">
        <x:v>input_end</x:v>
      </x:c>
      <x:c r="D932" s="12" t="str">
        <x:v>사용자 입력 종료</x:v>
      </x:c>
      <x:c r="E932" s="12" t="str">
        <x:v>external</x:v>
      </x:c>
      <x:c r="F932" s="13" t="n">
        <x:v>0</x:v>
      </x:c>
      <x:c r="G932" s="13" t="n">
        <x:v>0</x:v>
      </x:c>
      <x:c r="H932" s="13" t="n">
        <x:v>0</x:v>
      </x:c>
      <x:c r="I932" s="13" t="n">
        <x:v>0</x:v>
      </x:c>
      <x:c r="J932" s="12" t="str"/>
      <x:c r="K932" s="12" t="str">
        <x:v>none</x:v>
      </x:c>
      <x:c r="L932" s="13" t="n">
        <x:f>IF(G932&lt;=I932,0,MAX(0)+IF(E932="via",MAX(0,G932-MAX(F932,I932)),0))</x:f>
        <x:v>0</x:v>
      </x:c>
    </x:row>
    <x:row r="933" ht="42" customHeight="1">
      <x:c r="A933" s="7" t="str">
        <x:v>DP3-B-R1</x:v>
      </x:c>
      <x:c r="B933" s="7" t="str">
        <x:v>U17</x:v>
      </x:c>
      <x:c r="C933" s="7" t="str">
        <x:v>intake</x:v>
      </x:c>
      <x:c r="D933" s="7" t="str">
        <x:v>입력 확정</x:v>
      </x:c>
      <x:c r="E933" s="7" t="str">
        <x:v>via</x:v>
      </x:c>
      <x:c r="F933" s="14" t="n">
        <x:v>0</x:v>
      </x:c>
      <x:c r="G933" s="14" t="n">
        <x:v>0.3</x:v>
      </x:c>
      <x:c r="H933" s="14" t="n">
        <x:v>0.3</x:v>
      </x:c>
      <x:c r="I933" s="14" t="n">
        <x:v>0</x:v>
      </x:c>
      <x:c r="J933" s="7" t="str">
        <x:v>input_end</x:v>
      </x:c>
      <x:c r="K933" s="7" t="str">
        <x:v>none</x:v>
      </x:c>
      <x:c r="L933" s="14" t="n">
        <x:f>IF(G933&lt;=I933,0,MAX(0,L932)+IF(E933="via",MAX(0,G933-MAX(F933,I933)),0))</x:f>
        <x:v>0.3</x:v>
      </x:c>
    </x:row>
    <x:row r="934" ht="42" customHeight="1">
      <x:c r="A934" s="12" t="str">
        <x:v>DP3-B-R1</x:v>
      </x:c>
      <x:c r="B934" s="12" t="str">
        <x:v>U17</x:v>
      </x:c>
      <x:c r="C934" s="12" t="str">
        <x:v>read</x:v>
      </x:c>
      <x:c r="D934" s="12" t="str">
        <x:v>공통 허용 원본 조회</x:v>
      </x:c>
      <x:c r="E934" s="12" t="str">
        <x:v>via</x:v>
      </x:c>
      <x:c r="F934" s="13" t="n">
        <x:v>0.3</x:v>
      </x:c>
      <x:c r="G934" s="13" t="n">
        <x:v>0.38</x:v>
      </x:c>
      <x:c r="H934" s="13" t="n">
        <x:v>0.08</x:v>
      </x:c>
      <x:c r="I934" s="13" t="n">
        <x:v>0</x:v>
      </x:c>
      <x:c r="J934" s="12" t="str">
        <x:v>intake</x:v>
      </x:c>
      <x:c r="K934" s="12" t="str">
        <x:v>none</x:v>
      </x:c>
      <x:c r="L934" s="13" t="n">
        <x:f>IF(G934&lt;=I934,0,MAX(0,L933)+IF(E934="via",MAX(0,G934-MAX(F934,I934)),0))</x:f>
        <x:v>0.38</x:v>
      </x:c>
    </x:row>
    <x:row r="935" ht="42" customHeight="1">
      <x:c r="A935" s="7" t="str">
        <x:v>DP3-B-R1</x:v>
      </x:c>
      <x:c r="B935" s="7" t="str">
        <x:v>U17</x:v>
      </x:c>
      <x:c r="C935" s="7" t="str">
        <x:v>meaning</x:v>
      </x:c>
      <x:c r="D935" s="7" t="str">
        <x:v>최초 요청 의미 채택 packet 생성</x:v>
      </x:c>
      <x:c r="E935" s="7" t="str">
        <x:v>via</x:v>
      </x:c>
      <x:c r="F935" s="14" t="n">
        <x:v>0.38</x:v>
      </x:c>
      <x:c r="G935" s="14" t="n">
        <x:v>1.48</x:v>
      </x:c>
      <x:c r="H935" s="14" t="n">
        <x:v>1.1</x:v>
      </x:c>
      <x:c r="I935" s="14" t="n">
        <x:v>0</x:v>
      </x:c>
      <x:c r="J935" s="7" t="str">
        <x:v>read</x:v>
      </x:c>
      <x:c r="K935" s="7" t="str">
        <x:v>semantic</x:v>
      </x:c>
      <x:c r="L935" s="14" t="n">
        <x:f>IF(G935&lt;=I935,0,MAX(0,L934)+IF(E935="via",MAX(0,G935-MAX(F935,I935)),0))</x:f>
        <x:v>1.48</x:v>
      </x:c>
    </x:row>
    <x:row r="936" ht="42" customHeight="1">
      <x:c r="A936" s="12" t="str">
        <x:v>DP3-B-R1</x:v>
      </x:c>
      <x:c r="B936" s="12" t="str">
        <x:v>U17</x:v>
      </x:c>
      <x:c r="C936" s="12" t="str">
        <x:v>adopt</x:v>
      </x:c>
      <x:c r="D936" s="12" t="str">
        <x:v>현재 revision과 권한 검사 및 채택</x:v>
      </x:c>
      <x:c r="E936" s="12" t="str">
        <x:v>via</x:v>
      </x:c>
      <x:c r="F936" s="13" t="n">
        <x:v>1.48</x:v>
      </x:c>
      <x:c r="G936" s="13" t="n">
        <x:v>1.51</x:v>
      </x:c>
      <x:c r="H936" s="13" t="n">
        <x:v>0.03</x:v>
      </x:c>
      <x:c r="I936" s="13" t="n">
        <x:v>0</x:v>
      </x:c>
      <x:c r="J936" s="12" t="str">
        <x:v>meaning</x:v>
      </x:c>
      <x:c r="K936" s="12" t="str">
        <x:v>none</x:v>
      </x:c>
      <x:c r="L936" s="13" t="n">
        <x:f>IF(G936&lt;=I936,0,MAX(0,L935)+IF(E936="via",MAX(0,G936-MAX(F936,I936)),0))</x:f>
        <x:v>1.51</x:v>
      </x:c>
    </x:row>
    <x:row r="937" ht="42" customHeight="1">
      <x:c r="A937" s="7" t="str">
        <x:v>DP3-B-R1</x:v>
      </x:c>
      <x:c r="B937" s="7" t="str">
        <x:v>U17</x:v>
      </x:c>
      <x:c r="C937" s="7" t="str">
        <x:v>first_display</x:v>
      </x:c>
      <x:c r="D937" s="7" t="str">
        <x:v>첫 구체적 채택 내용 화면 표시</x:v>
      </x:c>
      <x:c r="E937" s="7" t="str">
        <x:v>via</x:v>
      </x:c>
      <x:c r="F937" s="14" t="n">
        <x:v>1.51</x:v>
      </x:c>
      <x:c r="G937" s="14" t="n">
        <x:v>1.55</x:v>
      </x:c>
      <x:c r="H937" s="14" t="n">
        <x:v>0.04</x:v>
      </x:c>
      <x:c r="I937" s="14" t="n">
        <x:v>0</x:v>
      </x:c>
      <x:c r="J937" s="7" t="str">
        <x:v>adopt</x:v>
      </x:c>
      <x:c r="K937" s="7" t="str">
        <x:v>none</x:v>
      </x:c>
      <x:c r="L937" s="14" t="n">
        <x:f>IF(G937&lt;=I937,0,MAX(0,L936)+IF(E937="via",MAX(0,G937-MAX(F937,I937)),0))</x:f>
        <x:v>1.55</x:v>
      </x:c>
    </x:row>
    <x:row r="938" ht="42" customHeight="1">
      <x:c r="A938" s="12" t="str">
        <x:v>DP3-B-R1</x:v>
      </x:c>
      <x:c r="B938" s="12" t="str">
        <x:v>U17</x:v>
      </x:c>
      <x:c r="C938" s="12" t="str">
        <x:v>question_arrival</x:v>
      </x:c>
      <x:c r="D938" s="12" t="str">
        <x:v>Agent 질문 텍스트 도착</x:v>
      </x:c>
      <x:c r="E938" s="12" t="str">
        <x:v>external</x:v>
      </x:c>
      <x:c r="F938" s="13" t="n">
        <x:v>-2</x:v>
      </x:c>
      <x:c r="G938" s="13" t="n">
        <x:v>-2</x:v>
      </x:c>
      <x:c r="H938" s="13" t="n">
        <x:v>0</x:v>
      </x:c>
      <x:c r="I938" s="13" t="n">
        <x:v>0</x:v>
      </x:c>
      <x:c r="J938" s="12" t="str"/>
      <x:c r="K938" s="12" t="str">
        <x:v>none</x:v>
      </x:c>
      <x:c r="L938" s="13" t="n">
        <x:f>IF(G938&lt;=I938,0,MAX(0)+IF(E938="via",MAX(0,G938-MAX(F938,I938)),0))</x:f>
        <x:v>0</x:v>
      </x:c>
    </x:row>
    <x:row r="939" ht="42" customHeight="1">
      <x:c r="A939" s="7" t="str">
        <x:v>DP3-B-R1</x:v>
      </x:c>
      <x:c r="B939" s="7" t="str">
        <x:v>U17</x:v>
      </x:c>
      <x:c r="C939" s="7" t="str">
        <x:v>question_audio</x:v>
      </x:c>
      <x:c r="D939" s="7" t="str">
        <x:v>선택한 응답 음성 생성</x:v>
      </x:c>
      <x:c r="E939" s="7" t="str">
        <x:v>via</x:v>
      </x:c>
      <x:c r="F939" s="14" t="n">
        <x:v>-2</x:v>
      </x:c>
      <x:c r="G939" s="14" t="n">
        <x:v>0.3906666666666667</x:v>
      </x:c>
      <x:c r="H939" s="14" t="n">
        <x:v>2.3906666666666667</x:v>
      </x:c>
      <x:c r="I939" s="14" t="n">
        <x:v>0</x:v>
      </x:c>
      <x:c r="J939" s="7" t="str">
        <x:v>question_arrival</x:v>
      </x:c>
      <x:c r="K939" s="7" t="str">
        <x:v>speech</x:v>
      </x:c>
      <x:c r="L939" s="14" t="n">
        <x:f>IF(G939&lt;=I939,0,MAX(0,L938)+IF(E939="via",MAX(0,G939-MAX(F939,I939)),0))</x:f>
        <x:v>0.3906666666666667</x:v>
      </x:c>
    </x:row>
    <x:row r="940" ht="42" customHeight="1">
      <x:c r="A940" s="12" t="str">
        <x:v>DP3-B-R1</x:v>
      </x:c>
      <x:c r="B940" s="12" t="str">
        <x:v>U17</x:v>
      </x:c>
      <x:c r="C940" s="12" t="str">
        <x:v>first_chunk</x:v>
      </x:c>
      <x:c r="D940" s="12" t="str">
        <x:v>같은 생성 job의 유효 첫 chunk 관측</x:v>
      </x:c>
      <x:c r="E940" s="12" t="str">
        <x:v>via</x:v>
      </x:c>
      <x:c r="F940" s="13" t="n">
        <x:v>-2</x:v>
      </x:c>
      <x:c r="G940" s="13" t="n">
        <x:v>-1.5593333333333335</x:v>
      </x:c>
      <x:c r="H940" s="13" t="n">
        <x:v>0.44066666666666665</x:v>
      </x:c>
      <x:c r="I940" s="13" t="n">
        <x:v>0</x:v>
      </x:c>
      <x:c r="J940" s="12" t="str">
        <x:v>question_arrival</x:v>
      </x:c>
      <x:c r="K940" s="12" t="str">
        <x:v>none</x:v>
      </x:c>
      <x:c r="L940" s="13" t="n">
        <x:f>IF(G940&lt;=I940,0,MAX(0,L938)+IF(E940="via",MAX(0,G940-MAX(F940,I940)),0))</x:f>
        <x:v>0</x:v>
      </x:c>
    </x:row>
    <x:row r="941" ht="42" customHeight="1">
      <x:c r="A941" s="7" t="str">
        <x:v>DP3-B-R1</x:v>
      </x:c>
      <x:c r="B941" s="7" t="str">
        <x:v>U17</x:v>
      </x:c>
      <x:c r="C941" s="7" t="str">
        <x:v>first_audio_output</x:v>
      </x:c>
      <x:c r="D941" s="7" t="str">
        <x:v>공통 장치의 첫 음성 출력</x:v>
      </x:c>
      <x:c r="E941" s="7" t="str">
        <x:v>via</x:v>
      </x:c>
      <x:c r="F941" s="14" t="n">
        <x:v>1.51</x:v>
      </x:c>
      <x:c r="G941" s="14" t="n">
        <x:v>1.55</x:v>
      </x:c>
      <x:c r="H941" s="14" t="n">
        <x:v>0.04</x:v>
      </x:c>
      <x:c r="I941" s="14" t="n">
        <x:v>0</x:v>
      </x:c>
      <x:c r="J941" s="7" t="str">
        <x:v>adopt, first_chunk</x:v>
      </x:c>
      <x:c r="K941" s="7" t="str">
        <x:v>none</x:v>
      </x:c>
      <x:c r="L941" s="14" t="n">
        <x:f>IF(G941&lt;=I941,0,MAX(0,L936,L940)+IF(E941="via",MAX(0,G941-MAX(F941,I941)),0))</x:f>
        <x:v>1.55</x:v>
      </x:c>
    </x:row>
    <x:row r="942" ht="42" customHeight="1">
      <x:c r="A942" s="12" t="str">
        <x:v>DP3-B-R1</x:v>
      </x:c>
      <x:c r="B942" s="12" t="str">
        <x:v>U17</x:v>
      </x:c>
      <x:c r="C942" s="12" t="str">
        <x:v>terminal</x:v>
      </x:c>
      <x:c r="D942" s="12" t="str">
        <x:v>공통 목표 최종 상태와 전체 음성 준비</x:v>
      </x:c>
      <x:c r="E942" s="12" t="str">
        <x:v>via</x:v>
      </x:c>
      <x:c r="F942" s="13" t="n">
        <x:v>1.55</x:v>
      </x:c>
      <x:c r="G942" s="13" t="n">
        <x:v>1.55</x:v>
      </x:c>
      <x:c r="H942" s="13" t="n">
        <x:v>0</x:v>
      </x:c>
      <x:c r="I942" s="13" t="n">
        <x:v>0</x:v>
      </x:c>
      <x:c r="J942" s="12" t="str">
        <x:v>first_display, question_audio, first_audio_output</x:v>
      </x:c>
      <x:c r="K942" s="12" t="str">
        <x:v>none</x:v>
      </x:c>
      <x:c r="L942" s="13" t="n">
        <x:f>IF(G942&lt;=I942,0,MAX(0,L937,L939,L941)+IF(E942="via",MAX(0,G942-MAX(F942,I942)),0))</x:f>
        <x:v>1.55</x:v>
      </x:c>
    </x:row>
    <x:row r="943" ht="42" customHeight="1">
      <x:c r="A943" s="7" t="str">
        <x:v>DP3-B-R1</x:v>
      </x:c>
      <x:c r="B943" s="7" t="str">
        <x:v>U18</x:v>
      </x:c>
      <x:c r="C943" s="7" t="str">
        <x:v>input_end</x:v>
      </x:c>
      <x:c r="D943" s="7" t="str">
        <x:v>사용자 입력 종료</x:v>
      </x:c>
      <x:c r="E943" s="7" t="str">
        <x:v>external</x:v>
      </x:c>
      <x:c r="F943" s="14" t="n">
        <x:v>0</x:v>
      </x:c>
      <x:c r="G943" s="14" t="n">
        <x:v>0</x:v>
      </x:c>
      <x:c r="H943" s="14" t="n">
        <x:v>0</x:v>
      </x:c>
      <x:c r="I943" s="14" t="n">
        <x:v>0</x:v>
      </x:c>
      <x:c r="J943" s="7" t="str"/>
      <x:c r="K943" s="7" t="str">
        <x:v>none</x:v>
      </x:c>
      <x:c r="L943" s="14" t="n">
        <x:f>IF(G943&lt;=I943,0,MAX(0)+IF(E943="via",MAX(0,G943-MAX(F943,I943)),0))</x:f>
        <x:v>0</x:v>
      </x:c>
    </x:row>
    <x:row r="944" ht="42" customHeight="1">
      <x:c r="A944" s="12" t="str">
        <x:v>DP3-B-R1</x:v>
      </x:c>
      <x:c r="B944" s="12" t="str">
        <x:v>U18</x:v>
      </x:c>
      <x:c r="C944" s="12" t="str">
        <x:v>intake</x:v>
      </x:c>
      <x:c r="D944" s="12" t="str">
        <x:v>입력 확정</x:v>
      </x:c>
      <x:c r="E944" s="12" t="str">
        <x:v>via</x:v>
      </x:c>
      <x:c r="F944" s="13" t="n">
        <x:v>0</x:v>
      </x:c>
      <x:c r="G944" s="13" t="n">
        <x:v>0.3</x:v>
      </x:c>
      <x:c r="H944" s="13" t="n">
        <x:v>0.3</x:v>
      </x:c>
      <x:c r="I944" s="13" t="n">
        <x:v>0</x:v>
      </x:c>
      <x:c r="J944" s="12" t="str">
        <x:v>input_end</x:v>
      </x:c>
      <x:c r="K944" s="12" t="str">
        <x:v>none</x:v>
      </x:c>
      <x:c r="L944" s="13" t="n">
        <x:f>IF(G944&lt;=I944,0,MAX(0,L943)+IF(E944="via",MAX(0,G944-MAX(F944,I944)),0))</x:f>
        <x:v>0.3</x:v>
      </x:c>
    </x:row>
    <x:row r="945" ht="42" customHeight="1">
      <x:c r="A945" s="7" t="str">
        <x:v>DP3-B-R1</x:v>
      </x:c>
      <x:c r="B945" s="7" t="str">
        <x:v>U18</x:v>
      </x:c>
      <x:c r="C945" s="7" t="str">
        <x:v>read</x:v>
      </x:c>
      <x:c r="D945" s="7" t="str">
        <x:v>공통 허용 원본 조회</x:v>
      </x:c>
      <x:c r="E945" s="7" t="str">
        <x:v>via</x:v>
      </x:c>
      <x:c r="F945" s="14" t="n">
        <x:v>0.3</x:v>
      </x:c>
      <x:c r="G945" s="14" t="n">
        <x:v>0.38</x:v>
      </x:c>
      <x:c r="H945" s="14" t="n">
        <x:v>0.08</x:v>
      </x:c>
      <x:c r="I945" s="14" t="n">
        <x:v>0</x:v>
      </x:c>
      <x:c r="J945" s="7" t="str">
        <x:v>intake</x:v>
      </x:c>
      <x:c r="K945" s="7" t="str">
        <x:v>none</x:v>
      </x:c>
      <x:c r="L945" s="14" t="n">
        <x:f>IF(G945&lt;=I945,0,MAX(0,L944)+IF(E945="via",MAX(0,G945-MAX(F945,I945)),0))</x:f>
        <x:v>0.38</x:v>
      </x:c>
    </x:row>
    <x:row r="946" ht="42" customHeight="1">
      <x:c r="A946" s="12" t="str">
        <x:v>DP3-B-R1</x:v>
      </x:c>
      <x:c r="B946" s="12" t="str">
        <x:v>U18</x:v>
      </x:c>
      <x:c r="C946" s="12" t="str">
        <x:v>meaning</x:v>
      </x:c>
      <x:c r="D946" s="12" t="str">
        <x:v>최초 요청 의미 채택 packet 생성</x:v>
      </x:c>
      <x:c r="E946" s="12" t="str">
        <x:v>via</x:v>
      </x:c>
      <x:c r="F946" s="13" t="n">
        <x:v>0.38</x:v>
      </x:c>
      <x:c r="G946" s="13" t="n">
        <x:v>1.48</x:v>
      </x:c>
      <x:c r="H946" s="13" t="n">
        <x:v>1.1</x:v>
      </x:c>
      <x:c r="I946" s="13" t="n">
        <x:v>0</x:v>
      </x:c>
      <x:c r="J946" s="12" t="str">
        <x:v>read</x:v>
      </x:c>
      <x:c r="K946" s="12" t="str">
        <x:v>semantic</x:v>
      </x:c>
      <x:c r="L946" s="13" t="n">
        <x:f>IF(G946&lt;=I946,0,MAX(0,L945)+IF(E946="via",MAX(0,G946-MAX(F946,I946)),0))</x:f>
        <x:v>1.48</x:v>
      </x:c>
    </x:row>
    <x:row r="947" ht="42" customHeight="1">
      <x:c r="A947" s="7" t="str">
        <x:v>DP3-B-R1</x:v>
      </x:c>
      <x:c r="B947" s="7" t="str">
        <x:v>U18</x:v>
      </x:c>
      <x:c r="C947" s="7" t="str">
        <x:v>adopt</x:v>
      </x:c>
      <x:c r="D947" s="7" t="str">
        <x:v>현재 revision과 권한 검사 및 채택</x:v>
      </x:c>
      <x:c r="E947" s="7" t="str">
        <x:v>via</x:v>
      </x:c>
      <x:c r="F947" s="14" t="n">
        <x:v>1.48</x:v>
      </x:c>
      <x:c r="G947" s="14" t="n">
        <x:v>1.51</x:v>
      </x:c>
      <x:c r="H947" s="14" t="n">
        <x:v>0.03</x:v>
      </x:c>
      <x:c r="I947" s="14" t="n">
        <x:v>0</x:v>
      </x:c>
      <x:c r="J947" s="7" t="str">
        <x:v>meaning</x:v>
      </x:c>
      <x:c r="K947" s="7" t="str">
        <x:v>none</x:v>
      </x:c>
      <x:c r="L947" s="14" t="n">
        <x:f>IF(G947&lt;=I947,0,MAX(0,L946)+IF(E947="via",MAX(0,G947-MAX(F947,I947)),0))</x:f>
        <x:v>1.51</x:v>
      </x:c>
    </x:row>
    <x:row r="948" ht="42" customHeight="1">
      <x:c r="A948" s="12" t="str">
        <x:v>DP3-B-R1</x:v>
      </x:c>
      <x:c r="B948" s="12" t="str">
        <x:v>U18</x:v>
      </x:c>
      <x:c r="C948" s="12" t="str">
        <x:v>first_display</x:v>
      </x:c>
      <x:c r="D948" s="12" t="str">
        <x:v>첫 구체적 채택 내용 화면 표시</x:v>
      </x:c>
      <x:c r="E948" s="12" t="str">
        <x:v>via</x:v>
      </x:c>
      <x:c r="F948" s="13" t="n">
        <x:v>1.51</x:v>
      </x:c>
      <x:c r="G948" s="13" t="n">
        <x:v>1.55</x:v>
      </x:c>
      <x:c r="H948" s="13" t="n">
        <x:v>0.04</x:v>
      </x:c>
      <x:c r="I948" s="13" t="n">
        <x:v>0</x:v>
      </x:c>
      <x:c r="J948" s="12" t="str">
        <x:v>adopt</x:v>
      </x:c>
      <x:c r="K948" s="12" t="str">
        <x:v>none</x:v>
      </x:c>
      <x:c r="L948" s="13" t="n">
        <x:f>IF(G948&lt;=I948,0,MAX(0,L947)+IF(E948="via",MAX(0,G948-MAX(F948,I948)),0))</x:f>
        <x:v>1.55</x:v>
      </x:c>
    </x:row>
    <x:row r="949" ht="42" customHeight="1">
      <x:c r="A949" s="7" t="str">
        <x:v>DP3-B-R1</x:v>
      </x:c>
      <x:c r="B949" s="7" t="str">
        <x:v>U18</x:v>
      </x:c>
      <x:c r="C949" s="7" t="str">
        <x:v>question_arrival</x:v>
      </x:c>
      <x:c r="D949" s="7" t="str">
        <x:v>Agent 질문 텍스트 도착</x:v>
      </x:c>
      <x:c r="E949" s="7" t="str">
        <x:v>external</x:v>
      </x:c>
      <x:c r="F949" s="14" t="n">
        <x:v>-2</x:v>
      </x:c>
      <x:c r="G949" s="14" t="n">
        <x:v>-2</x:v>
      </x:c>
      <x:c r="H949" s="14" t="n">
        <x:v>0</x:v>
      </x:c>
      <x:c r="I949" s="14" t="n">
        <x:v>0</x:v>
      </x:c>
      <x:c r="J949" s="7" t="str"/>
      <x:c r="K949" s="7" t="str">
        <x:v>none</x:v>
      </x:c>
      <x:c r="L949" s="14" t="n">
        <x:f>IF(G949&lt;=I949,0,MAX(0)+IF(E949="via",MAX(0,G949-MAX(F949,I949)),0))</x:f>
        <x:v>0</x:v>
      </x:c>
    </x:row>
    <x:row r="950" ht="42" customHeight="1">
      <x:c r="A950" s="12" t="str">
        <x:v>DP3-B-R1</x:v>
      </x:c>
      <x:c r="B950" s="12" t="str">
        <x:v>U18</x:v>
      </x:c>
      <x:c r="C950" s="12" t="str">
        <x:v>question_audio</x:v>
      </x:c>
      <x:c r="D950" s="12" t="str">
        <x:v>선택한 응답 음성 생성</x:v>
      </x:c>
      <x:c r="E950" s="12" t="str">
        <x:v>via</x:v>
      </x:c>
      <x:c r="F950" s="13" t="n">
        <x:v>-2</x:v>
      </x:c>
      <x:c r="G950" s="13" t="n">
        <x:v>0.3906666666666667</x:v>
      </x:c>
      <x:c r="H950" s="13" t="n">
        <x:v>2.3906666666666667</x:v>
      </x:c>
      <x:c r="I950" s="13" t="n">
        <x:v>0</x:v>
      </x:c>
      <x:c r="J950" s="12" t="str">
        <x:v>question_arrival</x:v>
      </x:c>
      <x:c r="K950" s="12" t="str">
        <x:v>speech</x:v>
      </x:c>
      <x:c r="L950" s="13" t="n">
        <x:f>IF(G950&lt;=I950,0,MAX(0,L949)+IF(E950="via",MAX(0,G950-MAX(F950,I950)),0))</x:f>
        <x:v>0.3906666666666667</x:v>
      </x:c>
    </x:row>
    <x:row r="951" ht="42" customHeight="1">
      <x:c r="A951" s="7" t="str">
        <x:v>DP3-B-R1</x:v>
      </x:c>
      <x:c r="B951" s="7" t="str">
        <x:v>U18</x:v>
      </x:c>
      <x:c r="C951" s="7" t="str">
        <x:v>obsolete_audio</x:v>
      </x:c>
      <x:c r="D951" s="7" t="str">
        <x:v>철회되는 보고서의 선행 생성</x:v>
      </x:c>
      <x:c r="E951" s="7" t="str">
        <x:v>via</x:v>
      </x:c>
      <x:c r="F951" s="14" t="n">
        <x:v>-2</x:v>
      </x:c>
      <x:c r="G951" s="14" t="n">
        <x:v>0.8933333333333335</x:v>
      </x:c>
      <x:c r="H951" s="14" t="n">
        <x:v>2.8933333333333335</x:v>
      </x:c>
      <x:c r="I951" s="14" t="n">
        <x:v>0</x:v>
      </x:c>
      <x:c r="J951" s="7" t="str"/>
      <x:c r="K951" s="7" t="str">
        <x:v>speech</x:v>
      </x:c>
      <x:c r="L951" s="14" t="n">
        <x:f>IF(G951&lt;=I951,0,MAX(0)+IF(E951="via",MAX(0,G951-MAX(F951,I951)),0))</x:f>
        <x:v>0.8933333333333335</x:v>
      </x:c>
    </x:row>
    <x:row r="952" ht="42" customHeight="1">
      <x:c r="A952" s="12" t="str">
        <x:v>DP3-B-R1</x:v>
      </x:c>
      <x:c r="B952" s="12" t="str">
        <x:v>U18</x:v>
      </x:c>
      <x:c r="C952" s="12" t="str">
        <x:v>first_chunk</x:v>
      </x:c>
      <x:c r="D952" s="12" t="str">
        <x:v>같은 생성 job의 유효 첫 chunk 관측</x:v>
      </x:c>
      <x:c r="E952" s="12" t="str">
        <x:v>via</x:v>
      </x:c>
      <x:c r="F952" s="13" t="n">
        <x:v>-2</x:v>
      </x:c>
      <x:c r="G952" s="13" t="n">
        <x:v>-1.5593333333333335</x:v>
      </x:c>
      <x:c r="H952" s="13" t="n">
        <x:v>0.44066666666666665</x:v>
      </x:c>
      <x:c r="I952" s="13" t="n">
        <x:v>0</x:v>
      </x:c>
      <x:c r="J952" s="12" t="str">
        <x:v>question_arrival</x:v>
      </x:c>
      <x:c r="K952" s="12" t="str">
        <x:v>none</x:v>
      </x:c>
      <x:c r="L952" s="13" t="n">
        <x:f>IF(G952&lt;=I952,0,MAX(0,L949)+IF(E952="via",MAX(0,G952-MAX(F952,I952)),0))</x:f>
        <x:v>0</x:v>
      </x:c>
    </x:row>
    <x:row r="953" ht="42" customHeight="1">
      <x:c r="A953" s="7" t="str">
        <x:v>DP3-B-R1</x:v>
      </x:c>
      <x:c r="B953" s="7" t="str">
        <x:v>U18</x:v>
      </x:c>
      <x:c r="C953" s="7" t="str">
        <x:v>first_audio_output</x:v>
      </x:c>
      <x:c r="D953" s="7" t="str">
        <x:v>공통 장치의 첫 음성 출력</x:v>
      </x:c>
      <x:c r="E953" s="7" t="str">
        <x:v>via</x:v>
      </x:c>
      <x:c r="F953" s="14" t="n">
        <x:v>1.51</x:v>
      </x:c>
      <x:c r="G953" s="14" t="n">
        <x:v>1.55</x:v>
      </x:c>
      <x:c r="H953" s="14" t="n">
        <x:v>0.04</x:v>
      </x:c>
      <x:c r="I953" s="14" t="n">
        <x:v>0</x:v>
      </x:c>
      <x:c r="J953" s="7" t="str">
        <x:v>adopt, first_chunk</x:v>
      </x:c>
      <x:c r="K953" s="7" t="str">
        <x:v>none</x:v>
      </x:c>
      <x:c r="L953" s="14" t="n">
        <x:f>IF(G953&lt;=I953,0,MAX(0,L947,L952)+IF(E953="via",MAX(0,G953-MAX(F953,I953)),0))</x:f>
        <x:v>1.55</x:v>
      </x:c>
    </x:row>
    <x:row r="954" ht="42" customHeight="1">
      <x:c r="A954" s="12" t="str">
        <x:v>DP3-B-R1</x:v>
      </x:c>
      <x:c r="B954" s="12" t="str">
        <x:v>U18</x:v>
      </x:c>
      <x:c r="C954" s="12" t="str">
        <x:v>terminal</x:v>
      </x:c>
      <x:c r="D954" s="12" t="str">
        <x:v>공통 목표 최종 상태와 전체 음성 준비</x:v>
      </x:c>
      <x:c r="E954" s="12" t="str">
        <x:v>via</x:v>
      </x:c>
      <x:c r="F954" s="13" t="n">
        <x:v>1.55</x:v>
      </x:c>
      <x:c r="G954" s="13" t="n">
        <x:v>1.55</x:v>
      </x:c>
      <x:c r="H954" s="13" t="n">
        <x:v>0</x:v>
      </x:c>
      <x:c r="I954" s="13" t="n">
        <x:v>0</x:v>
      </x:c>
      <x:c r="J954" s="12" t="str">
        <x:v>first_display, question_audio, first_audio_output, obsolete_audio</x:v>
      </x:c>
      <x:c r="K954" s="12" t="str">
        <x:v>none</x:v>
      </x:c>
      <x:c r="L954" s="13" t="n">
        <x:f>IF(G954&lt;=I954,0,MAX(0,L948,L950,L953,L951)+IF(E954="via",MAX(0,G954-MAX(F954,I954)),0))</x:f>
        <x:v>1.55</x:v>
      </x:c>
    </x:row>
    <x:row r="955" ht="42" customHeight="1">
      <x:c r="A955" s="7" t="str">
        <x:v>DP3-B-R1</x:v>
      </x:c>
      <x:c r="B955" s="7" t="str">
        <x:v>U19</x:v>
      </x:c>
      <x:c r="C955" s="7" t="str">
        <x:v>input_end</x:v>
      </x:c>
      <x:c r="D955" s="7" t="str">
        <x:v>사용자 입력 종료</x:v>
      </x:c>
      <x:c r="E955" s="7" t="str">
        <x:v>external</x:v>
      </x:c>
      <x:c r="F955" s="14" t="n">
        <x:v>0</x:v>
      </x:c>
      <x:c r="G955" s="14" t="n">
        <x:v>0</x:v>
      </x:c>
      <x:c r="H955" s="14" t="n">
        <x:v>0</x:v>
      </x:c>
      <x:c r="I955" s="14" t="n">
        <x:v>0</x:v>
      </x:c>
      <x:c r="J955" s="7" t="str"/>
      <x:c r="K955" s="7" t="str">
        <x:v>none</x:v>
      </x:c>
      <x:c r="L955" s="14" t="n">
        <x:f>IF(G955&lt;=I955,0,MAX(0)+IF(E955="via",MAX(0,G955-MAX(F955,I955)),0))</x:f>
        <x:v>0</x:v>
      </x:c>
    </x:row>
    <x:row r="956" ht="42" customHeight="1">
      <x:c r="A956" s="12" t="str">
        <x:v>DP3-B-R1</x:v>
      </x:c>
      <x:c r="B956" s="12" t="str">
        <x:v>U19</x:v>
      </x:c>
      <x:c r="C956" s="12" t="str">
        <x:v>intake</x:v>
      </x:c>
      <x:c r="D956" s="12" t="str">
        <x:v>입력 확정</x:v>
      </x:c>
      <x:c r="E956" s="12" t="str">
        <x:v>via</x:v>
      </x:c>
      <x:c r="F956" s="13" t="n">
        <x:v>0</x:v>
      </x:c>
      <x:c r="G956" s="13" t="n">
        <x:v>0.3</x:v>
      </x:c>
      <x:c r="H956" s="13" t="n">
        <x:v>0.3</x:v>
      </x:c>
      <x:c r="I956" s="13" t="n">
        <x:v>0</x:v>
      </x:c>
      <x:c r="J956" s="12" t="str">
        <x:v>input_end</x:v>
      </x:c>
      <x:c r="K956" s="12" t="str">
        <x:v>none</x:v>
      </x:c>
      <x:c r="L956" s="13" t="n">
        <x:f>IF(G956&lt;=I956,0,MAX(0,L955)+IF(E956="via",MAX(0,G956-MAX(F956,I956)),0))</x:f>
        <x:v>0.3</x:v>
      </x:c>
    </x:row>
    <x:row r="957" ht="42" customHeight="1">
      <x:c r="A957" s="7" t="str">
        <x:v>DP3-B-R1</x:v>
      </x:c>
      <x:c r="B957" s="7" t="str">
        <x:v>U19</x:v>
      </x:c>
      <x:c r="C957" s="7" t="str">
        <x:v>read</x:v>
      </x:c>
      <x:c r="D957" s="7" t="str">
        <x:v>공통 허용 원본 조회</x:v>
      </x:c>
      <x:c r="E957" s="7" t="str">
        <x:v>via</x:v>
      </x:c>
      <x:c r="F957" s="14" t="n">
        <x:v>0.3</x:v>
      </x:c>
      <x:c r="G957" s="14" t="n">
        <x:v>0.38</x:v>
      </x:c>
      <x:c r="H957" s="14" t="n">
        <x:v>0.08</x:v>
      </x:c>
      <x:c r="I957" s="14" t="n">
        <x:v>0</x:v>
      </x:c>
      <x:c r="J957" s="7" t="str">
        <x:v>intake</x:v>
      </x:c>
      <x:c r="K957" s="7" t="str">
        <x:v>none</x:v>
      </x:c>
      <x:c r="L957" s="14" t="n">
        <x:f>IF(G957&lt;=I957,0,MAX(0,L956)+IF(E957="via",MAX(0,G957-MAX(F957,I957)),0))</x:f>
        <x:v>0.38</x:v>
      </x:c>
    </x:row>
    <x:row r="958" ht="42" customHeight="1">
      <x:c r="A958" s="12" t="str">
        <x:v>DP3-B-R1</x:v>
      </x:c>
      <x:c r="B958" s="12" t="str">
        <x:v>U19</x:v>
      </x:c>
      <x:c r="C958" s="12" t="str">
        <x:v>meaning</x:v>
      </x:c>
      <x:c r="D958" s="12" t="str">
        <x:v>최초 요청 의미 채택 packet 생성</x:v>
      </x:c>
      <x:c r="E958" s="12" t="str">
        <x:v>via</x:v>
      </x:c>
      <x:c r="F958" s="13" t="n">
        <x:v>0.38</x:v>
      </x:c>
      <x:c r="G958" s="13" t="n">
        <x:v>1.48</x:v>
      </x:c>
      <x:c r="H958" s="13" t="n">
        <x:v>1.1</x:v>
      </x:c>
      <x:c r="I958" s="13" t="n">
        <x:v>0</x:v>
      </x:c>
      <x:c r="J958" s="12" t="str">
        <x:v>read</x:v>
      </x:c>
      <x:c r="K958" s="12" t="str">
        <x:v>semantic</x:v>
      </x:c>
      <x:c r="L958" s="13" t="n">
        <x:f>IF(G958&lt;=I958,0,MAX(0,L957)+IF(E958="via",MAX(0,G958-MAX(F958,I958)),0))</x:f>
        <x:v>1.48</x:v>
      </x:c>
    </x:row>
    <x:row r="959" ht="42" customHeight="1">
      <x:c r="A959" s="7" t="str">
        <x:v>DP3-B-R1</x:v>
      </x:c>
      <x:c r="B959" s="7" t="str">
        <x:v>U19</x:v>
      </x:c>
      <x:c r="C959" s="7" t="str">
        <x:v>adopt</x:v>
      </x:c>
      <x:c r="D959" s="7" t="str">
        <x:v>현재 revision과 권한 검사 및 채택</x:v>
      </x:c>
      <x:c r="E959" s="7" t="str">
        <x:v>via</x:v>
      </x:c>
      <x:c r="F959" s="14" t="n">
        <x:v>1.48</x:v>
      </x:c>
      <x:c r="G959" s="14" t="n">
        <x:v>1.51</x:v>
      </x:c>
      <x:c r="H959" s="14" t="n">
        <x:v>0.03</x:v>
      </x:c>
      <x:c r="I959" s="14" t="n">
        <x:v>0</x:v>
      </x:c>
      <x:c r="J959" s="7" t="str">
        <x:v>meaning</x:v>
      </x:c>
      <x:c r="K959" s="7" t="str">
        <x:v>none</x:v>
      </x:c>
      <x:c r="L959" s="14" t="n">
        <x:f>IF(G959&lt;=I959,0,MAX(0,L958)+IF(E959="via",MAX(0,G959-MAX(F959,I959)),0))</x:f>
        <x:v>1.51</x:v>
      </x:c>
    </x:row>
    <x:row r="960" ht="42" customHeight="1">
      <x:c r="A960" s="12" t="str">
        <x:v>DP3-B-R1</x:v>
      </x:c>
      <x:c r="B960" s="12" t="str">
        <x:v>U19</x:v>
      </x:c>
      <x:c r="C960" s="12" t="str">
        <x:v>first_display</x:v>
      </x:c>
      <x:c r="D960" s="12" t="str">
        <x:v>첫 구체적 채택 내용 화면 표시</x:v>
      </x:c>
      <x:c r="E960" s="12" t="str">
        <x:v>via</x:v>
      </x:c>
      <x:c r="F960" s="13" t="n">
        <x:v>1.51</x:v>
      </x:c>
      <x:c r="G960" s="13" t="n">
        <x:v>1.55</x:v>
      </x:c>
      <x:c r="H960" s="13" t="n">
        <x:v>0.04</x:v>
      </x:c>
      <x:c r="I960" s="13" t="n">
        <x:v>0</x:v>
      </x:c>
      <x:c r="J960" s="12" t="str">
        <x:v>adopt</x:v>
      </x:c>
      <x:c r="K960" s="12" t="str">
        <x:v>none</x:v>
      </x:c>
      <x:c r="L960" s="13" t="n">
        <x:f>IF(G960&lt;=I960,0,MAX(0,L959)+IF(E960="via",MAX(0,G960-MAX(F960,I960)),0))</x:f>
        <x:v>1.55</x:v>
      </x:c>
    </x:row>
    <x:row r="961" ht="42" customHeight="1">
      <x:c r="A961" s="7" t="str">
        <x:v>DP3-B-R1</x:v>
      </x:c>
      <x:c r="B961" s="7" t="str">
        <x:v>U19</x:v>
      </x:c>
      <x:c r="C961" s="7" t="str">
        <x:v>question_arrival</x:v>
      </x:c>
      <x:c r="D961" s="7" t="str">
        <x:v>Agent 질문 텍스트 도착</x:v>
      </x:c>
      <x:c r="E961" s="7" t="str">
        <x:v>external</x:v>
      </x:c>
      <x:c r="F961" s="14" t="n">
        <x:v>-0.5</x:v>
      </x:c>
      <x:c r="G961" s="14" t="n">
        <x:v>-0.5</x:v>
      </x:c>
      <x:c r="H961" s="14" t="n">
        <x:v>0</x:v>
      </x:c>
      <x:c r="I961" s="14" t="n">
        <x:v>0</x:v>
      </x:c>
      <x:c r="J961" s="7" t="str"/>
      <x:c r="K961" s="7" t="str">
        <x:v>none</x:v>
      </x:c>
      <x:c r="L961" s="14" t="n">
        <x:f>IF(G961&lt;=I961,0,MAX(0)+IF(E961="via",MAX(0,G961-MAX(F961,I961)),0))</x:f>
        <x:v>0</x:v>
      </x:c>
    </x:row>
    <x:row r="962" ht="42" customHeight="1">
      <x:c r="A962" s="12" t="str">
        <x:v>DP3-B-R1</x:v>
      </x:c>
      <x:c r="B962" s="12" t="str">
        <x:v>U19</x:v>
      </x:c>
      <x:c r="C962" s="12" t="str">
        <x:v>question_audio</x:v>
      </x:c>
      <x:c r="D962" s="12" t="str">
        <x:v>선택한 응답 음성 생성</x:v>
      </x:c>
      <x:c r="E962" s="12" t="str">
        <x:v>via</x:v>
      </x:c>
      <x:c r="F962" s="13" t="n">
        <x:v>-0.5</x:v>
      </x:c>
      <x:c r="G962" s="13" t="n">
        <x:v>1.388</x:v>
      </x:c>
      <x:c r="H962" s="13" t="n">
        <x:v>1.888</x:v>
      </x:c>
      <x:c r="I962" s="13" t="n">
        <x:v>0</x:v>
      </x:c>
      <x:c r="J962" s="12" t="str">
        <x:v>question_arrival</x:v>
      </x:c>
      <x:c r="K962" s="12" t="str">
        <x:v>speech</x:v>
      </x:c>
      <x:c r="L962" s="13" t="n">
        <x:f>IF(G962&lt;=I962,0,MAX(0,L961)+IF(E962="via",MAX(0,G962-MAX(F962,I962)),0))</x:f>
        <x:v>1.388</x:v>
      </x:c>
    </x:row>
    <x:row r="963" ht="42" customHeight="1">
      <x:c r="A963" s="7" t="str">
        <x:v>DP3-B-R1</x:v>
      </x:c>
      <x:c r="B963" s="7" t="str">
        <x:v>U19</x:v>
      </x:c>
      <x:c r="C963" s="7" t="str">
        <x:v>old_audio</x:v>
      </x:c>
      <x:c r="D963" s="7" t="str">
        <x:v>중단 전 설명 생성</x:v>
      </x:c>
      <x:c r="E963" s="7" t="str">
        <x:v>via</x:v>
      </x:c>
      <x:c r="F963" s="14" t="n">
        <x:v>-2</x:v>
      </x:c>
      <x:c r="G963" s="14" t="n">
        <x:v>7.428000000000001</x:v>
      </x:c>
      <x:c r="H963" s="14" t="n">
        <x:v>9.428</x:v>
      </x:c>
      <x:c r="I963" s="14" t="n">
        <x:v>0</x:v>
      </x:c>
      <x:c r="J963" s="7" t="str"/>
      <x:c r="K963" s="7" t="str">
        <x:v>speech</x:v>
      </x:c>
      <x:c r="L963" s="14" t="n">
        <x:f>IF(G963&lt;=I963,0,MAX(0)+IF(E963="via",MAX(0,G963-MAX(F963,I963)),0))</x:f>
        <x:v>7.428000000000001</x:v>
      </x:c>
    </x:row>
    <x:row r="964" ht="42" customHeight="1">
      <x:c r="A964" s="12" t="str">
        <x:v>DP3-B-R1</x:v>
      </x:c>
      <x:c r="B964" s="12" t="str">
        <x:v>U19</x:v>
      </x:c>
      <x:c r="C964" s="12" t="str">
        <x:v>first_chunk</x:v>
      </x:c>
      <x:c r="D964" s="12" t="str">
        <x:v>같은 생성 job의 유효 첫 chunk 관측</x:v>
      </x:c>
      <x:c r="E964" s="12" t="str">
        <x:v>via</x:v>
      </x:c>
      <x:c r="F964" s="13" t="n">
        <x:v>-0.5</x:v>
      </x:c>
      <x:c r="G964" s="13" t="n">
        <x:v>-0.062</x:v>
      </x:c>
      <x:c r="H964" s="13" t="n">
        <x:v>0.438</x:v>
      </x:c>
      <x:c r="I964" s="13" t="n">
        <x:v>0</x:v>
      </x:c>
      <x:c r="J964" s="12" t="str">
        <x:v>question_arrival</x:v>
      </x:c>
      <x:c r="K964" s="12" t="str">
        <x:v>none</x:v>
      </x:c>
      <x:c r="L964" s="13" t="n">
        <x:f>IF(G964&lt;=I964,0,MAX(0,L961)+IF(E964="via",MAX(0,G964-MAX(F964,I964)),0))</x:f>
        <x:v>0</x:v>
      </x:c>
    </x:row>
    <x:row r="965" ht="42" customHeight="1">
      <x:c r="A965" s="7" t="str">
        <x:v>DP3-B-R1</x:v>
      </x:c>
      <x:c r="B965" s="7" t="str">
        <x:v>U19</x:v>
      </x:c>
      <x:c r="C965" s="7" t="str">
        <x:v>first_audio_output</x:v>
      </x:c>
      <x:c r="D965" s="7" t="str">
        <x:v>공통 장치의 첫 음성 출력</x:v>
      </x:c>
      <x:c r="E965" s="7" t="str">
        <x:v>via</x:v>
      </x:c>
      <x:c r="F965" s="14" t="n">
        <x:v>1.51</x:v>
      </x:c>
      <x:c r="G965" s="14" t="n">
        <x:v>1.55</x:v>
      </x:c>
      <x:c r="H965" s="14" t="n">
        <x:v>0.04</x:v>
      </x:c>
      <x:c r="I965" s="14" t="n">
        <x:v>0</x:v>
      </x:c>
      <x:c r="J965" s="7" t="str">
        <x:v>adopt, first_chunk</x:v>
      </x:c>
      <x:c r="K965" s="7" t="str">
        <x:v>none</x:v>
      </x:c>
      <x:c r="L965" s="14" t="n">
        <x:f>IF(G965&lt;=I965,0,MAX(0,L959,L964)+IF(E965="via",MAX(0,G965-MAX(F965,I965)),0))</x:f>
        <x:v>1.55</x:v>
      </x:c>
    </x:row>
    <x:row r="966" ht="42" customHeight="1">
      <x:c r="A966" s="12" t="str">
        <x:v>DP3-B-R1</x:v>
      </x:c>
      <x:c r="B966" s="12" t="str">
        <x:v>U19</x:v>
      </x:c>
      <x:c r="C966" s="12" t="str">
        <x:v>question_play</x:v>
      </x:c>
      <x:c r="D966" s="12" t="str">
        <x:v>첫 출력부터 질문 순수 재생 및 차례</x:v>
      </x:c>
      <x:c r="E966" s="12" t="str">
        <x:v>external</x:v>
      </x:c>
      <x:c r="F966" s="13" t="n">
        <x:v>1.55</x:v>
      </x:c>
      <x:c r="G966" s="13" t="n">
        <x:v>7.55</x:v>
      </x:c>
      <x:c r="H966" s="13" t="n">
        <x:v>6</x:v>
      </x:c>
      <x:c r="I966" s="13" t="n">
        <x:v>0</x:v>
      </x:c>
      <x:c r="J966" s="12" t="str">
        <x:v>first_audio_output</x:v>
      </x:c>
      <x:c r="K966" s="12" t="str">
        <x:v>none</x:v>
      </x:c>
      <x:c r="L966" s="13" t="n">
        <x:f>IF(G966&lt;=I966,0,MAX(0,L965)+IF(E966="via",MAX(0,G966-MAX(F966,I966)),0))</x:f>
        <x:v>1.55</x:v>
      </x:c>
    </x:row>
    <x:row r="967" ht="42" customHeight="1">
      <x:c r="A967" s="7" t="str">
        <x:v>DP3-B-R1</x:v>
      </x:c>
      <x:c r="B967" s="7" t="str">
        <x:v>U19</x:v>
      </x:c>
      <x:c r="C967" s="7" t="str">
        <x:v>terminal</x:v>
      </x:c>
      <x:c r="D967" s="7" t="str">
        <x:v>공통 목표 최종 상태와 전체 음성 준비</x:v>
      </x:c>
      <x:c r="E967" s="7" t="str">
        <x:v>via</x:v>
      </x:c>
      <x:c r="F967" s="14" t="n">
        <x:v>7.55</x:v>
      </x:c>
      <x:c r="G967" s="14" t="n">
        <x:v>7.55</x:v>
      </x:c>
      <x:c r="H967" s="14" t="n">
        <x:v>0</x:v>
      </x:c>
      <x:c r="I967" s="14" t="n">
        <x:v>0</x:v>
      </x:c>
      <x:c r="J967" s="7" t="str">
        <x:v>first_display, question_audio, first_audio_output, question_play, old_audio</x:v>
      </x:c>
      <x:c r="K967" s="7" t="str">
        <x:v>none</x:v>
      </x:c>
      <x:c r="L967" s="14" t="n">
        <x:f>IF(G967&lt;=I967,0,MAX(0,L960,L962,L965,L966,L963)+IF(E967="via",MAX(0,G967-MAX(F967,I967)),0))</x:f>
        <x:v>7.428000000000001</x:v>
      </x:c>
    </x:row>
    <x:row r="968" ht="42" customHeight="1">
      <x:c r="A968" s="12" t="str">
        <x:v>DP3-B-R1</x:v>
      </x:c>
      <x:c r="B968" s="12" t="str">
        <x:v>U20</x:v>
      </x:c>
      <x:c r="C968" s="12" t="str">
        <x:v>input_end</x:v>
      </x:c>
      <x:c r="D968" s="12" t="str">
        <x:v>사용자 입력 종료</x:v>
      </x:c>
      <x:c r="E968" s="12" t="str">
        <x:v>external</x:v>
      </x:c>
      <x:c r="F968" s="13" t="n">
        <x:v>0</x:v>
      </x:c>
      <x:c r="G968" s="13" t="n">
        <x:v>0</x:v>
      </x:c>
      <x:c r="H968" s="13" t="n">
        <x:v>0</x:v>
      </x:c>
      <x:c r="I968" s="13" t="n">
        <x:v>0</x:v>
      </x:c>
      <x:c r="J968" s="12" t="str"/>
      <x:c r="K968" s="12" t="str">
        <x:v>none</x:v>
      </x:c>
      <x:c r="L968" s="13" t="n">
        <x:f>IF(G968&lt;=I968,0,MAX(0)+IF(E968="via",MAX(0,G968-MAX(F968,I968)),0))</x:f>
        <x:v>0</x:v>
      </x:c>
    </x:row>
    <x:row r="969" ht="42" customHeight="1">
      <x:c r="A969" s="7" t="str">
        <x:v>DP3-B-R1</x:v>
      </x:c>
      <x:c r="B969" s="7" t="str">
        <x:v>U20</x:v>
      </x:c>
      <x:c r="C969" s="7" t="str">
        <x:v>intake</x:v>
      </x:c>
      <x:c r="D969" s="7" t="str">
        <x:v>입력 확정</x:v>
      </x:c>
      <x:c r="E969" s="7" t="str">
        <x:v>via</x:v>
      </x:c>
      <x:c r="F969" s="14" t="n">
        <x:v>0</x:v>
      </x:c>
      <x:c r="G969" s="14" t="n">
        <x:v>0.3</x:v>
      </x:c>
      <x:c r="H969" s="14" t="n">
        <x:v>0.3</x:v>
      </x:c>
      <x:c r="I969" s="14" t="n">
        <x:v>0</x:v>
      </x:c>
      <x:c r="J969" s="7" t="str">
        <x:v>input_end</x:v>
      </x:c>
      <x:c r="K969" s="7" t="str">
        <x:v>none</x:v>
      </x:c>
      <x:c r="L969" s="14" t="n">
        <x:f>IF(G969&lt;=I969,0,MAX(0,L968)+IF(E969="via",MAX(0,G969-MAX(F969,I969)),0))</x:f>
        <x:v>0.3</x:v>
      </x:c>
    </x:row>
    <x:row r="970" ht="42" customHeight="1">
      <x:c r="A970" s="12" t="str">
        <x:v>DP3-B-R1</x:v>
      </x:c>
      <x:c r="B970" s="12" t="str">
        <x:v>U20</x:v>
      </x:c>
      <x:c r="C970" s="12" t="str">
        <x:v>read</x:v>
      </x:c>
      <x:c r="D970" s="12" t="str">
        <x:v>공통 허용 원본 조회</x:v>
      </x:c>
      <x:c r="E970" s="12" t="str">
        <x:v>via</x:v>
      </x:c>
      <x:c r="F970" s="13" t="n">
        <x:v>0.3</x:v>
      </x:c>
      <x:c r="G970" s="13" t="n">
        <x:v>0.38</x:v>
      </x:c>
      <x:c r="H970" s="13" t="n">
        <x:v>0.08</x:v>
      </x:c>
      <x:c r="I970" s="13" t="n">
        <x:v>0</x:v>
      </x:c>
      <x:c r="J970" s="12" t="str">
        <x:v>intake</x:v>
      </x:c>
      <x:c r="K970" s="12" t="str">
        <x:v>none</x:v>
      </x:c>
      <x:c r="L970" s="13" t="n">
        <x:f>IF(G970&lt;=I970,0,MAX(0,L969)+IF(E970="via",MAX(0,G970-MAX(F970,I970)),0))</x:f>
        <x:v>0.38</x:v>
      </x:c>
    </x:row>
    <x:row r="971" ht="42" customHeight="1">
      <x:c r="A971" s="7" t="str">
        <x:v>DP3-B-R1</x:v>
      </x:c>
      <x:c r="B971" s="7" t="str">
        <x:v>U20</x:v>
      </x:c>
      <x:c r="C971" s="7" t="str">
        <x:v>meaning</x:v>
      </x:c>
      <x:c r="D971" s="7" t="str">
        <x:v>최초 요청 의미 채택 packet 생성</x:v>
      </x:c>
      <x:c r="E971" s="7" t="str">
        <x:v>via</x:v>
      </x:c>
      <x:c r="F971" s="14" t="n">
        <x:v>0.38</x:v>
      </x:c>
      <x:c r="G971" s="14" t="n">
        <x:v>1.48</x:v>
      </x:c>
      <x:c r="H971" s="14" t="n">
        <x:v>1.1</x:v>
      </x:c>
      <x:c r="I971" s="14" t="n">
        <x:v>0</x:v>
      </x:c>
      <x:c r="J971" s="7" t="str">
        <x:v>read</x:v>
      </x:c>
      <x:c r="K971" s="7" t="str">
        <x:v>semantic</x:v>
      </x:c>
      <x:c r="L971" s="14" t="n">
        <x:f>IF(G971&lt;=I971,0,MAX(0,L970)+IF(E971="via",MAX(0,G971-MAX(F971,I971)),0))</x:f>
        <x:v>1.48</x:v>
      </x:c>
    </x:row>
    <x:row r="972" ht="42" customHeight="1">
      <x:c r="A972" s="12" t="str">
        <x:v>DP3-B-R1</x:v>
      </x:c>
      <x:c r="B972" s="12" t="str">
        <x:v>U20</x:v>
      </x:c>
      <x:c r="C972" s="12" t="str">
        <x:v>adopt</x:v>
      </x:c>
      <x:c r="D972" s="12" t="str">
        <x:v>현재 revision과 권한 검사 및 채택</x:v>
      </x:c>
      <x:c r="E972" s="12" t="str">
        <x:v>via</x:v>
      </x:c>
      <x:c r="F972" s="13" t="n">
        <x:v>1.48</x:v>
      </x:c>
      <x:c r="G972" s="13" t="n">
        <x:v>1.51</x:v>
      </x:c>
      <x:c r="H972" s="13" t="n">
        <x:v>0.03</x:v>
      </x:c>
      <x:c r="I972" s="13" t="n">
        <x:v>0</x:v>
      </x:c>
      <x:c r="J972" s="12" t="str">
        <x:v>meaning</x:v>
      </x:c>
      <x:c r="K972" s="12" t="str">
        <x:v>none</x:v>
      </x:c>
      <x:c r="L972" s="13" t="n">
        <x:f>IF(G972&lt;=I972,0,MAX(0,L971)+IF(E972="via",MAX(0,G972-MAX(F972,I972)),0))</x:f>
        <x:v>1.51</x:v>
      </x:c>
    </x:row>
    <x:row r="973" ht="42" customHeight="1">
      <x:c r="A973" s="7" t="str">
        <x:v>DP3-B-R1</x:v>
      </x:c>
      <x:c r="B973" s="7" t="str">
        <x:v>U20</x:v>
      </x:c>
      <x:c r="C973" s="7" t="str">
        <x:v>first_display</x:v>
      </x:c>
      <x:c r="D973" s="7" t="str">
        <x:v>첫 구체적 채택 내용 화면 표시</x:v>
      </x:c>
      <x:c r="E973" s="7" t="str">
        <x:v>via</x:v>
      </x:c>
      <x:c r="F973" s="14" t="n">
        <x:v>1.51</x:v>
      </x:c>
      <x:c r="G973" s="14" t="n">
        <x:v>1.55</x:v>
      </x:c>
      <x:c r="H973" s="14" t="n">
        <x:v>0.04</x:v>
      </x:c>
      <x:c r="I973" s="14" t="n">
        <x:v>0</x:v>
      </x:c>
      <x:c r="J973" s="7" t="str">
        <x:v>adopt</x:v>
      </x:c>
      <x:c r="K973" s="7" t="str">
        <x:v>none</x:v>
      </x:c>
      <x:c r="L973" s="14" t="n">
        <x:f>IF(G973&lt;=I973,0,MAX(0,L972)+IF(E973="via",MAX(0,G973-MAX(F973,I973)),0))</x:f>
        <x:v>1.55</x:v>
      </x:c>
    </x:row>
    <x:row r="974" ht="42" customHeight="1">
      <x:c r="A974" s="12" t="str">
        <x:v>DP3-B-R1</x:v>
      </x:c>
      <x:c r="B974" s="12" t="str">
        <x:v>U20</x:v>
      </x:c>
      <x:c r="C974" s="12" t="str">
        <x:v>existing_audio</x:v>
      </x:c>
      <x:c r="D974" s="12" t="str">
        <x:v>공통 유효 audio 초기 상태</x:v>
      </x:c>
      <x:c r="E974" s="12" t="str">
        <x:v>external</x:v>
      </x:c>
      <x:c r="F974" s="13" t="n">
        <x:v>-12</x:v>
      </x:c>
      <x:c r="G974" s="13" t="n">
        <x:v>-12</x:v>
      </x:c>
      <x:c r="H974" s="13" t="n">
        <x:v>0</x:v>
      </x:c>
      <x:c r="I974" s="13" t="n">
        <x:v>0</x:v>
      </x:c>
      <x:c r="J974" s="12" t="str"/>
      <x:c r="K974" s="12" t="str">
        <x:v>none</x:v>
      </x:c>
      <x:c r="L974" s="13" t="n">
        <x:f>IF(G974&lt;=I974,0,MAX(0)+IF(E974="via",MAX(0,G974-MAX(F974,I974)),0))</x:f>
        <x:v>0</x:v>
      </x:c>
    </x:row>
    <x:row r="975" ht="42" customHeight="1">
      <x:c r="A975" s="7" t="str">
        <x:v>DP3-B-R1</x:v>
      </x:c>
      <x:c r="B975" s="7" t="str">
        <x:v>U20</x:v>
      </x:c>
      <x:c r="C975" s="7" t="str">
        <x:v>first_audio_output</x:v>
      </x:c>
      <x:c r="D975" s="7" t="str">
        <x:v>공통 장치의 첫 음성 출력</x:v>
      </x:c>
      <x:c r="E975" s="7" t="str">
        <x:v>via</x:v>
      </x:c>
      <x:c r="F975" s="14" t="n">
        <x:v>1.51</x:v>
      </x:c>
      <x:c r="G975" s="14" t="n">
        <x:v>1.55</x:v>
      </x:c>
      <x:c r="H975" s="14" t="n">
        <x:v>0.04</x:v>
      </x:c>
      <x:c r="I975" s="14" t="n">
        <x:v>0</x:v>
      </x:c>
      <x:c r="J975" s="7" t="str">
        <x:v>adopt, existing_audio</x:v>
      </x:c>
      <x:c r="K975" s="7" t="str">
        <x:v>none</x:v>
      </x:c>
      <x:c r="L975" s="14" t="n">
        <x:f>IF(G975&lt;=I975,0,MAX(0,L972,L974)+IF(E975="via",MAX(0,G975-MAX(F975,I975)),0))</x:f>
        <x:v>1.55</x:v>
      </x:c>
    </x:row>
    <x:row r="976" ht="42" customHeight="1">
      <x:c r="A976" s="12" t="str">
        <x:v>DP3-B-R1</x:v>
      </x:c>
      <x:c r="B976" s="12" t="str">
        <x:v>U20</x:v>
      </x:c>
      <x:c r="C976" s="12" t="str">
        <x:v>terminal</x:v>
      </x:c>
      <x:c r="D976" s="12" t="str">
        <x:v>공통 목표 최종 상태와 전체 음성 준비</x:v>
      </x:c>
      <x:c r="E976" s="12" t="str">
        <x:v>via</x:v>
      </x:c>
      <x:c r="F976" s="13" t="n">
        <x:v>1.55</x:v>
      </x:c>
      <x:c r="G976" s="13" t="n">
        <x:v>1.55</x:v>
      </x:c>
      <x:c r="H976" s="13" t="n">
        <x:v>0</x:v>
      </x:c>
      <x:c r="I976" s="13" t="n">
        <x:v>0</x:v>
      </x:c>
      <x:c r="J976" s="12" t="str">
        <x:v>first_display, existing_audio, first_audio_output</x:v>
      </x:c>
      <x:c r="K976" s="12" t="str">
        <x:v>none</x:v>
      </x:c>
      <x:c r="L976" s="13" t="n">
        <x:f>IF(G976&lt;=I976,0,MAX(0,L973,L974,L975)+IF(E976="via",MAX(0,G976-MAX(F976,I976)),0))</x:f>
        <x:v>1.55</x:v>
      </x:c>
    </x:row>
    <x:row r="977" ht="42" customHeight="1">
      <x:c r="A977" s="7" t="str">
        <x:v>DP3-B-R1</x:v>
      </x:c>
      <x:c r="B977" s="7" t="str">
        <x:v>U21</x:v>
      </x:c>
      <x:c r="C977" s="7" t="str">
        <x:v>bg1</x:v>
      </x:c>
      <x:c r="D977" s="7" t="str">
        <x:v>진행 중인 현재 대화의 의미 step</x:v>
      </x:c>
      <x:c r="E977" s="7" t="str">
        <x:v>via</x:v>
      </x:c>
      <x:c r="F977" s="14" t="n">
        <x:v>-1</x:v>
      </x:c>
      <x:c r="G977" s="14" t="n">
        <x:v>2.4</x:v>
      </x:c>
      <x:c r="H977" s="14" t="n">
        <x:v>3.4</x:v>
      </x:c>
      <x:c r="I977" s="14" t="n">
        <x:v>0</x:v>
      </x:c>
      <x:c r="J977" s="7" t="str"/>
      <x:c r="K977" s="7" t="str">
        <x:v>semantic</x:v>
      </x:c>
      <x:c r="L977" s="14" t="n">
        <x:f>IF(G977&lt;=I977,0,MAX(0)+IF(E977="via",MAX(0,G977-MAX(F977,I977)),0))</x:f>
        <x:v>2.4</x:v>
      </x:c>
    </x:row>
    <x:row r="978" ht="42" customHeight="1">
      <x:c r="A978" s="12" t="str">
        <x:v>DP3-B-R1</x:v>
      </x:c>
      <x:c r="B978" s="12" t="str">
        <x:v>U21</x:v>
      </x:c>
      <x:c r="C978" s="12" t="str">
        <x:v>input_end</x:v>
      </x:c>
      <x:c r="D978" s="12" t="str">
        <x:v>사용자 입력 종료</x:v>
      </x:c>
      <x:c r="E978" s="12" t="str">
        <x:v>external</x:v>
      </x:c>
      <x:c r="F978" s="13" t="n">
        <x:v>0</x:v>
      </x:c>
      <x:c r="G978" s="13" t="n">
        <x:v>0</x:v>
      </x:c>
      <x:c r="H978" s="13" t="n">
        <x:v>0</x:v>
      </x:c>
      <x:c r="I978" s="13" t="n">
        <x:v>0</x:v>
      </x:c>
      <x:c r="J978" s="12" t="str"/>
      <x:c r="K978" s="12" t="str">
        <x:v>none</x:v>
      </x:c>
      <x:c r="L978" s="13" t="n">
        <x:f>IF(G978&lt;=I978,0,MAX(0)+IF(E978="via",MAX(0,G978-MAX(F978,I978)),0))</x:f>
        <x:v>0</x:v>
      </x:c>
    </x:row>
    <x:row r="979" ht="42" customHeight="1">
      <x:c r="A979" s="7" t="str">
        <x:v>DP3-B-R1</x:v>
      </x:c>
      <x:c r="B979" s="7" t="str">
        <x:v>U21</x:v>
      </x:c>
      <x:c r="C979" s="7" t="str">
        <x:v>intake</x:v>
      </x:c>
      <x:c r="D979" s="7" t="str">
        <x:v>입력 확정</x:v>
      </x:c>
      <x:c r="E979" s="7" t="str">
        <x:v>via</x:v>
      </x:c>
      <x:c r="F979" s="14" t="n">
        <x:v>0</x:v>
      </x:c>
      <x:c r="G979" s="14" t="n">
        <x:v>0.3</x:v>
      </x:c>
      <x:c r="H979" s="14" t="n">
        <x:v>0.3</x:v>
      </x:c>
      <x:c r="I979" s="14" t="n">
        <x:v>0</x:v>
      </x:c>
      <x:c r="J979" s="7" t="str">
        <x:v>input_end</x:v>
      </x:c>
      <x:c r="K979" s="7" t="str">
        <x:v>none</x:v>
      </x:c>
      <x:c r="L979" s="14" t="n">
        <x:f>IF(G979&lt;=I979,0,MAX(0,L978)+IF(E979="via",MAX(0,G979-MAX(F979,I979)),0))</x:f>
        <x:v>0.3</x:v>
      </x:c>
    </x:row>
    <x:row r="980" ht="42" customHeight="1">
      <x:c r="A980" s="12" t="str">
        <x:v>DP3-B-R1</x:v>
      </x:c>
      <x:c r="B980" s="12" t="str">
        <x:v>U21</x:v>
      </x:c>
      <x:c r="C980" s="12" t="str">
        <x:v>read</x:v>
      </x:c>
      <x:c r="D980" s="12" t="str">
        <x:v>공통 허용 원본 조회</x:v>
      </x:c>
      <x:c r="E980" s="12" t="str">
        <x:v>via</x:v>
      </x:c>
      <x:c r="F980" s="13" t="n">
        <x:v>0.3</x:v>
      </x:c>
      <x:c r="G980" s="13" t="n">
        <x:v>0.38</x:v>
      </x:c>
      <x:c r="H980" s="13" t="n">
        <x:v>0.08</x:v>
      </x:c>
      <x:c r="I980" s="13" t="n">
        <x:v>0</x:v>
      </x:c>
      <x:c r="J980" s="12" t="str">
        <x:v>intake</x:v>
      </x:c>
      <x:c r="K980" s="12" t="str">
        <x:v>none</x:v>
      </x:c>
      <x:c r="L980" s="13" t="n">
        <x:f>IF(G980&lt;=I980,0,MAX(0,L979)+IF(E980="via",MAX(0,G980-MAX(F980,I980)),0))</x:f>
        <x:v>0.38</x:v>
      </x:c>
    </x:row>
    <x:row r="981" ht="42" customHeight="1">
      <x:c r="A981" s="7" t="str">
        <x:v>DP3-B-R1</x:v>
      </x:c>
      <x:c r="B981" s="7" t="str">
        <x:v>U21</x:v>
      </x:c>
      <x:c r="C981" s="7" t="str">
        <x:v>now_ui_boot</x:v>
      </x:c>
      <x:c r="D981" s="7" t="str">
        <x:v>ui runtime 시작</x:v>
      </x:c>
      <x:c r="E981" s="7" t="str">
        <x:v>via</x:v>
      </x:c>
      <x:c r="F981" s="14" t="n">
        <x:v>0.38</x:v>
      </x:c>
      <x:c r="G981" s="14" t="n">
        <x:v>1.58</x:v>
      </x:c>
      <x:c r="H981" s="14" t="n">
        <x:v>1.2</x:v>
      </x:c>
      <x:c r="I981" s="14" t="n">
        <x:v>0</x:v>
      </x:c>
      <x:c r="J981" s="7" t="str">
        <x:v>read</x:v>
      </x:c>
      <x:c r="K981" s="7" t="str">
        <x:v>visual</x:v>
      </x:c>
      <x:c r="L981" s="14" t="n">
        <x:f>IF(G981&lt;=I981,0,MAX(0,L980)+IF(E981="via",MAX(0,G981-MAX(F981,I981)),0))</x:f>
        <x:v>1.58</x:v>
      </x:c>
    </x:row>
    <x:row r="982" ht="42" customHeight="1">
      <x:c r="A982" s="12" t="str">
        <x:v>DP3-B-R1</x:v>
      </x:c>
      <x:c r="B982" s="12" t="str">
        <x:v>U21</x:v>
      </x:c>
      <x:c r="C982" s="12" t="str">
        <x:v>now_ui_load</x:v>
      </x:c>
      <x:c r="D982" s="12" t="str">
        <x:v>ui 모델 적재</x:v>
      </x:c>
      <x:c r="E982" s="12" t="str">
        <x:v>via</x:v>
      </x:c>
      <x:c r="F982" s="13" t="n">
        <x:v>1.58</x:v>
      </x:c>
      <x:c r="G982" s="13" t="n">
        <x:v>2.68</x:v>
      </x:c>
      <x:c r="H982" s="13" t="n">
        <x:v>1.1</x:v>
      </x:c>
      <x:c r="I982" s="13" t="n">
        <x:v>0</x:v>
      </x:c>
      <x:c r="J982" s="12" t="str">
        <x:v>read, now_ui_boot</x:v>
      </x:c>
      <x:c r="K982" s="12" t="str">
        <x:v>visual</x:v>
      </x:c>
      <x:c r="L982" s="13" t="n">
        <x:f>IF(G982&lt;=I982,0,MAX(0,L980,L981)+IF(E982="via",MAX(0,G982-MAX(F982,I982)),0))</x:f>
        <x:v>2.68</x:v>
      </x:c>
    </x:row>
    <x:row r="983" ht="42" customHeight="1">
      <x:c r="A983" s="7" t="str">
        <x:v>DP3-B-R1</x:v>
      </x:c>
      <x:c r="B983" s="7" t="str">
        <x:v>U21</x:v>
      </x:c>
      <x:c r="C983" s="7" t="str">
        <x:v>now_ui_infer</x:v>
      </x:c>
      <x:c r="D983" s="7" t="str">
        <x:v>ui 후보 생산</x:v>
      </x:c>
      <x:c r="E983" s="7" t="str">
        <x:v>via</x:v>
      </x:c>
      <x:c r="F983" s="14" t="n">
        <x:v>2.68</x:v>
      </x:c>
      <x:c r="G983" s="14" t="n">
        <x:v>4.28</x:v>
      </x:c>
      <x:c r="H983" s="14" t="n">
        <x:v>1.6</x:v>
      </x:c>
      <x:c r="I983" s="14" t="n">
        <x:v>0</x:v>
      </x:c>
      <x:c r="J983" s="7" t="str">
        <x:v>now_ui_load</x:v>
      </x:c>
      <x:c r="K983" s="7" t="str">
        <x:v>visual</x:v>
      </x:c>
      <x:c r="L983" s="14" t="n">
        <x:f>IF(G983&lt;=I983,0,MAX(0,L982)+IF(E983="via",MAX(0,G983-MAX(F983,I983)),0))</x:f>
        <x:v>4.28</x:v>
      </x:c>
    </x:row>
    <x:row r="984" ht="42" customHeight="1">
      <x:c r="A984" s="12" t="str">
        <x:v>DP3-B-R1</x:v>
      </x:c>
      <x:c r="B984" s="12" t="str">
        <x:v>U21</x:v>
      </x:c>
      <x:c r="C984" s="12" t="str">
        <x:v>now_ui_release</x:v>
      </x:c>
      <x:c r="D984" s="12" t="str">
        <x:v>ui 가중치 회수</x:v>
      </x:c>
      <x:c r="E984" s="12" t="str">
        <x:v>via</x:v>
      </x:c>
      <x:c r="F984" s="13" t="n">
        <x:v>4.28</x:v>
      </x:c>
      <x:c r="G984" s="13" t="n">
        <x:v>4.430000000000001</x:v>
      </x:c>
      <x:c r="H984" s="13" t="n">
        <x:v>0.15</x:v>
      </x:c>
      <x:c r="I984" s="13" t="n">
        <x:v>0</x:v>
      </x:c>
      <x:c r="J984" s="12" t="str">
        <x:v>now_ui_infer</x:v>
      </x:c>
      <x:c r="K984" s="12" t="str">
        <x:v>visual</x:v>
      </x:c>
      <x:c r="L984" s="13" t="n">
        <x:f>IF(G984&lt;=I984,0,MAX(0,L983)+IF(E984="via",MAX(0,G984-MAX(F984,I984)),0))</x:f>
        <x:v>4.430000000000001</x:v>
      </x:c>
    </x:row>
    <x:row r="985" ht="42" customHeight="1">
      <x:c r="A985" s="7" t="str">
        <x:v>DP3-B-R1</x:v>
      </x:c>
      <x:c r="B985" s="7" t="str">
        <x:v>U21</x:v>
      </x:c>
      <x:c r="C985" s="7" t="str">
        <x:v>meaning</x:v>
      </x:c>
      <x:c r="D985" s="7" t="str">
        <x:v>최초 요청 의미 채택 packet 생성</x:v>
      </x:c>
      <x:c r="E985" s="7" t="str">
        <x:v>via</x:v>
      </x:c>
      <x:c r="F985" s="14" t="n">
        <x:v>4.430000000000001</x:v>
      </x:c>
      <x:c r="G985" s="14" t="n">
        <x:v>6.0166666666666675</x:v>
      </x:c>
      <x:c r="H985" s="14" t="n">
        <x:v>1.5866666666666667</x:v>
      </x:c>
      <x:c r="I985" s="14" t="n">
        <x:v>0</x:v>
      </x:c>
      <x:c r="J985" s="7" t="str">
        <x:v>now_ui_release, bg1</x:v>
      </x:c>
      <x:c r="K985" s="7" t="str">
        <x:v>semantic</x:v>
      </x:c>
      <x:c r="L985" s="14" t="n">
        <x:f>IF(G985&lt;=I985,0,MAX(0,L984,L977)+IF(E985="via",MAX(0,G985-MAX(F985,I985)),0))</x:f>
        <x:v>6.0166666666666675</x:v>
      </x:c>
    </x:row>
    <x:row r="986" ht="42" customHeight="1">
      <x:c r="A986" s="12" t="str">
        <x:v>DP3-B-R1</x:v>
      </x:c>
      <x:c r="B986" s="12" t="str">
        <x:v>U21</x:v>
      </x:c>
      <x:c r="C986" s="12" t="str">
        <x:v>adopt</x:v>
      </x:c>
      <x:c r="D986" s="12" t="str">
        <x:v>현재 revision과 권한 검사 및 채택</x:v>
      </x:c>
      <x:c r="E986" s="12" t="str">
        <x:v>via</x:v>
      </x:c>
      <x:c r="F986" s="13" t="n">
        <x:v>6.0166666666666675</x:v>
      </x:c>
      <x:c r="G986" s="13" t="n">
        <x:v>6.046666666666668</x:v>
      </x:c>
      <x:c r="H986" s="13" t="n">
        <x:v>0.03</x:v>
      </x:c>
      <x:c r="I986" s="13" t="n">
        <x:v>0</x:v>
      </x:c>
      <x:c r="J986" s="12" t="str">
        <x:v>meaning</x:v>
      </x:c>
      <x:c r="K986" s="12" t="str">
        <x:v>none</x:v>
      </x:c>
      <x:c r="L986" s="13" t="n">
        <x:f>IF(G986&lt;=I986,0,MAX(0,L985)+IF(E986="via",MAX(0,G986-MAX(F986,I986)),0))</x:f>
        <x:v>6.046666666666668</x:v>
      </x:c>
    </x:row>
    <x:row r="987" ht="42" customHeight="1">
      <x:c r="A987" s="7" t="str">
        <x:v>DP3-B-R1</x:v>
      </x:c>
      <x:c r="B987" s="7" t="str">
        <x:v>U21</x:v>
      </x:c>
      <x:c r="C987" s="7" t="str">
        <x:v>first_display</x:v>
      </x:c>
      <x:c r="D987" s="7" t="str">
        <x:v>첫 구체적 채택 내용 화면 표시</x:v>
      </x:c>
      <x:c r="E987" s="7" t="str">
        <x:v>via</x:v>
      </x:c>
      <x:c r="F987" s="14" t="n">
        <x:v>6.046666666666668</x:v>
      </x:c>
      <x:c r="G987" s="14" t="n">
        <x:v>6.086666666666668</x:v>
      </x:c>
      <x:c r="H987" s="14" t="n">
        <x:v>0.04</x:v>
      </x:c>
      <x:c r="I987" s="14" t="n">
        <x:v>0</x:v>
      </x:c>
      <x:c r="J987" s="7" t="str">
        <x:v>adopt</x:v>
      </x:c>
      <x:c r="K987" s="7" t="str">
        <x:v>none</x:v>
      </x:c>
      <x:c r="L987" s="14" t="n">
        <x:f>IF(G987&lt;=I987,0,MAX(0,L986)+IF(E987="via",MAX(0,G987-MAX(F987,I987)),0))</x:f>
        <x:v>6.086666666666668</x:v>
      </x:c>
    </x:row>
    <x:row r="988" ht="42" customHeight="1">
      <x:c r="A988" s="12" t="str">
        <x:v>DP3-B-R1</x:v>
      </x:c>
      <x:c r="B988" s="12" t="str">
        <x:v>U21</x:v>
      </x:c>
      <x:c r="C988" s="12" t="str">
        <x:v>agent_ingress</x:v>
      </x:c>
      <x:c r="D988" s="12" t="str">
        <x:v>Agent 요청 전송</x:v>
      </x:c>
      <x:c r="E988" s="12" t="str">
        <x:v>via</x:v>
      </x:c>
      <x:c r="F988" s="13" t="n">
        <x:v>6.046666666666668</x:v>
      </x:c>
      <x:c r="G988" s="13" t="n">
        <x:v>6.086666666666668</x:v>
      </x:c>
      <x:c r="H988" s="13" t="n">
        <x:v>0.04</x:v>
      </x:c>
      <x:c r="I988" s="13" t="n">
        <x:v>0</x:v>
      </x:c>
      <x:c r="J988" s="12" t="str">
        <x:v>adopt</x:v>
      </x:c>
      <x:c r="K988" s="12" t="str">
        <x:v>none</x:v>
      </x:c>
      <x:c r="L988" s="13" t="n">
        <x:f>IF(G988&lt;=I988,0,MAX(0,L986)+IF(E988="via",MAX(0,G988-MAX(F988,I988)),0))</x:f>
        <x:v>6.086666666666668</x:v>
      </x:c>
    </x:row>
    <x:row r="989" ht="42" customHeight="1">
      <x:c r="A989" s="7" t="str">
        <x:v>DP3-B-R1</x:v>
      </x:c>
      <x:c r="B989" s="7" t="str">
        <x:v>U21</x:v>
      </x:c>
      <x:c r="C989" s="7" t="str">
        <x:v>agent_result</x:v>
      </x:c>
      <x:c r="D989" s="7" t="str">
        <x:v>외부 Agent 업무</x:v>
      </x:c>
      <x:c r="E989" s="7" t="str">
        <x:v>external</x:v>
      </x:c>
      <x:c r="F989" s="14" t="n">
        <x:v>6.086666666666668</x:v>
      </x:c>
      <x:c r="G989" s="14" t="n">
        <x:v>14.086666666666668</x:v>
      </x:c>
      <x:c r="H989" s="14" t="n">
        <x:v>8</x:v>
      </x:c>
      <x:c r="I989" s="14" t="n">
        <x:v>0</x:v>
      </x:c>
      <x:c r="J989" s="7" t="str">
        <x:v>agent_ingress</x:v>
      </x:c>
      <x:c r="K989" s="7" t="str">
        <x:v>none</x:v>
      </x:c>
      <x:c r="L989" s="14" t="n">
        <x:f>IF(G989&lt;=I989,0,MAX(0,L988)+IF(E989="via",MAX(0,G989-MAX(F989,I989)),0))</x:f>
        <x:v>6.086666666666668</x:v>
      </x:c>
    </x:row>
    <x:row r="990" ht="42" customHeight="1">
      <x:c r="A990" s="12" t="str">
        <x:v>DP3-B-R1</x:v>
      </x:c>
      <x:c r="B990" s="12" t="str">
        <x:v>U21</x:v>
      </x:c>
      <x:c r="C990" s="12" t="str">
        <x:v>result_display</x:v>
      </x:c>
      <x:c r="D990" s="12" t="str">
        <x:v>최종 결과 상세 표시</x:v>
      </x:c>
      <x:c r="E990" s="12" t="str">
        <x:v>via</x:v>
      </x:c>
      <x:c r="F990" s="13" t="n">
        <x:v>14.086666666666668</x:v>
      </x:c>
      <x:c r="G990" s="13" t="n">
        <x:v>14.126666666666667</x:v>
      </x:c>
      <x:c r="H990" s="13" t="n">
        <x:v>0.04</x:v>
      </x:c>
      <x:c r="I990" s="13" t="n">
        <x:v>0</x:v>
      </x:c>
      <x:c r="J990" s="12" t="str">
        <x:v>agent_result</x:v>
      </x:c>
      <x:c r="K990" s="12" t="str">
        <x:v>none</x:v>
      </x:c>
      <x:c r="L990" s="13" t="n">
        <x:f>IF(G990&lt;=I990,0,MAX(0,L989)+IF(E990="via",MAX(0,G990-MAX(F990,I990)),0))</x:f>
        <x:v>6.126666666666667</x:v>
      </x:c>
    </x:row>
    <x:row r="991" ht="42" customHeight="1">
      <x:c r="A991" s="7" t="str">
        <x:v>DP3-B-R1</x:v>
      </x:c>
      <x:c r="B991" s="7" t="str">
        <x:v>U21</x:v>
      </x:c>
      <x:c r="C991" s="7" t="str">
        <x:v>response_audio</x:v>
      </x:c>
      <x:c r="D991" s="7" t="str">
        <x:v>선택한 응답 음성 생성</x:v>
      </x:c>
      <x:c r="E991" s="7" t="str">
        <x:v>via</x:v>
      </x:c>
      <x:c r="F991" s="14" t="n">
        <x:v>14.086666666666668</x:v>
      </x:c>
      <x:c r="G991" s="14" t="n">
        <x:v>15.974666666666668</x:v>
      </x:c>
      <x:c r="H991" s="14" t="n">
        <x:v>1.888</x:v>
      </x:c>
      <x:c r="I991" s="14" t="n">
        <x:v>0</x:v>
      </x:c>
      <x:c r="J991" s="7" t="str">
        <x:v>agent_result</x:v>
      </x:c>
      <x:c r="K991" s="7" t="str">
        <x:v>speech</x:v>
      </x:c>
      <x:c r="L991" s="14" t="n">
        <x:f>IF(G991&lt;=I991,0,MAX(0,L989)+IF(E991="via",MAX(0,G991-MAX(F991,I991)),0))</x:f>
        <x:v>7.974666666666668</x:v>
      </x:c>
    </x:row>
    <x:row r="992" ht="42" customHeight="1">
      <x:c r="A992" s="12" t="str">
        <x:v>DP3-B-R1</x:v>
      </x:c>
      <x:c r="B992" s="12" t="str">
        <x:v>U21</x:v>
      </x:c>
      <x:c r="C992" s="12" t="str">
        <x:v>intent_audio</x:v>
      </x:c>
      <x:c r="D992" s="12" t="str">
        <x:v>채택한 구체적 수행 의도의 짧은 음성</x:v>
      </x:c>
      <x:c r="E992" s="12" t="str">
        <x:v>via</x:v>
      </x:c>
      <x:c r="F992" s="13" t="n">
        <x:v>6.046666666666668</x:v>
      </x:c>
      <x:c r="G992" s="13" t="n">
        <x:v>7.180666666666667</x:v>
      </x:c>
      <x:c r="H992" s="13" t="n">
        <x:v>1.134</x:v>
      </x:c>
      <x:c r="I992" s="13" t="n">
        <x:v>0</x:v>
      </x:c>
      <x:c r="J992" s="12" t="str">
        <x:v>adopt</x:v>
      </x:c>
      <x:c r="K992" s="12" t="str">
        <x:v>speech</x:v>
      </x:c>
      <x:c r="L992" s="13" t="n">
        <x:f>IF(G992&lt;=I992,0,MAX(0,L986)+IF(E992="via",MAX(0,G992-MAX(F992,I992)),0))</x:f>
        <x:v>7.180666666666667</x:v>
      </x:c>
    </x:row>
    <x:row r="993" ht="42" customHeight="1">
      <x:c r="A993" s="7" t="str">
        <x:v>DP3-B-R1</x:v>
      </x:c>
      <x:c r="B993" s="7" t="str">
        <x:v>U21</x:v>
      </x:c>
      <x:c r="C993" s="7" t="str">
        <x:v>first_chunk</x:v>
      </x:c>
      <x:c r="D993" s="7" t="str">
        <x:v>같은 생성 job의 유효 첫 chunk 관측</x:v>
      </x:c>
      <x:c r="E993" s="7" t="str">
        <x:v>via</x:v>
      </x:c>
      <x:c r="F993" s="14" t="n">
        <x:v>6.046666666666668</x:v>
      </x:c>
      <x:c r="G993" s="14" t="n">
        <x:v>6.480666666666668</x:v>
      </x:c>
      <x:c r="H993" s="14" t="n">
        <x:v>0.434</x:v>
      </x:c>
      <x:c r="I993" s="14" t="n">
        <x:v>0</x:v>
      </x:c>
      <x:c r="J993" s="7" t="str">
        <x:v>adopt</x:v>
      </x:c>
      <x:c r="K993" s="7" t="str">
        <x:v>none</x:v>
      </x:c>
      <x:c r="L993" s="14" t="n">
        <x:f>IF(G993&lt;=I993,0,MAX(0,L986)+IF(E993="via",MAX(0,G993-MAX(F993,I993)),0))</x:f>
        <x:v>6.480666666666668</x:v>
      </x:c>
    </x:row>
    <x:row r="994" ht="42" customHeight="1">
      <x:c r="A994" s="12" t="str">
        <x:v>DP3-B-R1</x:v>
      </x:c>
      <x:c r="B994" s="12" t="str">
        <x:v>U21</x:v>
      </x:c>
      <x:c r="C994" s="12" t="str">
        <x:v>first_audio_output</x:v>
      </x:c>
      <x:c r="D994" s="12" t="str">
        <x:v>공통 장치의 첫 음성 출력</x:v>
      </x:c>
      <x:c r="E994" s="12" t="str">
        <x:v>via</x:v>
      </x:c>
      <x:c r="F994" s="13" t="n">
        <x:v>6.480666666666668</x:v>
      </x:c>
      <x:c r="G994" s="13" t="n">
        <x:v>6.520666666666668</x:v>
      </x:c>
      <x:c r="H994" s="13" t="n">
        <x:v>0.04</x:v>
      </x:c>
      <x:c r="I994" s="13" t="n">
        <x:v>0</x:v>
      </x:c>
      <x:c r="J994" s="12" t="str">
        <x:v>adopt, first_chunk</x:v>
      </x:c>
      <x:c r="K994" s="12" t="str">
        <x:v>none</x:v>
      </x:c>
      <x:c r="L994" s="13" t="n">
        <x:f>IF(G994&lt;=I994,0,MAX(0,L986,L993)+IF(E994="via",MAX(0,G994-MAX(F994,I994)),0))</x:f>
        <x:v>6.520666666666668</x:v>
      </x:c>
    </x:row>
    <x:row r="995" ht="42" customHeight="1">
      <x:c r="A995" s="7" t="str">
        <x:v>DP3-B-R1</x:v>
      </x:c>
      <x:c r="B995" s="7" t="str">
        <x:v>U21</x:v>
      </x:c>
      <x:c r="C995" s="7" t="str">
        <x:v>next_speech_selection</x:v>
      </x:c>
      <x:c r="D995" s="7" t="str">
        <x:v>현재 발화 재생 후 다음 응답 선택</x:v>
      </x:c>
      <x:c r="E995" s="7" t="str">
        <x:v>external</x:v>
      </x:c>
      <x:c r="F995" s="14" t="n">
        <x:v>6.520666666666668</x:v>
      </x:c>
      <x:c r="G995" s="14" t="n">
        <x:v>9.520666666666667</x:v>
      </x:c>
      <x:c r="H995" s="14" t="n">
        <x:v>3</x:v>
      </x:c>
      <x:c r="I995" s="14" t="n">
        <x:v>0</x:v>
      </x:c>
      <x:c r="J995" s="7" t="str">
        <x:v>first_audio_output</x:v>
      </x:c>
      <x:c r="K995" s="7" t="str">
        <x:v>none</x:v>
      </x:c>
      <x:c r="L995" s="14" t="n">
        <x:f>IF(G995&lt;=I995,0,MAX(0,L994)+IF(E995="via",MAX(0,G995-MAX(F995,I995)),0))</x:f>
        <x:v>6.520666666666668</x:v>
      </x:c>
    </x:row>
    <x:row r="996" ht="42" customHeight="1">
      <x:c r="A996" s="12" t="str">
        <x:v>DP3-B-R1</x:v>
      </x:c>
      <x:c r="B996" s="12" t="str">
        <x:v>U21</x:v>
      </x:c>
      <x:c r="C996" s="12" t="str">
        <x:v>terminal</x:v>
      </x:c>
      <x:c r="D996" s="12" t="str">
        <x:v>공통 목표 최종 상태와 전체 음성 준비</x:v>
      </x:c>
      <x:c r="E996" s="12" t="str">
        <x:v>via</x:v>
      </x:c>
      <x:c r="F996" s="13" t="n">
        <x:v>15.974666666666668</x:v>
      </x:c>
      <x:c r="G996" s="13" t="n">
        <x:v>15.974666666666668</x:v>
      </x:c>
      <x:c r="H996" s="13" t="n">
        <x:v>0</x:v>
      </x:c>
      <x:c r="I996" s="13" t="n">
        <x:v>0</x:v>
      </x:c>
      <x:c r="J996" s="12" t="str">
        <x:v>result_display, response_audio, intent_audio, first_audio_output</x:v>
      </x:c>
      <x:c r="K996" s="12" t="str">
        <x:v>none</x:v>
      </x:c>
      <x:c r="L996" s="13" t="n">
        <x:f>IF(G996&lt;=I996,0,MAX(0,L990,L991,L992,L994)+IF(E996="via",MAX(0,G996-MAX(F996,I996)),0))</x:f>
        <x:v>7.974666666666668</x:v>
      </x:c>
    </x:row>
    <x:row r="997" ht="42" customHeight="1">
      <x:c r="A997" s="7" t="str">
        <x:v>DP3-B-R1</x:v>
      </x:c>
      <x:c r="B997" s="7" t="str">
        <x:v>U22</x:v>
      </x:c>
      <x:c r="C997" s="7" t="str">
        <x:v>input_end</x:v>
      </x:c>
      <x:c r="D997" s="7" t="str">
        <x:v>사용자 입력 종료</x:v>
      </x:c>
      <x:c r="E997" s="7" t="str">
        <x:v>external</x:v>
      </x:c>
      <x:c r="F997" s="14" t="n">
        <x:v>0</x:v>
      </x:c>
      <x:c r="G997" s="14" t="n">
        <x:v>0</x:v>
      </x:c>
      <x:c r="H997" s="14" t="n">
        <x:v>0</x:v>
      </x:c>
      <x:c r="I997" s="14" t="n">
        <x:v>0</x:v>
      </x:c>
      <x:c r="J997" s="7" t="str"/>
      <x:c r="K997" s="7" t="str">
        <x:v>none</x:v>
      </x:c>
      <x:c r="L997" s="14" t="n">
        <x:f>IF(G997&lt;=I997,0,MAX(0)+IF(E997="via",MAX(0,G997-MAX(F997,I997)),0))</x:f>
        <x:v>0</x:v>
      </x:c>
    </x:row>
    <x:row r="998" ht="42" customHeight="1">
      <x:c r="A998" s="12" t="str">
        <x:v>DP3-B-R1</x:v>
      </x:c>
      <x:c r="B998" s="12" t="str">
        <x:v>U22</x:v>
      </x:c>
      <x:c r="C998" s="12" t="str">
        <x:v>intake</x:v>
      </x:c>
      <x:c r="D998" s="12" t="str">
        <x:v>입력 확정</x:v>
      </x:c>
      <x:c r="E998" s="12" t="str">
        <x:v>via</x:v>
      </x:c>
      <x:c r="F998" s="13" t="n">
        <x:v>0</x:v>
      </x:c>
      <x:c r="G998" s="13" t="n">
        <x:v>0.3</x:v>
      </x:c>
      <x:c r="H998" s="13" t="n">
        <x:v>0.3</x:v>
      </x:c>
      <x:c r="I998" s="13" t="n">
        <x:v>0</x:v>
      </x:c>
      <x:c r="J998" s="12" t="str">
        <x:v>input_end</x:v>
      </x:c>
      <x:c r="K998" s="12" t="str">
        <x:v>none</x:v>
      </x:c>
      <x:c r="L998" s="13" t="n">
        <x:f>IF(G998&lt;=I998,0,MAX(0,L997)+IF(E998="via",MAX(0,G998-MAX(F998,I998)),0))</x:f>
        <x:v>0.3</x:v>
      </x:c>
    </x:row>
    <x:row r="999" ht="42" customHeight="1">
      <x:c r="A999" s="7" t="str">
        <x:v>DP3-B-R1</x:v>
      </x:c>
      <x:c r="B999" s="7" t="str">
        <x:v>U22</x:v>
      </x:c>
      <x:c r="C999" s="7" t="str">
        <x:v>read</x:v>
      </x:c>
      <x:c r="D999" s="7" t="str">
        <x:v>공통 허용 원본 조회</x:v>
      </x:c>
      <x:c r="E999" s="7" t="str">
        <x:v>via</x:v>
      </x:c>
      <x:c r="F999" s="14" t="n">
        <x:v>0.3</x:v>
      </x:c>
      <x:c r="G999" s="14" t="n">
        <x:v>0.38</x:v>
      </x:c>
      <x:c r="H999" s="14" t="n">
        <x:v>0.08</x:v>
      </x:c>
      <x:c r="I999" s="14" t="n">
        <x:v>0</x:v>
      </x:c>
      <x:c r="J999" s="7" t="str">
        <x:v>intake</x:v>
      </x:c>
      <x:c r="K999" s="7" t="str">
        <x:v>none</x:v>
      </x:c>
      <x:c r="L999" s="14" t="n">
        <x:f>IF(G999&lt;=I999,0,MAX(0,L998)+IF(E999="via",MAX(0,G999-MAX(F999,I999)),0))</x:f>
        <x:v>0.38</x:v>
      </x:c>
    </x:row>
    <x:row r="1000" ht="42" customHeight="1">
      <x:c r="A1000" s="12" t="str">
        <x:v>DP3-B-R1</x:v>
      </x:c>
      <x:c r="B1000" s="12" t="str">
        <x:v>U22</x:v>
      </x:c>
      <x:c r="C1000" s="12" t="str">
        <x:v>pre_ui_boot</x:v>
      </x:c>
      <x:c r="D1000" s="12" t="str">
        <x:v>ui runtime 시작</x:v>
      </x:c>
      <x:c r="E1000" s="12" t="str">
        <x:v>via</x:v>
      </x:c>
      <x:c r="F1000" s="13" t="n">
        <x:v>-12</x:v>
      </x:c>
      <x:c r="G1000" s="13" t="n">
        <x:v>-10.8</x:v>
      </x:c>
      <x:c r="H1000" s="13" t="n">
        <x:v>1.2</x:v>
      </x:c>
      <x:c r="I1000" s="13" t="n">
        <x:v>0</x:v>
      </x:c>
      <x:c r="J1000" s="12" t="str"/>
      <x:c r="K1000" s="12" t="str">
        <x:v>visual</x:v>
      </x:c>
      <x:c r="L1000" s="13" t="n">
        <x:f>IF(G1000&lt;=I1000,0,MAX(0)+IF(E1000="via",MAX(0,G1000-MAX(F1000,I1000)),0))</x:f>
        <x:v>0</x:v>
      </x:c>
    </x:row>
    <x:row r="1001" ht="42" customHeight="1">
      <x:c r="A1001" s="7" t="str">
        <x:v>DP3-B-R1</x:v>
      </x:c>
      <x:c r="B1001" s="7" t="str">
        <x:v>U22</x:v>
      </x:c>
      <x:c r="C1001" s="7" t="str">
        <x:v>pre_ui_load</x:v>
      </x:c>
      <x:c r="D1001" s="7" t="str">
        <x:v>ui 모델 적재</x:v>
      </x:c>
      <x:c r="E1001" s="7" t="str">
        <x:v>via</x:v>
      </x:c>
      <x:c r="F1001" s="14" t="n">
        <x:v>-10.8</x:v>
      </x:c>
      <x:c r="G1001" s="14" t="n">
        <x:v>-9.700000000000001</x:v>
      </x:c>
      <x:c r="H1001" s="14" t="n">
        <x:v>1.1</x:v>
      </x:c>
      <x:c r="I1001" s="14" t="n">
        <x:v>0</x:v>
      </x:c>
      <x:c r="J1001" s="7" t="str">
        <x:v>pre_ui_boot</x:v>
      </x:c>
      <x:c r="K1001" s="7" t="str">
        <x:v>visual</x:v>
      </x:c>
      <x:c r="L1001" s="14" t="n">
        <x:f>IF(G1001&lt;=I1001,0,MAX(0,L1000)+IF(E1001="via",MAX(0,G1001-MAX(F1001,I1001)),0))</x:f>
        <x:v>0</x:v>
      </x:c>
    </x:row>
    <x:row r="1002" ht="42" customHeight="1">
      <x:c r="A1002" s="12" t="str">
        <x:v>DP3-B-R1</x:v>
      </x:c>
      <x:c r="B1002" s="12" t="str">
        <x:v>U22</x:v>
      </x:c>
      <x:c r="C1002" s="12" t="str">
        <x:v>pre_ui_infer</x:v>
      </x:c>
      <x:c r="D1002" s="12" t="str">
        <x:v>ui 후보 생산</x:v>
      </x:c>
      <x:c r="E1002" s="12" t="str">
        <x:v>via</x:v>
      </x:c>
      <x:c r="F1002" s="13" t="n">
        <x:v>-9.700000000000001</x:v>
      </x:c>
      <x:c r="G1002" s="13" t="n">
        <x:v>-8.100000000000001</x:v>
      </x:c>
      <x:c r="H1002" s="13" t="n">
        <x:v>1.6</x:v>
      </x:c>
      <x:c r="I1002" s="13" t="n">
        <x:v>0</x:v>
      </x:c>
      <x:c r="J1002" s="12" t="str">
        <x:v>pre_ui_load</x:v>
      </x:c>
      <x:c r="K1002" s="12" t="str">
        <x:v>visual</x:v>
      </x:c>
      <x:c r="L1002" s="13" t="n">
        <x:f>IF(G1002&lt;=I1002,0,MAX(0,L1001)+IF(E1002="via",MAX(0,G1002-MAX(F1002,I1002)),0))</x:f>
        <x:v>0</x:v>
      </x:c>
    </x:row>
    <x:row r="1003" ht="42" customHeight="1">
      <x:c r="A1003" s="7" t="str">
        <x:v>DP3-B-R1</x:v>
      </x:c>
      <x:c r="B1003" s="7" t="str">
        <x:v>U22</x:v>
      </x:c>
      <x:c r="C1003" s="7" t="str">
        <x:v>pre_ui_release</x:v>
      </x:c>
      <x:c r="D1003" s="7" t="str">
        <x:v>ui 가중치 회수</x:v>
      </x:c>
      <x:c r="E1003" s="7" t="str">
        <x:v>via</x:v>
      </x:c>
      <x:c r="F1003" s="14" t="n">
        <x:v>-8.100000000000001</x:v>
      </x:c>
      <x:c r="G1003" s="14" t="n">
        <x:v>-7.950000000000001</x:v>
      </x:c>
      <x:c r="H1003" s="14" t="n">
        <x:v>0.15</x:v>
      </x:c>
      <x:c r="I1003" s="14" t="n">
        <x:v>0</x:v>
      </x:c>
      <x:c r="J1003" s="7" t="str">
        <x:v>pre_ui_infer</x:v>
      </x:c>
      <x:c r="K1003" s="7" t="str">
        <x:v>visual</x:v>
      </x:c>
      <x:c r="L1003" s="14" t="n">
        <x:f>IF(G1003&lt;=I1003,0,MAX(0,L1002)+IF(E1003="via",MAX(0,G1003-MAX(F1003,I1003)),0))</x:f>
        <x:v>0</x:v>
      </x:c>
    </x:row>
    <x:row r="1004" ht="42" customHeight="1">
      <x:c r="A1004" s="12" t="str">
        <x:v>DP3-B-R1</x:v>
      </x:c>
      <x:c r="B1004" s="12" t="str">
        <x:v>U22</x:v>
      </x:c>
      <x:c r="C1004" s="12" t="str">
        <x:v>pre_adopt</x:v>
      </x:c>
      <x:c r="D1004" s="12" t="str">
        <x:v>선행 후보의 요청 의미 확정</x:v>
      </x:c>
      <x:c r="E1004" s="12" t="str">
        <x:v>via</x:v>
      </x:c>
      <x:c r="F1004" s="13" t="n">
        <x:v>-7.950000000000001</x:v>
      </x:c>
      <x:c r="G1004" s="13" t="n">
        <x:v>-6.7633333333333345</x:v>
      </x:c>
      <x:c r="H1004" s="13" t="n">
        <x:v>1.1866666666666668</x:v>
      </x:c>
      <x:c r="I1004" s="13" t="n">
        <x:v>0</x:v>
      </x:c>
      <x:c r="J1004" s="12" t="str">
        <x:v>pre_ui_release</x:v>
      </x:c>
      <x:c r="K1004" s="12" t="str">
        <x:v>semantic</x:v>
      </x:c>
      <x:c r="L1004" s="13" t="n">
        <x:f>IF(G1004&lt;=I1004,0,MAX(0,L1003)+IF(E1004="via",MAX(0,G1004-MAX(F1004,I1004)),0))</x:f>
        <x:v>0</x:v>
      </x:c>
    </x:row>
    <x:row r="1005" ht="42" customHeight="1">
      <x:c r="A1005" s="7" t="str">
        <x:v>DP3-B-R1</x:v>
      </x:c>
      <x:c r="B1005" s="7" t="str">
        <x:v>U22</x:v>
      </x:c>
      <x:c r="C1005" s="7" t="str">
        <x:v>now_ui_load</x:v>
      </x:c>
      <x:c r="D1005" s="7" t="str">
        <x:v>ui 모델 적재</x:v>
      </x:c>
      <x:c r="E1005" s="7" t="str">
        <x:v>via</x:v>
      </x:c>
      <x:c r="F1005" s="14" t="n">
        <x:v>0.38</x:v>
      </x:c>
      <x:c r="G1005" s="14" t="n">
        <x:v>1.48</x:v>
      </x:c>
      <x:c r="H1005" s="14" t="n">
        <x:v>1.1</x:v>
      </x:c>
      <x:c r="I1005" s="14" t="n">
        <x:v>0</x:v>
      </x:c>
      <x:c r="J1005" s="7" t="str">
        <x:v>read, pre_adopt, pre_ui_boot</x:v>
      </x:c>
      <x:c r="K1005" s="7" t="str">
        <x:v>visual</x:v>
      </x:c>
      <x:c r="L1005" s="14" t="n">
        <x:f>IF(G1005&lt;=I1005,0,MAX(0,L999,L1004,L1000)+IF(E1005="via",MAX(0,G1005-MAX(F1005,I1005)),0))</x:f>
        <x:v>1.48</x:v>
      </x:c>
    </x:row>
    <x:row r="1006" ht="42" customHeight="1">
      <x:c r="A1006" s="12" t="str">
        <x:v>DP3-B-R1</x:v>
      </x:c>
      <x:c r="B1006" s="12" t="str">
        <x:v>U22</x:v>
      </x:c>
      <x:c r="C1006" s="12" t="str">
        <x:v>now_ui_infer</x:v>
      </x:c>
      <x:c r="D1006" s="12" t="str">
        <x:v>ui 후보 생산</x:v>
      </x:c>
      <x:c r="E1006" s="12" t="str">
        <x:v>via</x:v>
      </x:c>
      <x:c r="F1006" s="13" t="n">
        <x:v>1.48</x:v>
      </x:c>
      <x:c r="G1006" s="13" t="n">
        <x:v>3.08</x:v>
      </x:c>
      <x:c r="H1006" s="13" t="n">
        <x:v>1.6</x:v>
      </x:c>
      <x:c r="I1006" s="13" t="n">
        <x:v>0</x:v>
      </x:c>
      <x:c r="J1006" s="12" t="str">
        <x:v>now_ui_load</x:v>
      </x:c>
      <x:c r="K1006" s="12" t="str">
        <x:v>visual</x:v>
      </x:c>
      <x:c r="L1006" s="13" t="n">
        <x:f>IF(G1006&lt;=I1006,0,MAX(0,L1005)+IF(E1006="via",MAX(0,G1006-MAX(F1006,I1006)),0))</x:f>
        <x:v>3.08</x:v>
      </x:c>
    </x:row>
    <x:row r="1007" ht="42" customHeight="1">
      <x:c r="A1007" s="7" t="str">
        <x:v>DP3-B-R1</x:v>
      </x:c>
      <x:c r="B1007" s="7" t="str">
        <x:v>U22</x:v>
      </x:c>
      <x:c r="C1007" s="7" t="str">
        <x:v>now_ui_release</x:v>
      </x:c>
      <x:c r="D1007" s="7" t="str">
        <x:v>ui 가중치 회수</x:v>
      </x:c>
      <x:c r="E1007" s="7" t="str">
        <x:v>via</x:v>
      </x:c>
      <x:c r="F1007" s="14" t="n">
        <x:v>3.08</x:v>
      </x:c>
      <x:c r="G1007" s="14" t="n">
        <x:v>3.23</x:v>
      </x:c>
      <x:c r="H1007" s="14" t="n">
        <x:v>0.15</x:v>
      </x:c>
      <x:c r="I1007" s="14" t="n">
        <x:v>0</x:v>
      </x:c>
      <x:c r="J1007" s="7" t="str">
        <x:v>now_ui_infer</x:v>
      </x:c>
      <x:c r="K1007" s="7" t="str">
        <x:v>visual</x:v>
      </x:c>
      <x:c r="L1007" s="14" t="n">
        <x:f>IF(G1007&lt;=I1007,0,MAX(0,L1006)+IF(E1007="via",MAX(0,G1007-MAX(F1007,I1007)),0))</x:f>
        <x:v>3.23</x:v>
      </x:c>
    </x:row>
    <x:row r="1008" ht="42" customHeight="1">
      <x:c r="A1008" s="12" t="str">
        <x:v>DP3-B-R1</x:v>
      </x:c>
      <x:c r="B1008" s="12" t="str">
        <x:v>U22</x:v>
      </x:c>
      <x:c r="C1008" s="12" t="str">
        <x:v>meaning</x:v>
      </x:c>
      <x:c r="D1008" s="12" t="str">
        <x:v>최초 요청 의미 채택 packet 생성</x:v>
      </x:c>
      <x:c r="E1008" s="12" t="str">
        <x:v>via</x:v>
      </x:c>
      <x:c r="F1008" s="13" t="n">
        <x:v>3.23</x:v>
      </x:c>
      <x:c r="G1008" s="13" t="n">
        <x:v>4.416666666666667</x:v>
      </x:c>
      <x:c r="H1008" s="13" t="n">
        <x:v>1.1866666666666668</x:v>
      </x:c>
      <x:c r="I1008" s="13" t="n">
        <x:v>0</x:v>
      </x:c>
      <x:c r="J1008" s="12" t="str">
        <x:v>now_ui_release</x:v>
      </x:c>
      <x:c r="K1008" s="12" t="str">
        <x:v>semantic</x:v>
      </x:c>
      <x:c r="L1008" s="13" t="n">
        <x:f>IF(G1008&lt;=I1008,0,MAX(0,L1007)+IF(E1008="via",MAX(0,G1008-MAX(F1008,I1008)),0))</x:f>
        <x:v>4.416666666666667</x:v>
      </x:c>
    </x:row>
    <x:row r="1009" ht="42" customHeight="1">
      <x:c r="A1009" s="7" t="str">
        <x:v>DP3-B-R1</x:v>
      </x:c>
      <x:c r="B1009" s="7" t="str">
        <x:v>U22</x:v>
      </x:c>
      <x:c r="C1009" s="7" t="str">
        <x:v>adopt</x:v>
      </x:c>
      <x:c r="D1009" s="7" t="str">
        <x:v>현재 revision과 권한 검사 및 채택</x:v>
      </x:c>
      <x:c r="E1009" s="7" t="str">
        <x:v>via</x:v>
      </x:c>
      <x:c r="F1009" s="14" t="n">
        <x:v>4.416666666666667</x:v>
      </x:c>
      <x:c r="G1009" s="14" t="n">
        <x:v>4.446666666666667</x:v>
      </x:c>
      <x:c r="H1009" s="14" t="n">
        <x:v>0.03</x:v>
      </x:c>
      <x:c r="I1009" s="14" t="n">
        <x:v>0</x:v>
      </x:c>
      <x:c r="J1009" s="7" t="str">
        <x:v>meaning</x:v>
      </x:c>
      <x:c r="K1009" s="7" t="str">
        <x:v>none</x:v>
      </x:c>
      <x:c r="L1009" s="14" t="n">
        <x:f>IF(G1009&lt;=I1009,0,MAX(0,L1008)+IF(E1009="via",MAX(0,G1009-MAX(F1009,I1009)),0))</x:f>
        <x:v>4.446666666666667</x:v>
      </x:c>
    </x:row>
    <x:row r="1010" ht="42" customHeight="1">
      <x:c r="A1010" s="12" t="str">
        <x:v>DP3-B-R1</x:v>
      </x:c>
      <x:c r="B1010" s="12" t="str">
        <x:v>U22</x:v>
      </x:c>
      <x:c r="C1010" s="12" t="str">
        <x:v>first_display</x:v>
      </x:c>
      <x:c r="D1010" s="12" t="str">
        <x:v>첫 구체적 채택 내용 화면 표시</x:v>
      </x:c>
      <x:c r="E1010" s="12" t="str">
        <x:v>via</x:v>
      </x:c>
      <x:c r="F1010" s="13" t="n">
        <x:v>4.446666666666667</x:v>
      </x:c>
      <x:c r="G1010" s="13" t="n">
        <x:v>4.486666666666667</x:v>
      </x:c>
      <x:c r="H1010" s="13" t="n">
        <x:v>0.04</x:v>
      </x:c>
      <x:c r="I1010" s="13" t="n">
        <x:v>0</x:v>
      </x:c>
      <x:c r="J1010" s="12" t="str">
        <x:v>adopt</x:v>
      </x:c>
      <x:c r="K1010" s="12" t="str">
        <x:v>none</x:v>
      </x:c>
      <x:c r="L1010" s="13" t="n">
        <x:f>IF(G1010&lt;=I1010,0,MAX(0,L1009)+IF(E1010="via",MAX(0,G1010-MAX(F1010,I1010)),0))</x:f>
        <x:v>4.486666666666667</x:v>
      </x:c>
    </x:row>
    <x:row r="1011" ht="42" customHeight="1">
      <x:c r="A1011" s="7" t="str">
        <x:v>DP3-B-R1</x:v>
      </x:c>
      <x:c r="B1011" s="7" t="str">
        <x:v>U22</x:v>
      </x:c>
      <x:c r="C1011" s="7" t="str">
        <x:v>agent_ingress</x:v>
      </x:c>
      <x:c r="D1011" s="7" t="str">
        <x:v>Agent 요청 전송</x:v>
      </x:c>
      <x:c r="E1011" s="7" t="str">
        <x:v>via</x:v>
      </x:c>
      <x:c r="F1011" s="14" t="n">
        <x:v>4.446666666666667</x:v>
      </x:c>
      <x:c r="G1011" s="14" t="n">
        <x:v>4.486666666666667</x:v>
      </x:c>
      <x:c r="H1011" s="14" t="n">
        <x:v>0.04</x:v>
      </x:c>
      <x:c r="I1011" s="14" t="n">
        <x:v>0</x:v>
      </x:c>
      <x:c r="J1011" s="7" t="str">
        <x:v>adopt</x:v>
      </x:c>
      <x:c r="K1011" s="7" t="str">
        <x:v>none</x:v>
      </x:c>
      <x:c r="L1011" s="14" t="n">
        <x:f>IF(G1011&lt;=I1011,0,MAX(0,L1009)+IF(E1011="via",MAX(0,G1011-MAX(F1011,I1011)),0))</x:f>
        <x:v>4.486666666666667</x:v>
      </x:c>
    </x:row>
    <x:row r="1012" ht="42" customHeight="1">
      <x:c r="A1012" s="12" t="str">
        <x:v>DP3-B-R1</x:v>
      </x:c>
      <x:c r="B1012" s="12" t="str">
        <x:v>U22</x:v>
      </x:c>
      <x:c r="C1012" s="12" t="str">
        <x:v>agent_result</x:v>
      </x:c>
      <x:c r="D1012" s="12" t="str">
        <x:v>외부 Agent 업무</x:v>
      </x:c>
      <x:c r="E1012" s="12" t="str">
        <x:v>external</x:v>
      </x:c>
      <x:c r="F1012" s="13" t="n">
        <x:v>4.486666666666667</x:v>
      </x:c>
      <x:c r="G1012" s="13" t="n">
        <x:v>12.486666666666668</x:v>
      </x:c>
      <x:c r="H1012" s="13" t="n">
        <x:v>8</x:v>
      </x:c>
      <x:c r="I1012" s="13" t="n">
        <x:v>0</x:v>
      </x:c>
      <x:c r="J1012" s="12" t="str">
        <x:v>agent_ingress</x:v>
      </x:c>
      <x:c r="K1012" s="12" t="str">
        <x:v>none</x:v>
      </x:c>
      <x:c r="L1012" s="13" t="n">
        <x:f>IF(G1012&lt;=I1012,0,MAX(0,L1011)+IF(E1012="via",MAX(0,G1012-MAX(F1012,I1012)),0))</x:f>
        <x:v>4.486666666666667</x:v>
      </x:c>
    </x:row>
    <x:row r="1013" ht="42" customHeight="1">
      <x:c r="A1013" s="7" t="str">
        <x:v>DP3-B-R1</x:v>
      </x:c>
      <x:c r="B1013" s="7" t="str">
        <x:v>U22</x:v>
      </x:c>
      <x:c r="C1013" s="7" t="str">
        <x:v>result_display</x:v>
      </x:c>
      <x:c r="D1013" s="7" t="str">
        <x:v>최종 결과 상세 표시</x:v>
      </x:c>
      <x:c r="E1013" s="7" t="str">
        <x:v>via</x:v>
      </x:c>
      <x:c r="F1013" s="14" t="n">
        <x:v>12.486666666666668</x:v>
      </x:c>
      <x:c r="G1013" s="14" t="n">
        <x:v>12.526666666666667</x:v>
      </x:c>
      <x:c r="H1013" s="14" t="n">
        <x:v>0.04</x:v>
      </x:c>
      <x:c r="I1013" s="14" t="n">
        <x:v>0</x:v>
      </x:c>
      <x:c r="J1013" s="7" t="str">
        <x:v>agent_result</x:v>
      </x:c>
      <x:c r="K1013" s="7" t="str">
        <x:v>none</x:v>
      </x:c>
      <x:c r="L1013" s="14" t="n">
        <x:f>IF(G1013&lt;=I1013,0,MAX(0,L1012)+IF(E1013="via",MAX(0,G1013-MAX(F1013,I1013)),0))</x:f>
        <x:v>4.526666666666666</x:v>
      </x:c>
    </x:row>
    <x:row r="1014" ht="42" customHeight="1">
      <x:c r="A1014" s="12" t="str">
        <x:v>DP3-B-R1</x:v>
      </x:c>
      <x:c r="B1014" s="12" t="str">
        <x:v>U22</x:v>
      </x:c>
      <x:c r="C1014" s="12" t="str">
        <x:v>question_arrival</x:v>
      </x:c>
      <x:c r="D1014" s="12" t="str">
        <x:v>Agent 질문 텍스트 도착</x:v>
      </x:c>
      <x:c r="E1014" s="12" t="str">
        <x:v>external</x:v>
      </x:c>
      <x:c r="F1014" s="13" t="n">
        <x:v>-2</x:v>
      </x:c>
      <x:c r="G1014" s="13" t="n">
        <x:v>-2</x:v>
      </x:c>
      <x:c r="H1014" s="13" t="n">
        <x:v>0</x:v>
      </x:c>
      <x:c r="I1014" s="13" t="n">
        <x:v>0</x:v>
      </x:c>
      <x:c r="J1014" s="12" t="str"/>
      <x:c r="K1014" s="12" t="str">
        <x:v>none</x:v>
      </x:c>
      <x:c r="L1014" s="13" t="n">
        <x:f>IF(G1014&lt;=I1014,0,MAX(0)+IF(E1014="via",MAX(0,G1014-MAX(F1014,I1014)),0))</x:f>
        <x:v>0</x:v>
      </x:c>
    </x:row>
    <x:row r="1015" ht="42" customHeight="1">
      <x:c r="A1015" s="7" t="str">
        <x:v>DP3-B-R1</x:v>
      </x:c>
      <x:c r="B1015" s="7" t="str">
        <x:v>U22</x:v>
      </x:c>
      <x:c r="C1015" s="7" t="str">
        <x:v>question_audio</x:v>
      </x:c>
      <x:c r="D1015" s="7" t="str">
        <x:v>선택한 응답 음성 생성</x:v>
      </x:c>
      <x:c r="E1015" s="7" t="str">
        <x:v>via</x:v>
      </x:c>
      <x:c r="F1015" s="14" t="n">
        <x:v>-2</x:v>
      </x:c>
      <x:c r="G1015" s="14" t="n">
        <x:v>-0.1120000000000001</x:v>
      </x:c>
      <x:c r="H1015" s="14" t="n">
        <x:v>1.888</x:v>
      </x:c>
      <x:c r="I1015" s="14" t="n">
        <x:v>0</x:v>
      </x:c>
      <x:c r="J1015" s="7" t="str">
        <x:v>question_arrival</x:v>
      </x:c>
      <x:c r="K1015" s="7" t="str">
        <x:v>speech</x:v>
      </x:c>
      <x:c r="L1015" s="14" t="n">
        <x:f>IF(G1015&lt;=I1015,0,MAX(0,L1014)+IF(E1015="via",MAX(0,G1015-MAX(F1015,I1015)),0))</x:f>
        <x:v>0</x:v>
      </x:c>
    </x:row>
    <x:row r="1016" ht="42" customHeight="1">
      <x:c r="A1016" s="12" t="str">
        <x:v>DP3-B-R1</x:v>
      </x:c>
      <x:c r="B1016" s="12" t="str">
        <x:v>U22</x:v>
      </x:c>
      <x:c r="C1016" s="12" t="str">
        <x:v>final_result_audio</x:v>
      </x:c>
      <x:c r="D1016" s="12" t="str">
        <x:v>새 업무 최종 결과 음성 준비</x:v>
      </x:c>
      <x:c r="E1016" s="12" t="str">
        <x:v>via</x:v>
      </x:c>
      <x:c r="F1016" s="13" t="n">
        <x:v>12.486666666666668</x:v>
      </x:c>
      <x:c r="G1016" s="13" t="n">
        <x:v>14.374666666666668</x:v>
      </x:c>
      <x:c r="H1016" s="13" t="n">
        <x:v>1.888</x:v>
      </x:c>
      <x:c r="I1016" s="13" t="n">
        <x:v>0</x:v>
      </x:c>
      <x:c r="J1016" s="12" t="str">
        <x:v>agent_result</x:v>
      </x:c>
      <x:c r="K1016" s="12" t="str">
        <x:v>speech</x:v>
      </x:c>
      <x:c r="L1016" s="13" t="n">
        <x:f>IF(G1016&lt;=I1016,0,MAX(0,L1012)+IF(E1016="via",MAX(0,G1016-MAX(F1016,I1016)),0))</x:f>
        <x:v>6.374666666666667</x:v>
      </x:c>
    </x:row>
    <x:row r="1017" ht="42" customHeight="1">
      <x:c r="A1017" s="7" t="str">
        <x:v>DP3-B-R1</x:v>
      </x:c>
      <x:c r="B1017" s="7" t="str">
        <x:v>U22</x:v>
      </x:c>
      <x:c r="C1017" s="7" t="str">
        <x:v>first_chunk</x:v>
      </x:c>
      <x:c r="D1017" s="7" t="str">
        <x:v>같은 생성 job의 유효 첫 chunk 관측</x:v>
      </x:c>
      <x:c r="E1017" s="7" t="str">
        <x:v>via</x:v>
      </x:c>
      <x:c r="F1017" s="14" t="n">
        <x:v>-2</x:v>
      </x:c>
      <x:c r="G1017" s="14" t="n">
        <x:v>-1.562</x:v>
      </x:c>
      <x:c r="H1017" s="14" t="n">
        <x:v>0.438</x:v>
      </x:c>
      <x:c r="I1017" s="14" t="n">
        <x:v>0</x:v>
      </x:c>
      <x:c r="J1017" s="7" t="str">
        <x:v>question_arrival</x:v>
      </x:c>
      <x:c r="K1017" s="7" t="str">
        <x:v>none</x:v>
      </x:c>
      <x:c r="L1017" s="14" t="n">
        <x:f>IF(G1017&lt;=I1017,0,MAX(0,L1014)+IF(E1017="via",MAX(0,G1017-MAX(F1017,I1017)),0))</x:f>
        <x:v>0</x:v>
      </x:c>
    </x:row>
    <x:row r="1018" ht="42" customHeight="1">
      <x:c r="A1018" s="12" t="str">
        <x:v>DP3-B-R1</x:v>
      </x:c>
      <x:c r="B1018" s="12" t="str">
        <x:v>U22</x:v>
      </x:c>
      <x:c r="C1018" s="12" t="str">
        <x:v>first_audio_output</x:v>
      </x:c>
      <x:c r="D1018" s="12" t="str">
        <x:v>공통 장치의 첫 음성 출력</x:v>
      </x:c>
      <x:c r="E1018" s="12" t="str">
        <x:v>via</x:v>
      </x:c>
      <x:c r="F1018" s="13" t="n">
        <x:v>4.446666666666667</x:v>
      </x:c>
      <x:c r="G1018" s="13" t="n">
        <x:v>4.486666666666667</x:v>
      </x:c>
      <x:c r="H1018" s="13" t="n">
        <x:v>0.04</x:v>
      </x:c>
      <x:c r="I1018" s="13" t="n">
        <x:v>0</x:v>
      </x:c>
      <x:c r="J1018" s="12" t="str">
        <x:v>adopt, first_chunk</x:v>
      </x:c>
      <x:c r="K1018" s="12" t="str">
        <x:v>none</x:v>
      </x:c>
      <x:c r="L1018" s="13" t="n">
        <x:f>IF(G1018&lt;=I1018,0,MAX(0,L1009,L1017)+IF(E1018="via",MAX(0,G1018-MAX(F1018,I1018)),0))</x:f>
        <x:v>4.486666666666667</x:v>
      </x:c>
    </x:row>
    <x:row r="1019" ht="42" customHeight="1">
      <x:c r="A1019" s="7" t="str">
        <x:v>DP3-B-R1</x:v>
      </x:c>
      <x:c r="B1019" s="7" t="str">
        <x:v>U22</x:v>
      </x:c>
      <x:c r="C1019" s="7" t="str">
        <x:v>next_speech_selection</x:v>
      </x:c>
      <x:c r="D1019" s="7" t="str">
        <x:v>현재 발화 재생 후 다음 응답 선택</x:v>
      </x:c>
      <x:c r="E1019" s="7" t="str">
        <x:v>external</x:v>
      </x:c>
      <x:c r="F1019" s="14" t="n">
        <x:v>4.486666666666667</x:v>
      </x:c>
      <x:c r="G1019" s="14" t="n">
        <x:v>10.486666666666668</x:v>
      </x:c>
      <x:c r="H1019" s="14" t="n">
        <x:v>6</x:v>
      </x:c>
      <x:c r="I1019" s="14" t="n">
        <x:v>0</x:v>
      </x:c>
      <x:c r="J1019" s="7" t="str">
        <x:v>first_audio_output</x:v>
      </x:c>
      <x:c r="K1019" s="7" t="str">
        <x:v>none</x:v>
      </x:c>
      <x:c r="L1019" s="14" t="n">
        <x:f>IF(G1019&lt;=I1019,0,MAX(0,L1018)+IF(E1019="via",MAX(0,G1019-MAX(F1019,I1019)),0))</x:f>
        <x:v>4.486666666666667</x:v>
      </x:c>
    </x:row>
    <x:row r="1020" ht="42" customHeight="1">
      <x:c r="A1020" s="12" t="str">
        <x:v>DP3-B-R1</x:v>
      </x:c>
      <x:c r="B1020" s="12" t="str">
        <x:v>U22</x:v>
      </x:c>
      <x:c r="C1020" s="12" t="str">
        <x:v>terminal</x:v>
      </x:c>
      <x:c r="D1020" s="12" t="str">
        <x:v>공통 목표 최종 상태와 전체 음성 준비</x:v>
      </x:c>
      <x:c r="E1020" s="12" t="str">
        <x:v>via</x:v>
      </x:c>
      <x:c r="F1020" s="13" t="n">
        <x:v>14.374666666666668</x:v>
      </x:c>
      <x:c r="G1020" s="13" t="n">
        <x:v>14.374666666666668</x:v>
      </x:c>
      <x:c r="H1020" s="13" t="n">
        <x:v>0</x:v>
      </x:c>
      <x:c r="I1020" s="13" t="n">
        <x:v>0</x:v>
      </x:c>
      <x:c r="J1020" s="12" t="str">
        <x:v>result_display, question_audio, first_audio_output, final_result_audio</x:v>
      </x:c>
      <x:c r="K1020" s="12" t="str">
        <x:v>none</x:v>
      </x:c>
      <x:c r="L1020" s="13" t="n">
        <x:f>IF(G1020&lt;=I1020,0,MAX(0,L1013,L1015,L1018,L1016)+IF(E1020="via",MAX(0,G1020-MAX(F1020,I1020)),0))</x:f>
        <x:v>6.374666666666667</x:v>
      </x:c>
    </x:row>
    <x:row r="1021" ht="42" customHeight="1">
      <x:c r="A1021" s="7" t="str">
        <x:v>DP3-B-R1</x:v>
      </x:c>
      <x:c r="B1021" s="7" t="str">
        <x:v>U23</x:v>
      </x:c>
      <x:c r="C1021" s="7" t="str">
        <x:v>input_end</x:v>
      </x:c>
      <x:c r="D1021" s="7" t="str">
        <x:v>사용자 입력 종료</x:v>
      </x:c>
      <x:c r="E1021" s="7" t="str">
        <x:v>external</x:v>
      </x:c>
      <x:c r="F1021" s="14" t="n">
        <x:v>0</x:v>
      </x:c>
      <x:c r="G1021" s="14" t="n">
        <x:v>0</x:v>
      </x:c>
      <x:c r="H1021" s="14" t="n">
        <x:v>0</x:v>
      </x:c>
      <x:c r="I1021" s="14" t="n">
        <x:v>0</x:v>
      </x:c>
      <x:c r="J1021" s="7" t="str"/>
      <x:c r="K1021" s="7" t="str">
        <x:v>none</x:v>
      </x:c>
      <x:c r="L1021" s="14" t="n">
        <x:f>IF(G1021&lt;=I1021,0,MAX(0)+IF(E1021="via",MAX(0,G1021-MAX(F1021,I1021)),0))</x:f>
        <x:v>0</x:v>
      </x:c>
    </x:row>
    <x:row r="1022" ht="42" customHeight="1">
      <x:c r="A1022" s="12" t="str">
        <x:v>DP3-B-R1</x:v>
      </x:c>
      <x:c r="B1022" s="12" t="str">
        <x:v>U23</x:v>
      </x:c>
      <x:c r="C1022" s="12" t="str">
        <x:v>intake</x:v>
      </x:c>
      <x:c r="D1022" s="12" t="str">
        <x:v>입력 확정</x:v>
      </x:c>
      <x:c r="E1022" s="12" t="str">
        <x:v>via</x:v>
      </x:c>
      <x:c r="F1022" s="13" t="n">
        <x:v>0</x:v>
      </x:c>
      <x:c r="G1022" s="13" t="n">
        <x:v>0.06</x:v>
      </x:c>
      <x:c r="H1022" s="13" t="n">
        <x:v>0.06</x:v>
      </x:c>
      <x:c r="I1022" s="13" t="n">
        <x:v>0</x:v>
      </x:c>
      <x:c r="J1022" s="12" t="str">
        <x:v>input_end</x:v>
      </x:c>
      <x:c r="K1022" s="12" t="str">
        <x:v>none</x:v>
      </x:c>
      <x:c r="L1022" s="13" t="n">
        <x:f>IF(G1022&lt;=I1022,0,MAX(0,L1021)+IF(E1022="via",MAX(0,G1022-MAX(F1022,I1022)),0))</x:f>
        <x:v>0.06</x:v>
      </x:c>
    </x:row>
    <x:row r="1023" ht="42" customHeight="1">
      <x:c r="A1023" s="7" t="str">
        <x:v>DP3-B-R1</x:v>
      </x:c>
      <x:c r="B1023" s="7" t="str">
        <x:v>U23</x:v>
      </x:c>
      <x:c r="C1023" s="7" t="str">
        <x:v>read</x:v>
      </x:c>
      <x:c r="D1023" s="7" t="str">
        <x:v>공통 허용 원본 조회</x:v>
      </x:c>
      <x:c r="E1023" s="7" t="str">
        <x:v>via</x:v>
      </x:c>
      <x:c r="F1023" s="14" t="n">
        <x:v>0.06</x:v>
      </x:c>
      <x:c r="G1023" s="14" t="n">
        <x:v>0.14</x:v>
      </x:c>
      <x:c r="H1023" s="14" t="n">
        <x:v>0.08</x:v>
      </x:c>
      <x:c r="I1023" s="14" t="n">
        <x:v>0</x:v>
      </x:c>
      <x:c r="J1023" s="7" t="str">
        <x:v>intake</x:v>
      </x:c>
      <x:c r="K1023" s="7" t="str">
        <x:v>none</x:v>
      </x:c>
      <x:c r="L1023" s="14" t="n">
        <x:f>IF(G1023&lt;=I1023,0,MAX(0,L1022)+IF(E1023="via",MAX(0,G1023-MAX(F1023,I1023)),0))</x:f>
        <x:v>0.14</x:v>
      </x:c>
    </x:row>
    <x:row r="1024" ht="42" customHeight="1">
      <x:c r="A1024" s="12" t="str">
        <x:v>DP3-B-R1</x:v>
      </x:c>
      <x:c r="B1024" s="12" t="str">
        <x:v>U23</x:v>
      </x:c>
      <x:c r="C1024" s="12" t="str">
        <x:v>meaning</x:v>
      </x:c>
      <x:c r="D1024" s="12" t="str">
        <x:v>최초 요청 의미 채택 packet 생성</x:v>
      </x:c>
      <x:c r="E1024" s="12" t="str">
        <x:v>via</x:v>
      </x:c>
      <x:c r="F1024" s="13" t="n">
        <x:v>0.14</x:v>
      </x:c>
      <x:c r="G1024" s="13" t="n">
        <x:v>1.6400000000000001</x:v>
      </x:c>
      <x:c r="H1024" s="13" t="n">
        <x:v>1.5</x:v>
      </x:c>
      <x:c r="I1024" s="13" t="n">
        <x:v>0</x:v>
      </x:c>
      <x:c r="J1024" s="12" t="str">
        <x:v>read</x:v>
      </x:c>
      <x:c r="K1024" s="12" t="str">
        <x:v>semantic</x:v>
      </x:c>
      <x:c r="L1024" s="13" t="n">
        <x:f>IF(G1024&lt;=I1024,0,MAX(0,L1023)+IF(E1024="via",MAX(0,G1024-MAX(F1024,I1024)),0))</x:f>
        <x:v>1.6400000000000001</x:v>
      </x:c>
    </x:row>
    <x:row r="1025" ht="42" customHeight="1">
      <x:c r="A1025" s="7" t="str">
        <x:v>DP3-B-R1</x:v>
      </x:c>
      <x:c r="B1025" s="7" t="str">
        <x:v>U23</x:v>
      </x:c>
      <x:c r="C1025" s="7" t="str">
        <x:v>adopt</x:v>
      </x:c>
      <x:c r="D1025" s="7" t="str">
        <x:v>현재 revision과 권한 검사 및 채택</x:v>
      </x:c>
      <x:c r="E1025" s="7" t="str">
        <x:v>via</x:v>
      </x:c>
      <x:c r="F1025" s="14" t="n">
        <x:v>1.6400000000000001</x:v>
      </x:c>
      <x:c r="G1025" s="14" t="n">
        <x:v>1.6700000000000002</x:v>
      </x:c>
      <x:c r="H1025" s="14" t="n">
        <x:v>0.03</x:v>
      </x:c>
      <x:c r="I1025" s="14" t="n">
        <x:v>0</x:v>
      </x:c>
      <x:c r="J1025" s="7" t="str">
        <x:v>meaning</x:v>
      </x:c>
      <x:c r="K1025" s="7" t="str">
        <x:v>none</x:v>
      </x:c>
      <x:c r="L1025" s="14" t="n">
        <x:f>IF(G1025&lt;=I1025,0,MAX(0,L1024)+IF(E1025="via",MAX(0,G1025-MAX(F1025,I1025)),0))</x:f>
        <x:v>1.6700000000000002</x:v>
      </x:c>
    </x:row>
    <x:row r="1026" ht="42" customHeight="1">
      <x:c r="A1026" s="12" t="str">
        <x:v>DP3-B-R1</x:v>
      </x:c>
      <x:c r="B1026" s="12" t="str">
        <x:v>U23</x:v>
      </x:c>
      <x:c r="C1026" s="12" t="str">
        <x:v>first_display</x:v>
      </x:c>
      <x:c r="D1026" s="12" t="str">
        <x:v>첫 구체적 채택 내용 화면 표시</x:v>
      </x:c>
      <x:c r="E1026" s="12" t="str">
        <x:v>via</x:v>
      </x:c>
      <x:c r="F1026" s="13" t="n">
        <x:v>1.6700000000000002</x:v>
      </x:c>
      <x:c r="G1026" s="13" t="n">
        <x:v>1.7100000000000002</x:v>
      </x:c>
      <x:c r="H1026" s="13" t="n">
        <x:v>0.04</x:v>
      </x:c>
      <x:c r="I1026" s="13" t="n">
        <x:v>0</x:v>
      </x:c>
      <x:c r="J1026" s="12" t="str">
        <x:v>adopt</x:v>
      </x:c>
      <x:c r="K1026" s="12" t="str">
        <x:v>none</x:v>
      </x:c>
      <x:c r="L1026" s="13" t="n">
        <x:f>IF(G1026&lt;=I1026,0,MAX(0,L1025)+IF(E1026="via",MAX(0,G1026-MAX(F1026,I1026)),0))</x:f>
        <x:v>1.7100000000000002</x:v>
      </x:c>
    </x:row>
    <x:row r="1027" ht="42" customHeight="1">
      <x:c r="A1027" s="7" t="str">
        <x:v>DP3-B-R1</x:v>
      </x:c>
      <x:c r="B1027" s="7" t="str">
        <x:v>U23</x:v>
      </x:c>
      <x:c r="C1027" s="7" t="str">
        <x:v>agent_ingress</x:v>
      </x:c>
      <x:c r="D1027" s="7" t="str">
        <x:v>Agent 요청 전송</x:v>
      </x:c>
      <x:c r="E1027" s="7" t="str">
        <x:v>via</x:v>
      </x:c>
      <x:c r="F1027" s="14" t="n">
        <x:v>1.6700000000000002</x:v>
      </x:c>
      <x:c r="G1027" s="14" t="n">
        <x:v>1.7100000000000002</x:v>
      </x:c>
      <x:c r="H1027" s="14" t="n">
        <x:v>0.04</x:v>
      </x:c>
      <x:c r="I1027" s="14" t="n">
        <x:v>0</x:v>
      </x:c>
      <x:c r="J1027" s="7" t="str">
        <x:v>adopt</x:v>
      </x:c>
      <x:c r="K1027" s="7" t="str">
        <x:v>none</x:v>
      </x:c>
      <x:c r="L1027" s="14" t="n">
        <x:f>IF(G1027&lt;=I1027,0,MAX(0,L1025)+IF(E1027="via",MAX(0,G1027-MAX(F1027,I1027)),0))</x:f>
        <x:v>1.7100000000000002</x:v>
      </x:c>
    </x:row>
    <x:row r="1028" ht="42" customHeight="1">
      <x:c r="A1028" s="12" t="str">
        <x:v>DP3-B-R1</x:v>
      </x:c>
      <x:c r="B1028" s="12" t="str">
        <x:v>U23</x:v>
      </x:c>
      <x:c r="C1028" s="12" t="str">
        <x:v>agent_result</x:v>
      </x:c>
      <x:c r="D1028" s="12" t="str">
        <x:v>외부 Agent 업무</x:v>
      </x:c>
      <x:c r="E1028" s="12" t="str">
        <x:v>external</x:v>
      </x:c>
      <x:c r="F1028" s="13" t="n">
        <x:v>1.7100000000000002</x:v>
      </x:c>
      <x:c r="G1028" s="13" t="n">
        <x:v>9.71</x:v>
      </x:c>
      <x:c r="H1028" s="13" t="n">
        <x:v>8</x:v>
      </x:c>
      <x:c r="I1028" s="13" t="n">
        <x:v>0</x:v>
      </x:c>
      <x:c r="J1028" s="12" t="str">
        <x:v>agent_ingress</x:v>
      </x:c>
      <x:c r="K1028" s="12" t="str">
        <x:v>none</x:v>
      </x:c>
      <x:c r="L1028" s="13" t="n">
        <x:f>IF(G1028&lt;=I1028,0,MAX(0,L1027)+IF(E1028="via",MAX(0,G1028-MAX(F1028,I1028)),0))</x:f>
        <x:v>1.7100000000000002</x:v>
      </x:c>
    </x:row>
    <x:row r="1029" ht="42" customHeight="1">
      <x:c r="A1029" s="7" t="str">
        <x:v>DP3-B-R1</x:v>
      </x:c>
      <x:c r="B1029" s="7" t="str">
        <x:v>U23</x:v>
      </x:c>
      <x:c r="C1029" s="7" t="str">
        <x:v>result_display</x:v>
      </x:c>
      <x:c r="D1029" s="7" t="str">
        <x:v>최종 결과 상세 표시</x:v>
      </x:c>
      <x:c r="E1029" s="7" t="str">
        <x:v>via</x:v>
      </x:c>
      <x:c r="F1029" s="14" t="n">
        <x:v>9.71</x:v>
      </x:c>
      <x:c r="G1029" s="14" t="n">
        <x:v>9.75</x:v>
      </x:c>
      <x:c r="H1029" s="14" t="n">
        <x:v>0.04</x:v>
      </x:c>
      <x:c r="I1029" s="14" t="n">
        <x:v>0</x:v>
      </x:c>
      <x:c r="J1029" s="7" t="str">
        <x:v>agent_result</x:v>
      </x:c>
      <x:c r="K1029" s="7" t="str">
        <x:v>none</x:v>
      </x:c>
      <x:c r="L1029" s="14" t="n">
        <x:f>IF(G1029&lt;=I1029,0,MAX(0,L1028)+IF(E1029="via",MAX(0,G1029-MAX(F1029,I1029)),0))</x:f>
        <x:v>1.7499999999999993</x:v>
      </x:c>
    </x:row>
    <x:row r="1030" ht="42" customHeight="1">
      <x:c r="A1030" s="12" t="str">
        <x:v>DP3-B-R1</x:v>
      </x:c>
      <x:c r="B1030" s="12" t="str">
        <x:v>U23</x:v>
      </x:c>
      <x:c r="C1030" s="12" t="str">
        <x:v>question_arrival</x:v>
      </x:c>
      <x:c r="D1030" s="12" t="str">
        <x:v>Agent 질문 텍스트 도착</x:v>
      </x:c>
      <x:c r="E1030" s="12" t="str">
        <x:v>external</x:v>
      </x:c>
      <x:c r="F1030" s="13" t="n">
        <x:v>-2</x:v>
      </x:c>
      <x:c r="G1030" s="13" t="n">
        <x:v>-2</x:v>
      </x:c>
      <x:c r="H1030" s="13" t="n">
        <x:v>0</x:v>
      </x:c>
      <x:c r="I1030" s="13" t="n">
        <x:v>0</x:v>
      </x:c>
      <x:c r="J1030" s="12" t="str"/>
      <x:c r="K1030" s="12" t="str">
        <x:v>none</x:v>
      </x:c>
      <x:c r="L1030" s="13" t="n">
        <x:f>IF(G1030&lt;=I1030,0,MAX(0)+IF(E1030="via",MAX(0,G1030-MAX(F1030,I1030)),0))</x:f>
        <x:v>0</x:v>
      </x:c>
    </x:row>
    <x:row r="1031" ht="42" customHeight="1">
      <x:c r="A1031" s="7" t="str">
        <x:v>DP3-B-R1</x:v>
      </x:c>
      <x:c r="B1031" s="7" t="str">
        <x:v>U23</x:v>
      </x:c>
      <x:c r="C1031" s="7" t="str">
        <x:v>question_audio</x:v>
      </x:c>
      <x:c r="D1031" s="7" t="str">
        <x:v>선택한 응답 음성 생성</x:v>
      </x:c>
      <x:c r="E1031" s="7" t="str">
        <x:v>via</x:v>
      </x:c>
      <x:c r="F1031" s="14" t="n">
        <x:v>-2</x:v>
      </x:c>
      <x:c r="G1031" s="14" t="n">
        <x:v>-0.1120000000000001</x:v>
      </x:c>
      <x:c r="H1031" s="14" t="n">
        <x:v>1.888</x:v>
      </x:c>
      <x:c r="I1031" s="14" t="n">
        <x:v>0</x:v>
      </x:c>
      <x:c r="J1031" s="7" t="str">
        <x:v>question_arrival</x:v>
      </x:c>
      <x:c r="K1031" s="7" t="str">
        <x:v>speech</x:v>
      </x:c>
      <x:c r="L1031" s="14" t="n">
        <x:f>IF(G1031&lt;=I1031,0,MAX(0,L1030)+IF(E1031="via",MAX(0,G1031-MAX(F1031,I1031)),0))</x:f>
        <x:v>0</x:v>
      </x:c>
    </x:row>
    <x:row r="1032" ht="42" customHeight="1">
      <x:c r="A1032" s="12" t="str">
        <x:v>DP3-B-R1</x:v>
      </x:c>
      <x:c r="B1032" s="12" t="str">
        <x:v>U23</x:v>
      </x:c>
      <x:c r="C1032" s="12" t="str">
        <x:v>final_result_audio</x:v>
      </x:c>
      <x:c r="D1032" s="12" t="str">
        <x:v>새 업무 최종 결과 음성 준비</x:v>
      </x:c>
      <x:c r="E1032" s="12" t="str">
        <x:v>via</x:v>
      </x:c>
      <x:c r="F1032" s="13" t="n">
        <x:v>9.71</x:v>
      </x:c>
      <x:c r="G1032" s="13" t="n">
        <x:v>11.598</x:v>
      </x:c>
      <x:c r="H1032" s="13" t="n">
        <x:v>1.888</x:v>
      </x:c>
      <x:c r="I1032" s="13" t="n">
        <x:v>0</x:v>
      </x:c>
      <x:c r="J1032" s="12" t="str">
        <x:v>agent_result</x:v>
      </x:c>
      <x:c r="K1032" s="12" t="str">
        <x:v>speech</x:v>
      </x:c>
      <x:c r="L1032" s="13" t="n">
        <x:f>IF(G1032&lt;=I1032,0,MAX(0,L1028)+IF(E1032="via",MAX(0,G1032-MAX(F1032,I1032)),0))</x:f>
        <x:v>3.598</x:v>
      </x:c>
    </x:row>
    <x:row r="1033" ht="42" customHeight="1">
      <x:c r="A1033" s="7" t="str">
        <x:v>DP3-B-R1</x:v>
      </x:c>
      <x:c r="B1033" s="7" t="str">
        <x:v>U23</x:v>
      </x:c>
      <x:c r="C1033" s="7" t="str">
        <x:v>first_chunk</x:v>
      </x:c>
      <x:c r="D1033" s="7" t="str">
        <x:v>같은 생성 job의 유효 첫 chunk 관측</x:v>
      </x:c>
      <x:c r="E1033" s="7" t="str">
        <x:v>via</x:v>
      </x:c>
      <x:c r="F1033" s="14" t="n">
        <x:v>-2</x:v>
      </x:c>
      <x:c r="G1033" s="14" t="n">
        <x:v>-1.562</x:v>
      </x:c>
      <x:c r="H1033" s="14" t="n">
        <x:v>0.438</x:v>
      </x:c>
      <x:c r="I1033" s="14" t="n">
        <x:v>0</x:v>
      </x:c>
      <x:c r="J1033" s="7" t="str">
        <x:v>question_arrival</x:v>
      </x:c>
      <x:c r="K1033" s="7" t="str">
        <x:v>none</x:v>
      </x:c>
      <x:c r="L1033" s="14" t="n">
        <x:f>IF(G1033&lt;=I1033,0,MAX(0,L1030)+IF(E1033="via",MAX(0,G1033-MAX(F1033,I1033)),0))</x:f>
        <x:v>0</x:v>
      </x:c>
    </x:row>
    <x:row r="1034" ht="42" customHeight="1">
      <x:c r="A1034" s="12" t="str">
        <x:v>DP3-B-R1</x:v>
      </x:c>
      <x:c r="B1034" s="12" t="str">
        <x:v>U23</x:v>
      </x:c>
      <x:c r="C1034" s="12" t="str">
        <x:v>first_audio_output</x:v>
      </x:c>
      <x:c r="D1034" s="12" t="str">
        <x:v>공통 장치의 첫 음성 출력</x:v>
      </x:c>
      <x:c r="E1034" s="12" t="str">
        <x:v>via</x:v>
      </x:c>
      <x:c r="F1034" s="13" t="n">
        <x:v>1.6700000000000002</x:v>
      </x:c>
      <x:c r="G1034" s="13" t="n">
        <x:v>1.7100000000000002</x:v>
      </x:c>
      <x:c r="H1034" s="13" t="n">
        <x:v>0.04</x:v>
      </x:c>
      <x:c r="I1034" s="13" t="n">
        <x:v>0</x:v>
      </x:c>
      <x:c r="J1034" s="12" t="str">
        <x:v>adopt, first_chunk</x:v>
      </x:c>
      <x:c r="K1034" s="12" t="str">
        <x:v>none</x:v>
      </x:c>
      <x:c r="L1034" s="13" t="n">
        <x:f>IF(G1034&lt;=I1034,0,MAX(0,L1025,L1033)+IF(E1034="via",MAX(0,G1034-MAX(F1034,I1034)),0))</x:f>
        <x:v>1.7100000000000002</x:v>
      </x:c>
    </x:row>
    <x:row r="1035" ht="42" customHeight="1">
      <x:c r="A1035" s="7" t="str">
        <x:v>DP3-B-R1</x:v>
      </x:c>
      <x:c r="B1035" s="7" t="str">
        <x:v>U23</x:v>
      </x:c>
      <x:c r="C1035" s="7" t="str">
        <x:v>next_speech_selection</x:v>
      </x:c>
      <x:c r="D1035" s="7" t="str">
        <x:v>현재 발화 재생 후 다음 응답 선택</x:v>
      </x:c>
      <x:c r="E1035" s="7" t="str">
        <x:v>external</x:v>
      </x:c>
      <x:c r="F1035" s="14" t="n">
        <x:v>1.7100000000000002</x:v>
      </x:c>
      <x:c r="G1035" s="14" t="n">
        <x:v>7.71</x:v>
      </x:c>
      <x:c r="H1035" s="14" t="n">
        <x:v>6</x:v>
      </x:c>
      <x:c r="I1035" s="14" t="n">
        <x:v>0</x:v>
      </x:c>
      <x:c r="J1035" s="7" t="str">
        <x:v>first_audio_output</x:v>
      </x:c>
      <x:c r="K1035" s="7" t="str">
        <x:v>none</x:v>
      </x:c>
      <x:c r="L1035" s="14" t="n">
        <x:f>IF(G1035&lt;=I1035,0,MAX(0,L1034)+IF(E1035="via",MAX(0,G1035-MAX(F1035,I1035)),0))</x:f>
        <x:v>1.7100000000000002</x:v>
      </x:c>
    </x:row>
    <x:row r="1036" ht="42" customHeight="1">
      <x:c r="A1036" s="12" t="str">
        <x:v>DP3-B-R1</x:v>
      </x:c>
      <x:c r="B1036" s="12" t="str">
        <x:v>U23</x:v>
      </x:c>
      <x:c r="C1036" s="12" t="str">
        <x:v>terminal</x:v>
      </x:c>
      <x:c r="D1036" s="12" t="str">
        <x:v>공통 목표 최종 상태와 전체 음성 준비</x:v>
      </x:c>
      <x:c r="E1036" s="12" t="str">
        <x:v>via</x:v>
      </x:c>
      <x:c r="F1036" s="13" t="n">
        <x:v>11.598</x:v>
      </x:c>
      <x:c r="G1036" s="13" t="n">
        <x:v>11.598</x:v>
      </x:c>
      <x:c r="H1036" s="13" t="n">
        <x:v>0</x:v>
      </x:c>
      <x:c r="I1036" s="13" t="n">
        <x:v>0</x:v>
      </x:c>
      <x:c r="J1036" s="12" t="str">
        <x:v>result_display, question_audio, first_audio_output, final_result_audio</x:v>
      </x:c>
      <x:c r="K1036" s="12" t="str">
        <x:v>none</x:v>
      </x:c>
      <x:c r="L1036" s="13" t="n">
        <x:f>IF(G1036&lt;=I1036,0,MAX(0,L1029,L1031,L1034,L1032)+IF(E1036="via",MAX(0,G1036-MAX(F1036,I1036)),0))</x:f>
        <x:v>3.598</x:v>
      </x:c>
    </x:row>
    <x:row r="1037" ht="42" customHeight="1">
      <x:c r="A1037" s="7" t="str">
        <x:v>DP3-B-R1</x:v>
      </x:c>
      <x:c r="B1037" s="7" t="str">
        <x:v>U24</x:v>
      </x:c>
      <x:c r="C1037" s="7" t="str">
        <x:v>bg1</x:v>
      </x:c>
      <x:c r="D1037" s="7" t="str">
        <x:v>진행 중인 현재 대화의 의미 step</x:v>
      </x:c>
      <x:c r="E1037" s="7" t="str">
        <x:v>via</x:v>
      </x:c>
      <x:c r="F1037" s="14" t="n">
        <x:v>-1</x:v>
      </x:c>
      <x:c r="G1037" s="14" t="n">
        <x:v>2.4</x:v>
      </x:c>
      <x:c r="H1037" s="14" t="n">
        <x:v>3.4</x:v>
      </x:c>
      <x:c r="I1037" s="14" t="n">
        <x:v>-6</x:v>
      </x:c>
      <x:c r="J1037" s="7" t="str">
        <x:v>original_work</x:v>
      </x:c>
      <x:c r="K1037" s="7" t="str">
        <x:v>semantic</x:v>
      </x:c>
      <x:c r="L1037" s="14" t="n">
        <x:f>IF(G1037&lt;=I1037,0,MAX(0,L1038)+IF(E1037="via",MAX(0,G1037-MAX(F1037,I1037)),0))</x:f>
        <x:v>5.4</x:v>
      </x:c>
    </x:row>
    <x:row r="1038" ht="42" customHeight="1">
      <x:c r="A1038" s="12" t="str">
        <x:v>DP3-B-R1</x:v>
      </x:c>
      <x:c r="B1038" s="12" t="str">
        <x:v>U24</x:v>
      </x:c>
      <x:c r="C1038" s="12" t="str">
        <x:v>original_work</x:v>
      </x:c>
      <x:c r="D1038" s="12" t="str">
        <x:v>원래 목표의 최초 VIA 처리</x:v>
      </x:c>
      <x:c r="E1038" s="12" t="str">
        <x:v>via</x:v>
      </x:c>
      <x:c r="F1038" s="13" t="n">
        <x:v>-6</x:v>
      </x:c>
      <x:c r="G1038" s="13" t="n">
        <x:v>-4</x:v>
      </x:c>
      <x:c r="H1038" s="13" t="n">
        <x:v>2</x:v>
      </x:c>
      <x:c r="I1038" s="13" t="n">
        <x:v>-6</x:v>
      </x:c>
      <x:c r="J1038" s="12" t="str"/>
      <x:c r="K1038" s="12" t="str">
        <x:v>none</x:v>
      </x:c>
      <x:c r="L1038" s="13" t="n">
        <x:f>IF(G1038&lt;=I1038,0,MAX(0)+IF(E1038="via",MAX(0,G1038-MAX(F1038,I1038)),0))</x:f>
        <x:v>2</x:v>
      </x:c>
    </x:row>
    <x:row r="1039" ht="42" customHeight="1">
      <x:c r="A1039" s="7" t="str">
        <x:v>DP3-B-R1</x:v>
      </x:c>
      <x:c r="B1039" s="7" t="str">
        <x:v>U24</x:v>
      </x:c>
      <x:c r="C1039" s="7" t="str">
        <x:v>input_end</x:v>
      </x:c>
      <x:c r="D1039" s="7" t="str">
        <x:v>사용자 입력 종료</x:v>
      </x:c>
      <x:c r="E1039" s="7" t="str">
        <x:v>external</x:v>
      </x:c>
      <x:c r="F1039" s="14" t="n">
        <x:v>0</x:v>
      </x:c>
      <x:c r="G1039" s="14" t="n">
        <x:v>0</x:v>
      </x:c>
      <x:c r="H1039" s="14" t="n">
        <x:v>0</x:v>
      </x:c>
      <x:c r="I1039" s="14" t="n">
        <x:v>-6</x:v>
      </x:c>
      <x:c r="J1039" s="7" t="str">
        <x:v>original_work</x:v>
      </x:c>
      <x:c r="K1039" s="7" t="str">
        <x:v>none</x:v>
      </x:c>
      <x:c r="L1039" s="14" t="n">
        <x:f>IF(G1039&lt;=I1039,0,MAX(0,L1038)+IF(E1039="via",MAX(0,G1039-MAX(F1039,I1039)),0))</x:f>
        <x:v>2</x:v>
      </x:c>
    </x:row>
    <x:row r="1040" ht="42" customHeight="1">
      <x:c r="A1040" s="12" t="str">
        <x:v>DP3-B-R1</x:v>
      </x:c>
      <x:c r="B1040" s="12" t="str">
        <x:v>U24</x:v>
      </x:c>
      <x:c r="C1040" s="12" t="str">
        <x:v>intake</x:v>
      </x:c>
      <x:c r="D1040" s="12" t="str">
        <x:v>입력 확정</x:v>
      </x:c>
      <x:c r="E1040" s="12" t="str">
        <x:v>via</x:v>
      </x:c>
      <x:c r="F1040" s="13" t="n">
        <x:v>0</x:v>
      </x:c>
      <x:c r="G1040" s="13" t="n">
        <x:v>0.3</x:v>
      </x:c>
      <x:c r="H1040" s="13" t="n">
        <x:v>0.3</x:v>
      </x:c>
      <x:c r="I1040" s="13" t="n">
        <x:v>-6</x:v>
      </x:c>
      <x:c r="J1040" s="12" t="str">
        <x:v>input_end</x:v>
      </x:c>
      <x:c r="K1040" s="12" t="str">
        <x:v>none</x:v>
      </x:c>
      <x:c r="L1040" s="13" t="n">
        <x:f>IF(G1040&lt;=I1040,0,MAX(0,L1039)+IF(E1040="via",MAX(0,G1040-MAX(F1040,I1040)),0))</x:f>
        <x:v>2.3</x:v>
      </x:c>
    </x:row>
    <x:row r="1041" ht="42" customHeight="1">
      <x:c r="A1041" s="7" t="str">
        <x:v>DP3-B-R1</x:v>
      </x:c>
      <x:c r="B1041" s="7" t="str">
        <x:v>U24</x:v>
      </x:c>
      <x:c r="C1041" s="7" t="str">
        <x:v>read</x:v>
      </x:c>
      <x:c r="D1041" s="7" t="str">
        <x:v>공통 허용 원본 조회</x:v>
      </x:c>
      <x:c r="E1041" s="7" t="str">
        <x:v>via</x:v>
      </x:c>
      <x:c r="F1041" s="14" t="n">
        <x:v>0.3</x:v>
      </x:c>
      <x:c r="G1041" s="14" t="n">
        <x:v>0.38</x:v>
      </x:c>
      <x:c r="H1041" s="14" t="n">
        <x:v>0.08</x:v>
      </x:c>
      <x:c r="I1041" s="14" t="n">
        <x:v>-6</x:v>
      </x:c>
      <x:c r="J1041" s="7" t="str">
        <x:v>intake</x:v>
      </x:c>
      <x:c r="K1041" s="7" t="str">
        <x:v>none</x:v>
      </x:c>
      <x:c r="L1041" s="14" t="n">
        <x:f>IF(G1041&lt;=I1041,0,MAX(0,L1040)+IF(E1041="via",MAX(0,G1041-MAX(F1041,I1041)),0))</x:f>
        <x:v>2.38</x:v>
      </x:c>
    </x:row>
    <x:row r="1042" ht="42" customHeight="1">
      <x:c r="A1042" s="12" t="str">
        <x:v>DP3-B-R1</x:v>
      </x:c>
      <x:c r="B1042" s="12" t="str">
        <x:v>U24</x:v>
      </x:c>
      <x:c r="C1042" s="12" t="str">
        <x:v>now_ui_boot</x:v>
      </x:c>
      <x:c r="D1042" s="12" t="str">
        <x:v>ui runtime 시작</x:v>
      </x:c>
      <x:c r="E1042" s="12" t="str">
        <x:v>via</x:v>
      </x:c>
      <x:c r="F1042" s="13" t="n">
        <x:v>0.38</x:v>
      </x:c>
      <x:c r="G1042" s="13" t="n">
        <x:v>1.58</x:v>
      </x:c>
      <x:c r="H1042" s="13" t="n">
        <x:v>1.2</x:v>
      </x:c>
      <x:c r="I1042" s="13" t="n">
        <x:v>-6</x:v>
      </x:c>
      <x:c r="J1042" s="12" t="str">
        <x:v>read</x:v>
      </x:c>
      <x:c r="K1042" s="12" t="str">
        <x:v>visual</x:v>
      </x:c>
      <x:c r="L1042" s="13" t="n">
        <x:f>IF(G1042&lt;=I1042,0,MAX(0,L1041)+IF(E1042="via",MAX(0,G1042-MAX(F1042,I1042)),0))</x:f>
        <x:v>3.58</x:v>
      </x:c>
    </x:row>
    <x:row r="1043" ht="42" customHeight="1">
      <x:c r="A1043" s="7" t="str">
        <x:v>DP3-B-R1</x:v>
      </x:c>
      <x:c r="B1043" s="7" t="str">
        <x:v>U24</x:v>
      </x:c>
      <x:c r="C1043" s="7" t="str">
        <x:v>now_ui_load</x:v>
      </x:c>
      <x:c r="D1043" s="7" t="str">
        <x:v>ui 모델 적재</x:v>
      </x:c>
      <x:c r="E1043" s="7" t="str">
        <x:v>via</x:v>
      </x:c>
      <x:c r="F1043" s="14" t="n">
        <x:v>1.58</x:v>
      </x:c>
      <x:c r="G1043" s="14" t="n">
        <x:v>2.68</x:v>
      </x:c>
      <x:c r="H1043" s="14" t="n">
        <x:v>1.1</x:v>
      </x:c>
      <x:c r="I1043" s="14" t="n">
        <x:v>-6</x:v>
      </x:c>
      <x:c r="J1043" s="7" t="str">
        <x:v>read, now_ui_boot</x:v>
      </x:c>
      <x:c r="K1043" s="7" t="str">
        <x:v>visual</x:v>
      </x:c>
      <x:c r="L1043" s="14" t="n">
        <x:f>IF(G1043&lt;=I1043,0,MAX(0,L1041,L1042)+IF(E1043="via",MAX(0,G1043-MAX(F1043,I1043)),0))</x:f>
        <x:v>4.68</x:v>
      </x:c>
    </x:row>
    <x:row r="1044" ht="42" customHeight="1">
      <x:c r="A1044" s="12" t="str">
        <x:v>DP3-B-R1</x:v>
      </x:c>
      <x:c r="B1044" s="12" t="str">
        <x:v>U24</x:v>
      </x:c>
      <x:c r="C1044" s="12" t="str">
        <x:v>now_ui_infer</x:v>
      </x:c>
      <x:c r="D1044" s="12" t="str">
        <x:v>ui 후보 생산</x:v>
      </x:c>
      <x:c r="E1044" s="12" t="str">
        <x:v>via</x:v>
      </x:c>
      <x:c r="F1044" s="13" t="n">
        <x:v>2.68</x:v>
      </x:c>
      <x:c r="G1044" s="13" t="n">
        <x:v>4.28</x:v>
      </x:c>
      <x:c r="H1044" s="13" t="n">
        <x:v>1.6</x:v>
      </x:c>
      <x:c r="I1044" s="13" t="n">
        <x:v>-6</x:v>
      </x:c>
      <x:c r="J1044" s="12" t="str">
        <x:v>now_ui_load</x:v>
      </x:c>
      <x:c r="K1044" s="12" t="str">
        <x:v>visual</x:v>
      </x:c>
      <x:c r="L1044" s="13" t="n">
        <x:f>IF(G1044&lt;=I1044,0,MAX(0,L1043)+IF(E1044="via",MAX(0,G1044-MAX(F1044,I1044)),0))</x:f>
        <x:v>6.279999999999999</x:v>
      </x:c>
    </x:row>
    <x:row r="1045" ht="42" customHeight="1">
      <x:c r="A1045" s="7" t="str">
        <x:v>DP3-B-R1</x:v>
      </x:c>
      <x:c r="B1045" s="7" t="str">
        <x:v>U24</x:v>
      </x:c>
      <x:c r="C1045" s="7" t="str">
        <x:v>now_ui_release</x:v>
      </x:c>
      <x:c r="D1045" s="7" t="str">
        <x:v>ui 가중치 회수</x:v>
      </x:c>
      <x:c r="E1045" s="7" t="str">
        <x:v>via</x:v>
      </x:c>
      <x:c r="F1045" s="14" t="n">
        <x:v>4.28</x:v>
      </x:c>
      <x:c r="G1045" s="14" t="n">
        <x:v>4.430000000000001</x:v>
      </x:c>
      <x:c r="H1045" s="14" t="n">
        <x:v>0.15</x:v>
      </x:c>
      <x:c r="I1045" s="14" t="n">
        <x:v>-6</x:v>
      </x:c>
      <x:c r="J1045" s="7" t="str">
        <x:v>now_ui_infer</x:v>
      </x:c>
      <x:c r="K1045" s="7" t="str">
        <x:v>visual</x:v>
      </x:c>
      <x:c r="L1045" s="14" t="n">
        <x:f>IF(G1045&lt;=I1045,0,MAX(0,L1044)+IF(E1045="via",MAX(0,G1045-MAX(F1045,I1045)),0))</x:f>
        <x:v>6.43</x:v>
      </x:c>
    </x:row>
    <x:row r="1046" ht="42" customHeight="1">
      <x:c r="A1046" s="12" t="str">
        <x:v>DP3-B-R1</x:v>
      </x:c>
      <x:c r="B1046" s="12" t="str">
        <x:v>U24</x:v>
      </x:c>
      <x:c r="C1046" s="12" t="str">
        <x:v>now_sam_load</x:v>
      </x:c>
      <x:c r="D1046" s="12" t="str">
        <x:v>sam 모델 적재</x:v>
      </x:c>
      <x:c r="E1046" s="12" t="str">
        <x:v>via</x:v>
      </x:c>
      <x:c r="F1046" s="13" t="n">
        <x:v>4.430000000000001</x:v>
      </x:c>
      <x:c r="G1046" s="13" t="n">
        <x:v>5.080000000000001</x:v>
      </x:c>
      <x:c r="H1046" s="13" t="n">
        <x:v>0.65</x:v>
      </x:c>
      <x:c r="I1046" s="13" t="n">
        <x:v>-6</x:v>
      </x:c>
      <x:c r="J1046" s="12" t="str">
        <x:v>now_ui_release, now_ui_boot</x:v>
      </x:c>
      <x:c r="K1046" s="12" t="str">
        <x:v>visual</x:v>
      </x:c>
      <x:c r="L1046" s="13" t="n">
        <x:f>IF(G1046&lt;=I1046,0,MAX(0,L1045,L1042)+IF(E1046="via",MAX(0,G1046-MAX(F1046,I1046)),0))</x:f>
        <x:v>7.08</x:v>
      </x:c>
    </x:row>
    <x:row r="1047" ht="42" customHeight="1">
      <x:c r="A1047" s="7" t="str">
        <x:v>DP3-B-R1</x:v>
      </x:c>
      <x:c r="B1047" s="7" t="str">
        <x:v>U24</x:v>
      </x:c>
      <x:c r="C1047" s="7" t="str">
        <x:v>now_sam_infer</x:v>
      </x:c>
      <x:c r="D1047" s="7" t="str">
        <x:v>sam 후보 생산</x:v>
      </x:c>
      <x:c r="E1047" s="7" t="str">
        <x:v>via</x:v>
      </x:c>
      <x:c r="F1047" s="14" t="n">
        <x:v>5.080000000000001</x:v>
      </x:c>
      <x:c r="G1047" s="14" t="n">
        <x:v>9.18</x:v>
      </x:c>
      <x:c r="H1047" s="14" t="n">
        <x:v>4.1</x:v>
      </x:c>
      <x:c r="I1047" s="14" t="n">
        <x:v>-6</x:v>
      </x:c>
      <x:c r="J1047" s="7" t="str">
        <x:v>now_sam_load</x:v>
      </x:c>
      <x:c r="K1047" s="7" t="str">
        <x:v>visual</x:v>
      </x:c>
      <x:c r="L1047" s="14" t="n">
        <x:f>IF(G1047&lt;=I1047,0,MAX(0,L1046)+IF(E1047="via",MAX(0,G1047-MAX(F1047,I1047)),0))</x:f>
        <x:v>11.18</x:v>
      </x:c>
    </x:row>
    <x:row r="1048" ht="42" customHeight="1">
      <x:c r="A1048" s="12" t="str">
        <x:v>DP3-B-R1</x:v>
      </x:c>
      <x:c r="B1048" s="12" t="str">
        <x:v>U24</x:v>
      </x:c>
      <x:c r="C1048" s="12" t="str">
        <x:v>now_sam_release</x:v>
      </x:c>
      <x:c r="D1048" s="12" t="str">
        <x:v>sam 가중치 회수</x:v>
      </x:c>
      <x:c r="E1048" s="12" t="str">
        <x:v>via</x:v>
      </x:c>
      <x:c r="F1048" s="13" t="n">
        <x:v>9.18</x:v>
      </x:c>
      <x:c r="G1048" s="13" t="n">
        <x:v>9.33</x:v>
      </x:c>
      <x:c r="H1048" s="13" t="n">
        <x:v>0.15</x:v>
      </x:c>
      <x:c r="I1048" s="13" t="n">
        <x:v>-6</x:v>
      </x:c>
      <x:c r="J1048" s="12" t="str">
        <x:v>now_sam_infer</x:v>
      </x:c>
      <x:c r="K1048" s="12" t="str">
        <x:v>visual</x:v>
      </x:c>
      <x:c r="L1048" s="13" t="n">
        <x:f>IF(G1048&lt;=I1048,0,MAX(0,L1047)+IF(E1048="via",MAX(0,G1048-MAX(F1048,I1048)),0))</x:f>
        <x:v>11.33</x:v>
      </x:c>
    </x:row>
    <x:row r="1049" ht="42" customHeight="1">
      <x:c r="A1049" s="7" t="str">
        <x:v>DP3-B-R1</x:v>
      </x:c>
      <x:c r="B1049" s="7" t="str">
        <x:v>U24</x:v>
      </x:c>
      <x:c r="C1049" s="7" t="str">
        <x:v>expand_need</x:v>
      </x:c>
      <x:c r="D1049" s="7" t="str">
        <x:v>초기 binder의 부족 판정과 ExpandNeed 생성</x:v>
      </x:c>
      <x:c r="E1049" s="7" t="str">
        <x:v>via</x:v>
      </x:c>
      <x:c r="F1049" s="14" t="n">
        <x:v>9.33</x:v>
      </x:c>
      <x:c r="G1049" s="14" t="n">
        <x:v>10.203333333333333</x:v>
      </x:c>
      <x:c r="H1049" s="14" t="n">
        <x:v>0.8733333333333333</x:v>
      </x:c>
      <x:c r="I1049" s="14" t="n">
        <x:v>-6</x:v>
      </x:c>
      <x:c r="J1049" s="7" t="str">
        <x:v>now_sam_release</x:v>
      </x:c>
      <x:c r="K1049" s="7" t="str">
        <x:v>semantic</x:v>
      </x:c>
      <x:c r="L1049" s="14" t="n">
        <x:f>IF(G1049&lt;=I1049,0,MAX(0,L1048)+IF(E1049="via",MAX(0,G1049-MAX(F1049,I1049)),0))</x:f>
        <x:v>12.203333333333333</x:v>
      </x:c>
    </x:row>
    <x:row r="1050" ht="42" customHeight="1">
      <x:c r="A1050" s="12" t="str">
        <x:v>DP3-B-R1</x:v>
      </x:c>
      <x:c r="B1050" s="12" t="str">
        <x:v>U24</x:v>
      </x:c>
      <x:c r="C1050" s="12" t="str">
        <x:v>raw_expansion</x:v>
      </x:c>
      <x:c r="D1050" s="12" t="str">
        <x:v>ExpandNeed에 따른 원본 확장 조회</x:v>
      </x:c>
      <x:c r="E1050" s="12" t="str">
        <x:v>via</x:v>
      </x:c>
      <x:c r="F1050" s="13" t="n">
        <x:v>10.203333333333333</x:v>
      </x:c>
      <x:c r="G1050" s="13" t="n">
        <x:v>10.283333333333333</x:v>
      </x:c>
      <x:c r="H1050" s="13" t="n">
        <x:v>0.08</x:v>
      </x:c>
      <x:c r="I1050" s="13" t="n">
        <x:v>-6</x:v>
      </x:c>
      <x:c r="J1050" s="12" t="str">
        <x:v>expand_need</x:v>
      </x:c>
      <x:c r="K1050" s="12" t="str">
        <x:v>none</x:v>
      </x:c>
      <x:c r="L1050" s="13" t="n">
        <x:f>IF(G1050&lt;=I1050,0,MAX(0,L1049)+IF(E1050="via",MAX(0,G1050-MAX(F1050,I1050)),0))</x:f>
        <x:v>12.283333333333333</x:v>
      </x:c>
    </x:row>
    <x:row r="1051" ht="42" customHeight="1">
      <x:c r="A1051" s="7" t="str">
        <x:v>DP3-B-R1</x:v>
      </x:c>
      <x:c r="B1051" s="7" t="str">
        <x:v>U24</x:v>
      </x:c>
      <x:c r="C1051" s="7" t="str">
        <x:v>expand_ui_load</x:v>
      </x:c>
      <x:c r="D1051" s="7" t="str">
        <x:v>ui 모델 적재</x:v>
      </x:c>
      <x:c r="E1051" s="7" t="str">
        <x:v>via</x:v>
      </x:c>
      <x:c r="F1051" s="14" t="n">
        <x:v>10.283333333333333</x:v>
      </x:c>
      <x:c r="G1051" s="14" t="n">
        <x:v>11.383333333333333</x:v>
      </x:c>
      <x:c r="H1051" s="14" t="n">
        <x:v>1.1</x:v>
      </x:c>
      <x:c r="I1051" s="14" t="n">
        <x:v>-6</x:v>
      </x:c>
      <x:c r="J1051" s="7" t="str">
        <x:v>raw_expansion, now_ui_boot</x:v>
      </x:c>
      <x:c r="K1051" s="7" t="str">
        <x:v>visual</x:v>
      </x:c>
      <x:c r="L1051" s="14" t="n">
        <x:f>IF(G1051&lt;=I1051,0,MAX(0,L1050,L1042)+IF(E1051="via",MAX(0,G1051-MAX(F1051,I1051)),0))</x:f>
        <x:v>13.383333333333333</x:v>
      </x:c>
    </x:row>
    <x:row r="1052" ht="42" customHeight="1">
      <x:c r="A1052" s="12" t="str">
        <x:v>DP3-B-R1</x:v>
      </x:c>
      <x:c r="B1052" s="12" t="str">
        <x:v>U24</x:v>
      </x:c>
      <x:c r="C1052" s="12" t="str">
        <x:v>expand_ui_infer</x:v>
      </x:c>
      <x:c r="D1052" s="12" t="str">
        <x:v>ui 후보 생산</x:v>
      </x:c>
      <x:c r="E1052" s="12" t="str">
        <x:v>via</x:v>
      </x:c>
      <x:c r="F1052" s="13" t="n">
        <x:v>11.383333333333333</x:v>
      </x:c>
      <x:c r="G1052" s="13" t="n">
        <x:v>12.983333333333333</x:v>
      </x:c>
      <x:c r="H1052" s="13" t="n">
        <x:v>1.6</x:v>
      </x:c>
      <x:c r="I1052" s="13" t="n">
        <x:v>-6</x:v>
      </x:c>
      <x:c r="J1052" s="12" t="str">
        <x:v>expand_ui_load</x:v>
      </x:c>
      <x:c r="K1052" s="12" t="str">
        <x:v>visual</x:v>
      </x:c>
      <x:c r="L1052" s="13" t="n">
        <x:f>IF(G1052&lt;=I1052,0,MAX(0,L1051)+IF(E1052="via",MAX(0,G1052-MAX(F1052,I1052)),0))</x:f>
        <x:v>14.983333333333333</x:v>
      </x:c>
    </x:row>
    <x:row r="1053" ht="42" customHeight="1">
      <x:c r="A1053" s="7" t="str">
        <x:v>DP3-B-R1</x:v>
      </x:c>
      <x:c r="B1053" s="7" t="str">
        <x:v>U24</x:v>
      </x:c>
      <x:c r="C1053" s="7" t="str">
        <x:v>expand_ui_release</x:v>
      </x:c>
      <x:c r="D1053" s="7" t="str">
        <x:v>ui 가중치 회수</x:v>
      </x:c>
      <x:c r="E1053" s="7" t="str">
        <x:v>via</x:v>
      </x:c>
      <x:c r="F1053" s="14" t="n">
        <x:v>12.983333333333333</x:v>
      </x:c>
      <x:c r="G1053" s="14" t="n">
        <x:v>13.133333333333333</x:v>
      </x:c>
      <x:c r="H1053" s="14" t="n">
        <x:v>0.15</x:v>
      </x:c>
      <x:c r="I1053" s="14" t="n">
        <x:v>-6</x:v>
      </x:c>
      <x:c r="J1053" s="7" t="str">
        <x:v>expand_ui_infer</x:v>
      </x:c>
      <x:c r="K1053" s="7" t="str">
        <x:v>visual</x:v>
      </x:c>
      <x:c r="L1053" s="14" t="n">
        <x:f>IF(G1053&lt;=I1053,0,MAX(0,L1052)+IF(E1053="via",MAX(0,G1053-MAX(F1053,I1053)),0))</x:f>
        <x:v>15.133333333333333</x:v>
      </x:c>
    </x:row>
    <x:row r="1054" ht="42" customHeight="1">
      <x:c r="A1054" s="12" t="str">
        <x:v>DP3-B-R1</x:v>
      </x:c>
      <x:c r="B1054" s="12" t="str">
        <x:v>U24</x:v>
      </x:c>
      <x:c r="C1054" s="12" t="str">
        <x:v>expand_sam_load</x:v>
      </x:c>
      <x:c r="D1054" s="12" t="str">
        <x:v>sam 모델 적재</x:v>
      </x:c>
      <x:c r="E1054" s="12" t="str">
        <x:v>via</x:v>
      </x:c>
      <x:c r="F1054" s="13" t="n">
        <x:v>13.133333333333333</x:v>
      </x:c>
      <x:c r="G1054" s="13" t="n">
        <x:v>13.783333333333333</x:v>
      </x:c>
      <x:c r="H1054" s="13" t="n">
        <x:v>0.65</x:v>
      </x:c>
      <x:c r="I1054" s="13" t="n">
        <x:v>-6</x:v>
      </x:c>
      <x:c r="J1054" s="12" t="str">
        <x:v>expand_ui_release, now_ui_boot</x:v>
      </x:c>
      <x:c r="K1054" s="12" t="str">
        <x:v>visual</x:v>
      </x:c>
      <x:c r="L1054" s="13" t="n">
        <x:f>IF(G1054&lt;=I1054,0,MAX(0,L1053,L1042)+IF(E1054="via",MAX(0,G1054-MAX(F1054,I1054)),0))</x:f>
        <x:v>15.783333333333333</x:v>
      </x:c>
    </x:row>
    <x:row r="1055" ht="42" customHeight="1">
      <x:c r="A1055" s="7" t="str">
        <x:v>DP3-B-R1</x:v>
      </x:c>
      <x:c r="B1055" s="7" t="str">
        <x:v>U24</x:v>
      </x:c>
      <x:c r="C1055" s="7" t="str">
        <x:v>expand_sam_infer</x:v>
      </x:c>
      <x:c r="D1055" s="7" t="str">
        <x:v>sam 후보 생산</x:v>
      </x:c>
      <x:c r="E1055" s="7" t="str">
        <x:v>via</x:v>
      </x:c>
      <x:c r="F1055" s="14" t="n">
        <x:v>13.783333333333333</x:v>
      </x:c>
      <x:c r="G1055" s="14" t="n">
        <x:v>15.833333333333332</x:v>
      </x:c>
      <x:c r="H1055" s="14" t="n">
        <x:v>2.05</x:v>
      </x:c>
      <x:c r="I1055" s="14" t="n">
        <x:v>-6</x:v>
      </x:c>
      <x:c r="J1055" s="7" t="str">
        <x:v>expand_sam_load</x:v>
      </x:c>
      <x:c r="K1055" s="7" t="str">
        <x:v>visual</x:v>
      </x:c>
      <x:c r="L1055" s="14" t="n">
        <x:f>IF(G1055&lt;=I1055,0,MAX(0,L1054)+IF(E1055="via",MAX(0,G1055-MAX(F1055,I1055)),0))</x:f>
        <x:v>17.833333333333332</x:v>
      </x:c>
    </x:row>
    <x:row r="1056" ht="42" customHeight="1">
      <x:c r="A1056" s="12" t="str">
        <x:v>DP3-B-R1</x:v>
      </x:c>
      <x:c r="B1056" s="12" t="str">
        <x:v>U24</x:v>
      </x:c>
      <x:c r="C1056" s="12" t="str">
        <x:v>expand_sam_release</x:v>
      </x:c>
      <x:c r="D1056" s="12" t="str">
        <x:v>sam 가중치 회수</x:v>
      </x:c>
      <x:c r="E1056" s="12" t="str">
        <x:v>via</x:v>
      </x:c>
      <x:c r="F1056" s="13" t="n">
        <x:v>15.833333333333332</x:v>
      </x:c>
      <x:c r="G1056" s="13" t="n">
        <x:v>15.983333333333333</x:v>
      </x:c>
      <x:c r="H1056" s="13" t="n">
        <x:v>0.15</x:v>
      </x:c>
      <x:c r="I1056" s="13" t="n">
        <x:v>-6</x:v>
      </x:c>
      <x:c r="J1056" s="12" t="str">
        <x:v>expand_sam_infer</x:v>
      </x:c>
      <x:c r="K1056" s="12" t="str">
        <x:v>visual</x:v>
      </x:c>
      <x:c r="L1056" s="13" t="n">
        <x:f>IF(G1056&lt;=I1056,0,MAX(0,L1055)+IF(E1056="via",MAX(0,G1056-MAX(F1056,I1056)),0))</x:f>
        <x:v>17.983333333333334</x:v>
      </x:c>
    </x:row>
    <x:row r="1057" ht="42" customHeight="1">
      <x:c r="A1057" s="7" t="str">
        <x:v>DP3-B-R1</x:v>
      </x:c>
      <x:c r="B1057" s="7" t="str">
        <x:v>U24</x:v>
      </x:c>
      <x:c r="C1057" s="7" t="str">
        <x:v>expanded_revision</x:v>
      </x:c>
      <x:c r="D1057" s="7" t="str">
        <x:v>확장 후보 revision 게시 및 결합 재개</x:v>
      </x:c>
      <x:c r="E1057" s="7" t="str">
        <x:v>via</x:v>
      </x:c>
      <x:c r="F1057" s="14" t="n">
        <x:v>15.983333333333333</x:v>
      </x:c>
      <x:c r="G1057" s="14" t="n">
        <x:v>16.013333333333332</x:v>
      </x:c>
      <x:c r="H1057" s="14" t="n">
        <x:v>0.03</x:v>
      </x:c>
      <x:c r="I1057" s="14" t="n">
        <x:v>-6</x:v>
      </x:c>
      <x:c r="J1057" s="7" t="str">
        <x:v>expand_sam_release</x:v>
      </x:c>
      <x:c r="K1057" s="7" t="str">
        <x:v>none</x:v>
      </x:c>
      <x:c r="L1057" s="14" t="n">
        <x:f>IF(G1057&lt;=I1057,0,MAX(0,L1056)+IF(E1057="via",MAX(0,G1057-MAX(F1057,I1057)),0))</x:f>
        <x:v>18.013333333333335</x:v>
      </x:c>
    </x:row>
    <x:row r="1058" ht="42" customHeight="1">
      <x:c r="A1058" s="12" t="str">
        <x:v>DP3-B-R1</x:v>
      </x:c>
      <x:c r="B1058" s="12" t="str">
        <x:v>U24</x:v>
      </x:c>
      <x:c r="C1058" s="12" t="str">
        <x:v>meaning</x:v>
      </x:c>
      <x:c r="D1058" s="12" t="str">
        <x:v>최초 요청 의미 채택 packet 생성</x:v>
      </x:c>
      <x:c r="E1058" s="12" t="str">
        <x:v>via</x:v>
      </x:c>
      <x:c r="F1058" s="13" t="n">
        <x:v>16.013333333333332</x:v>
      </x:c>
      <x:c r="G1058" s="13" t="n">
        <x:v>17.836666666666666</x:v>
      </x:c>
      <x:c r="H1058" s="13" t="n">
        <x:v>1.8233333333333335</x:v>
      </x:c>
      <x:c r="I1058" s="13" t="n">
        <x:v>-6</x:v>
      </x:c>
      <x:c r="J1058" s="12" t="str">
        <x:v>expanded_revision, bg1</x:v>
      </x:c>
      <x:c r="K1058" s="12" t="str">
        <x:v>semantic</x:v>
      </x:c>
      <x:c r="L1058" s="13" t="n">
        <x:f>IF(G1058&lt;=I1058,0,MAX(0,L1057,L1037)+IF(E1058="via",MAX(0,G1058-MAX(F1058,I1058)),0))</x:f>
        <x:v>19.83666666666667</x:v>
      </x:c>
    </x:row>
    <x:row r="1059" ht="42" customHeight="1">
      <x:c r="A1059" s="7" t="str">
        <x:v>DP3-B-R1</x:v>
      </x:c>
      <x:c r="B1059" s="7" t="str">
        <x:v>U24</x:v>
      </x:c>
      <x:c r="C1059" s="7" t="str">
        <x:v>adopt</x:v>
      </x:c>
      <x:c r="D1059" s="7" t="str">
        <x:v>현재 revision과 권한 검사 및 채택</x:v>
      </x:c>
      <x:c r="E1059" s="7" t="str">
        <x:v>via</x:v>
      </x:c>
      <x:c r="F1059" s="14" t="n">
        <x:v>17.836666666666666</x:v>
      </x:c>
      <x:c r="G1059" s="14" t="n">
        <x:v>17.866666666666667</x:v>
      </x:c>
      <x:c r="H1059" s="14" t="n">
        <x:v>0.03</x:v>
      </x:c>
      <x:c r="I1059" s="14" t="n">
        <x:v>-6</x:v>
      </x:c>
      <x:c r="J1059" s="7" t="str">
        <x:v>meaning</x:v>
      </x:c>
      <x:c r="K1059" s="7" t="str">
        <x:v>none</x:v>
      </x:c>
      <x:c r="L1059" s="14" t="n">
        <x:f>IF(G1059&lt;=I1059,0,MAX(0,L1058)+IF(E1059="via",MAX(0,G1059-MAX(F1059,I1059)),0))</x:f>
        <x:v>19.86666666666667</x:v>
      </x:c>
    </x:row>
    <x:row r="1060" ht="42" customHeight="1">
      <x:c r="A1060" s="12" t="str">
        <x:v>DP3-B-R1</x:v>
      </x:c>
      <x:c r="B1060" s="12" t="str">
        <x:v>U24</x:v>
      </x:c>
      <x:c r="C1060" s="12" t="str">
        <x:v>first_display</x:v>
      </x:c>
      <x:c r="D1060" s="12" t="str">
        <x:v>첫 구체적 채택 내용 화면 표시</x:v>
      </x:c>
      <x:c r="E1060" s="12" t="str">
        <x:v>via</x:v>
      </x:c>
      <x:c r="F1060" s="13" t="n">
        <x:v>17.866666666666667</x:v>
      </x:c>
      <x:c r="G1060" s="13" t="n">
        <x:v>17.906666666666666</x:v>
      </x:c>
      <x:c r="H1060" s="13" t="n">
        <x:v>0.04</x:v>
      </x:c>
      <x:c r="I1060" s="13" t="n">
        <x:v>-6</x:v>
      </x:c>
      <x:c r="J1060" s="12" t="str">
        <x:v>adopt</x:v>
      </x:c>
      <x:c r="K1060" s="12" t="str">
        <x:v>none</x:v>
      </x:c>
      <x:c r="L1060" s="13" t="n">
        <x:f>IF(G1060&lt;=I1060,0,MAX(0,L1059)+IF(E1060="via",MAX(0,G1060-MAX(F1060,I1060)),0))</x:f>
        <x:v>19.90666666666667</x:v>
      </x:c>
    </x:row>
    <x:row r="1061" ht="42" customHeight="1">
      <x:c r="A1061" s="7" t="str">
        <x:v>DP3-B-R1</x:v>
      </x:c>
      <x:c r="B1061" s="7" t="str">
        <x:v>U24</x:v>
      </x:c>
      <x:c r="C1061" s="7" t="str">
        <x:v>agent_ingress</x:v>
      </x:c>
      <x:c r="D1061" s="7" t="str">
        <x:v>Agent 요청 전송</x:v>
      </x:c>
      <x:c r="E1061" s="7" t="str">
        <x:v>via</x:v>
      </x:c>
      <x:c r="F1061" s="14" t="n">
        <x:v>17.866666666666667</x:v>
      </x:c>
      <x:c r="G1061" s="14" t="n">
        <x:v>17.906666666666666</x:v>
      </x:c>
      <x:c r="H1061" s="14" t="n">
        <x:v>0.04</x:v>
      </x:c>
      <x:c r="I1061" s="14" t="n">
        <x:v>-6</x:v>
      </x:c>
      <x:c r="J1061" s="7" t="str">
        <x:v>adopt</x:v>
      </x:c>
      <x:c r="K1061" s="7" t="str">
        <x:v>none</x:v>
      </x:c>
      <x:c r="L1061" s="14" t="n">
        <x:f>IF(G1061&lt;=I1061,0,MAX(0,L1059)+IF(E1061="via",MAX(0,G1061-MAX(F1061,I1061)),0))</x:f>
        <x:v>19.90666666666667</x:v>
      </x:c>
    </x:row>
    <x:row r="1062" ht="42" customHeight="1">
      <x:c r="A1062" s="12" t="str">
        <x:v>DP3-B-R1</x:v>
      </x:c>
      <x:c r="B1062" s="12" t="str">
        <x:v>U24</x:v>
      </x:c>
      <x:c r="C1062" s="12" t="str">
        <x:v>agent_result</x:v>
      </x:c>
      <x:c r="D1062" s="12" t="str">
        <x:v>외부 Agent 업무</x:v>
      </x:c>
      <x:c r="E1062" s="12" t="str">
        <x:v>external</x:v>
      </x:c>
      <x:c r="F1062" s="13" t="n">
        <x:v>17.906666666666666</x:v>
      </x:c>
      <x:c r="G1062" s="13" t="n">
        <x:v>25.906666666666666</x:v>
      </x:c>
      <x:c r="H1062" s="13" t="n">
        <x:v>8</x:v>
      </x:c>
      <x:c r="I1062" s="13" t="n">
        <x:v>-6</x:v>
      </x:c>
      <x:c r="J1062" s="12" t="str">
        <x:v>agent_ingress</x:v>
      </x:c>
      <x:c r="K1062" s="12" t="str">
        <x:v>none</x:v>
      </x:c>
      <x:c r="L1062" s="13" t="n">
        <x:f>IF(G1062&lt;=I1062,0,MAX(0,L1061)+IF(E1062="via",MAX(0,G1062-MAX(F1062,I1062)),0))</x:f>
        <x:v>19.90666666666667</x:v>
      </x:c>
    </x:row>
    <x:row r="1063" ht="42" customHeight="1">
      <x:c r="A1063" s="7" t="str">
        <x:v>DP3-B-R1</x:v>
      </x:c>
      <x:c r="B1063" s="7" t="str">
        <x:v>U24</x:v>
      </x:c>
      <x:c r="C1063" s="7" t="str">
        <x:v>result_display</x:v>
      </x:c>
      <x:c r="D1063" s="7" t="str">
        <x:v>최종 결과 상세 표시</x:v>
      </x:c>
      <x:c r="E1063" s="7" t="str">
        <x:v>via</x:v>
      </x:c>
      <x:c r="F1063" s="14" t="n">
        <x:v>25.906666666666666</x:v>
      </x:c>
      <x:c r="G1063" s="14" t="n">
        <x:v>25.946666666666665</x:v>
      </x:c>
      <x:c r="H1063" s="14" t="n">
        <x:v>0.04</x:v>
      </x:c>
      <x:c r="I1063" s="14" t="n">
        <x:v>-6</x:v>
      </x:c>
      <x:c r="J1063" s="7" t="str">
        <x:v>agent_result</x:v>
      </x:c>
      <x:c r="K1063" s="7" t="str">
        <x:v>none</x:v>
      </x:c>
      <x:c r="L1063" s="14" t="n">
        <x:f>IF(G1063&lt;=I1063,0,MAX(0,L1062)+IF(E1063="via",MAX(0,G1063-MAX(F1063,I1063)),0))</x:f>
        <x:v>19.94666666666667</x:v>
      </x:c>
    </x:row>
    <x:row r="1064" ht="42" customHeight="1">
      <x:c r="A1064" s="12" t="str">
        <x:v>DP3-B-R1</x:v>
      </x:c>
      <x:c r="B1064" s="12" t="str">
        <x:v>U24</x:v>
      </x:c>
      <x:c r="C1064" s="12" t="str">
        <x:v>response_audio</x:v>
      </x:c>
      <x:c r="D1064" s="12" t="str">
        <x:v>선택한 응답 음성 생성</x:v>
      </x:c>
      <x:c r="E1064" s="12" t="str">
        <x:v>via</x:v>
      </x:c>
      <x:c r="F1064" s="13" t="n">
        <x:v>25.906666666666666</x:v>
      </x:c>
      <x:c r="G1064" s="13" t="n">
        <x:v>27.794666666666664</x:v>
      </x:c>
      <x:c r="H1064" s="13" t="n">
        <x:v>1.888</x:v>
      </x:c>
      <x:c r="I1064" s="13" t="n">
        <x:v>-6</x:v>
      </x:c>
      <x:c r="J1064" s="12" t="str">
        <x:v>agent_result</x:v>
      </x:c>
      <x:c r="K1064" s="12" t="str">
        <x:v>speech</x:v>
      </x:c>
      <x:c r="L1064" s="13" t="n">
        <x:f>IF(G1064&lt;=I1064,0,MAX(0,L1062)+IF(E1064="via",MAX(0,G1064-MAX(F1064,I1064)),0))</x:f>
        <x:v>21.794666666666668</x:v>
      </x:c>
    </x:row>
    <x:row r="1065" ht="42" customHeight="1">
      <x:c r="A1065" s="7" t="str">
        <x:v>DP3-B-R1</x:v>
      </x:c>
      <x:c r="B1065" s="7" t="str">
        <x:v>U24</x:v>
      </x:c>
      <x:c r="C1065" s="7" t="str">
        <x:v>intent_audio</x:v>
      </x:c>
      <x:c r="D1065" s="7" t="str">
        <x:v>채택한 구체적 수행 의도의 짧은 음성</x:v>
      </x:c>
      <x:c r="E1065" s="7" t="str">
        <x:v>via</x:v>
      </x:c>
      <x:c r="F1065" s="14" t="n">
        <x:v>17.866666666666667</x:v>
      </x:c>
      <x:c r="G1065" s="14" t="n">
        <x:v>19.000666666666667</x:v>
      </x:c>
      <x:c r="H1065" s="14" t="n">
        <x:v>1.134</x:v>
      </x:c>
      <x:c r="I1065" s="14" t="n">
        <x:v>-6</x:v>
      </x:c>
      <x:c r="J1065" s="7" t="str">
        <x:v>adopt</x:v>
      </x:c>
      <x:c r="K1065" s="7" t="str">
        <x:v>speech</x:v>
      </x:c>
      <x:c r="L1065" s="14" t="n">
        <x:f>IF(G1065&lt;=I1065,0,MAX(0,L1059)+IF(E1065="via",MAX(0,G1065-MAX(F1065,I1065)),0))</x:f>
        <x:v>21.00066666666667</x:v>
      </x:c>
    </x:row>
    <x:row r="1066" ht="42" customHeight="1">
      <x:c r="A1066" s="12" t="str">
        <x:v>DP3-B-R1</x:v>
      </x:c>
      <x:c r="B1066" s="12" t="str">
        <x:v>U24</x:v>
      </x:c>
      <x:c r="C1066" s="12" t="str">
        <x:v>first_chunk</x:v>
      </x:c>
      <x:c r="D1066" s="12" t="str">
        <x:v>같은 생성 job의 유효 첫 chunk 관측</x:v>
      </x:c>
      <x:c r="E1066" s="12" t="str">
        <x:v>via</x:v>
      </x:c>
      <x:c r="F1066" s="13" t="n">
        <x:v>17.866666666666667</x:v>
      </x:c>
      <x:c r="G1066" s="13" t="n">
        <x:v>18.300666666666668</x:v>
      </x:c>
      <x:c r="H1066" s="13" t="n">
        <x:v>0.434</x:v>
      </x:c>
      <x:c r="I1066" s="13" t="n">
        <x:v>-6</x:v>
      </x:c>
      <x:c r="J1066" s="12" t="str">
        <x:v>adopt</x:v>
      </x:c>
      <x:c r="K1066" s="12" t="str">
        <x:v>none</x:v>
      </x:c>
      <x:c r="L1066" s="13" t="n">
        <x:f>IF(G1066&lt;=I1066,0,MAX(0,L1059)+IF(E1066="via",MAX(0,G1066-MAX(F1066,I1066)),0))</x:f>
        <x:v>20.30066666666667</x:v>
      </x:c>
    </x:row>
    <x:row r="1067" ht="42" customHeight="1">
      <x:c r="A1067" s="7" t="str">
        <x:v>DP3-B-R1</x:v>
      </x:c>
      <x:c r="B1067" s="7" t="str">
        <x:v>U24</x:v>
      </x:c>
      <x:c r="C1067" s="7" t="str">
        <x:v>first_audio_output</x:v>
      </x:c>
      <x:c r="D1067" s="7" t="str">
        <x:v>공통 장치의 첫 음성 출력</x:v>
      </x:c>
      <x:c r="E1067" s="7" t="str">
        <x:v>via</x:v>
      </x:c>
      <x:c r="F1067" s="14" t="n">
        <x:v>18.300666666666668</x:v>
      </x:c>
      <x:c r="G1067" s="14" t="n">
        <x:v>18.340666666666667</x:v>
      </x:c>
      <x:c r="H1067" s="14" t="n">
        <x:v>0.04</x:v>
      </x:c>
      <x:c r="I1067" s="14" t="n">
        <x:v>-6</x:v>
      </x:c>
      <x:c r="J1067" s="7" t="str">
        <x:v>adopt, first_chunk</x:v>
      </x:c>
      <x:c r="K1067" s="7" t="str">
        <x:v>none</x:v>
      </x:c>
      <x:c r="L1067" s="14" t="n">
        <x:f>IF(G1067&lt;=I1067,0,MAX(0,L1059,L1066)+IF(E1067="via",MAX(0,G1067-MAX(F1067,I1067)),0))</x:f>
        <x:v>20.34066666666667</x:v>
      </x:c>
    </x:row>
    <x:row r="1068" ht="42" customHeight="1">
      <x:c r="A1068" s="12" t="str">
        <x:v>DP3-B-R1</x:v>
      </x:c>
      <x:c r="B1068" s="12" t="str">
        <x:v>U24</x:v>
      </x:c>
      <x:c r="C1068" s="12" t="str">
        <x:v>next_speech_selection</x:v>
      </x:c>
      <x:c r="D1068" s="12" t="str">
        <x:v>현재 발화 재생 후 다음 응답 선택</x:v>
      </x:c>
      <x:c r="E1068" s="12" t="str">
        <x:v>external</x:v>
      </x:c>
      <x:c r="F1068" s="13" t="n">
        <x:v>18.340666666666667</x:v>
      </x:c>
      <x:c r="G1068" s="13" t="n">
        <x:v>21.340666666666667</x:v>
      </x:c>
      <x:c r="H1068" s="13" t="n">
        <x:v>3</x:v>
      </x:c>
      <x:c r="I1068" s="13" t="n">
        <x:v>-6</x:v>
      </x:c>
      <x:c r="J1068" s="12" t="str">
        <x:v>first_audio_output</x:v>
      </x:c>
      <x:c r="K1068" s="12" t="str">
        <x:v>none</x:v>
      </x:c>
      <x:c r="L1068" s="13" t="n">
        <x:f>IF(G1068&lt;=I1068,0,MAX(0,L1067)+IF(E1068="via",MAX(0,G1068-MAX(F1068,I1068)),0))</x:f>
        <x:v>20.34066666666667</x:v>
      </x:c>
    </x:row>
    <x:row r="1069" ht="42" customHeight="1">
      <x:c r="A1069" s="7" t="str">
        <x:v>DP3-B-R1</x:v>
      </x:c>
      <x:c r="B1069" s="7" t="str">
        <x:v>U24</x:v>
      </x:c>
      <x:c r="C1069" s="7" t="str">
        <x:v>terminal</x:v>
      </x:c>
      <x:c r="D1069" s="7" t="str">
        <x:v>공통 목표 최종 상태와 전체 음성 준비</x:v>
      </x:c>
      <x:c r="E1069" s="7" t="str">
        <x:v>via</x:v>
      </x:c>
      <x:c r="F1069" s="14" t="n">
        <x:v>27.794666666666664</x:v>
      </x:c>
      <x:c r="G1069" s="14" t="n">
        <x:v>27.794666666666664</x:v>
      </x:c>
      <x:c r="H1069" s="14" t="n">
        <x:v>0</x:v>
      </x:c>
      <x:c r="I1069" s="14" t="n">
        <x:v>-6</x:v>
      </x:c>
      <x:c r="J1069" s="7" t="str">
        <x:v>result_display, response_audio, intent_audio, first_audio_output</x:v>
      </x:c>
      <x:c r="K1069" s="7" t="str">
        <x:v>none</x:v>
      </x:c>
      <x:c r="L1069" s="14" t="n">
        <x:f>IF(G1069&lt;=I1069,0,MAX(0,L1063,L1064,L1065,L1067)+IF(E1069="via",MAX(0,G1069-MAX(F1069,I1069)),0))</x:f>
        <x:v>21.794666666666668</x:v>
      </x:c>
    </x:row>
    <x:row r="1070" ht="42" customHeight="1">
      <x:c r="A1070" s="12" t="str">
        <x:v>DP3-B-R2</x:v>
      </x:c>
      <x:c r="B1070" s="12" t="str">
        <x:v>U01</x:v>
      </x:c>
      <x:c r="C1070" s="12" t="str">
        <x:v>input_end</x:v>
      </x:c>
      <x:c r="D1070" s="12" t="str">
        <x:v>사용자 입력 종료</x:v>
      </x:c>
      <x:c r="E1070" s="12" t="str">
        <x:v>external</x:v>
      </x:c>
      <x:c r="F1070" s="13" t="n">
        <x:v>0</x:v>
      </x:c>
      <x:c r="G1070" s="13" t="n">
        <x:v>0</x:v>
      </x:c>
      <x:c r="H1070" s="13" t="n">
        <x:v>0</x:v>
      </x:c>
      <x:c r="I1070" s="13" t="n">
        <x:v>0</x:v>
      </x:c>
      <x:c r="J1070" s="12" t="str"/>
      <x:c r="K1070" s="12" t="str">
        <x:v>none</x:v>
      </x:c>
      <x:c r="L1070" s="13" t="n">
        <x:f>IF(G1070&lt;=I1070,0,MAX(0)+IF(E1070="via",MAX(0,G1070-MAX(F1070,I1070)),0))</x:f>
        <x:v>0</x:v>
      </x:c>
    </x:row>
    <x:row r="1071" ht="42" customHeight="1">
      <x:c r="A1071" s="7" t="str">
        <x:v>DP3-B-R2</x:v>
      </x:c>
      <x:c r="B1071" s="7" t="str">
        <x:v>U01</x:v>
      </x:c>
      <x:c r="C1071" s="7" t="str">
        <x:v>intake</x:v>
      </x:c>
      <x:c r="D1071" s="7" t="str">
        <x:v>입력 확정</x:v>
      </x:c>
      <x:c r="E1071" s="7" t="str">
        <x:v>via</x:v>
      </x:c>
      <x:c r="F1071" s="14" t="n">
        <x:v>0</x:v>
      </x:c>
      <x:c r="G1071" s="14" t="n">
        <x:v>0.06</x:v>
      </x:c>
      <x:c r="H1071" s="14" t="n">
        <x:v>0.06</x:v>
      </x:c>
      <x:c r="I1071" s="14" t="n">
        <x:v>0</x:v>
      </x:c>
      <x:c r="J1071" s="7" t="str">
        <x:v>input_end</x:v>
      </x:c>
      <x:c r="K1071" s="7" t="str">
        <x:v>none</x:v>
      </x:c>
      <x:c r="L1071" s="14" t="n">
        <x:f>IF(G1071&lt;=I1071,0,MAX(0,L1070)+IF(E1071="via",MAX(0,G1071-MAX(F1071,I1071)),0))</x:f>
        <x:v>0.06</x:v>
      </x:c>
    </x:row>
    <x:row r="1072" ht="42" customHeight="1">
      <x:c r="A1072" s="12" t="str">
        <x:v>DP3-B-R2</x:v>
      </x:c>
      <x:c r="B1072" s="12" t="str">
        <x:v>U01</x:v>
      </x:c>
      <x:c r="C1072" s="12" t="str">
        <x:v>read</x:v>
      </x:c>
      <x:c r="D1072" s="12" t="str">
        <x:v>공통 허용 원본 조회</x:v>
      </x:c>
      <x:c r="E1072" s="12" t="str">
        <x:v>via</x:v>
      </x:c>
      <x:c r="F1072" s="13" t="n">
        <x:v>0.06</x:v>
      </x:c>
      <x:c r="G1072" s="13" t="n">
        <x:v>0.14</x:v>
      </x:c>
      <x:c r="H1072" s="13" t="n">
        <x:v>0.08</x:v>
      </x:c>
      <x:c r="I1072" s="13" t="n">
        <x:v>0</x:v>
      </x:c>
      <x:c r="J1072" s="12" t="str">
        <x:v>intake</x:v>
      </x:c>
      <x:c r="K1072" s="12" t="str">
        <x:v>none</x:v>
      </x:c>
      <x:c r="L1072" s="13" t="n">
        <x:f>IF(G1072&lt;=I1072,0,MAX(0,L1071)+IF(E1072="via",MAX(0,G1072-MAX(F1072,I1072)),0))</x:f>
        <x:v>0.14</x:v>
      </x:c>
    </x:row>
    <x:row r="1073" ht="42" customHeight="1">
      <x:c r="A1073" s="7" t="str">
        <x:v>DP3-B-R2</x:v>
      </x:c>
      <x:c r="B1073" s="7" t="str">
        <x:v>U01</x:v>
      </x:c>
      <x:c r="C1073" s="7" t="str">
        <x:v>meaning</x:v>
      </x:c>
      <x:c r="D1073" s="7" t="str">
        <x:v>최초 요청 의미 채택 packet 생성</x:v>
      </x:c>
      <x:c r="E1073" s="7" t="str">
        <x:v>via</x:v>
      </x:c>
      <x:c r="F1073" s="14" t="n">
        <x:v>0.14</x:v>
      </x:c>
      <x:c r="G1073" s="14" t="n">
        <x:v>1.2400000000000002</x:v>
      </x:c>
      <x:c r="H1073" s="14" t="n">
        <x:v>1.1</x:v>
      </x:c>
      <x:c r="I1073" s="14" t="n">
        <x:v>0</x:v>
      </x:c>
      <x:c r="J1073" s="7" t="str">
        <x:v>read</x:v>
      </x:c>
      <x:c r="K1073" s="7" t="str">
        <x:v>semantic</x:v>
      </x:c>
      <x:c r="L1073" s="14" t="n">
        <x:f>IF(G1073&lt;=I1073,0,MAX(0,L1072)+IF(E1073="via",MAX(0,G1073-MAX(F1073,I1073)),0))</x:f>
        <x:v>1.2400000000000002</x:v>
      </x:c>
    </x:row>
    <x:row r="1074" ht="42" customHeight="1">
      <x:c r="A1074" s="12" t="str">
        <x:v>DP3-B-R2</x:v>
      </x:c>
      <x:c r="B1074" s="12" t="str">
        <x:v>U01</x:v>
      </x:c>
      <x:c r="C1074" s="12" t="str">
        <x:v>adopt</x:v>
      </x:c>
      <x:c r="D1074" s="12" t="str">
        <x:v>현재 revision과 권한 검사 및 채택</x:v>
      </x:c>
      <x:c r="E1074" s="12" t="str">
        <x:v>via</x:v>
      </x:c>
      <x:c r="F1074" s="13" t="n">
        <x:v>1.2400000000000002</x:v>
      </x:c>
      <x:c r="G1074" s="13" t="n">
        <x:v>1.2700000000000002</x:v>
      </x:c>
      <x:c r="H1074" s="13" t="n">
        <x:v>0.03</x:v>
      </x:c>
      <x:c r="I1074" s="13" t="n">
        <x:v>0</x:v>
      </x:c>
      <x:c r="J1074" s="12" t="str">
        <x:v>meaning</x:v>
      </x:c>
      <x:c r="K1074" s="12" t="str">
        <x:v>none</x:v>
      </x:c>
      <x:c r="L1074" s="13" t="n">
        <x:f>IF(G1074&lt;=I1074,0,MAX(0,L1073)+IF(E1074="via",MAX(0,G1074-MAX(F1074,I1074)),0))</x:f>
        <x:v>1.2700000000000002</x:v>
      </x:c>
    </x:row>
    <x:row r="1075" ht="42" customHeight="1">
      <x:c r="A1075" s="7" t="str">
        <x:v>DP3-B-R2</x:v>
      </x:c>
      <x:c r="B1075" s="7" t="str">
        <x:v>U01</x:v>
      </x:c>
      <x:c r="C1075" s="7" t="str">
        <x:v>first_display</x:v>
      </x:c>
      <x:c r="D1075" s="7" t="str">
        <x:v>첫 구체적 채택 내용 화면 표시</x:v>
      </x:c>
      <x:c r="E1075" s="7" t="str">
        <x:v>via</x:v>
      </x:c>
      <x:c r="F1075" s="14" t="n">
        <x:v>1.2700000000000002</x:v>
      </x:c>
      <x:c r="G1075" s="14" t="n">
        <x:v>1.3100000000000003</x:v>
      </x:c>
      <x:c r="H1075" s="14" t="n">
        <x:v>0.04</x:v>
      </x:c>
      <x:c r="I1075" s="14" t="n">
        <x:v>0</x:v>
      </x:c>
      <x:c r="J1075" s="7" t="str">
        <x:v>adopt</x:v>
      </x:c>
      <x:c r="K1075" s="7" t="str">
        <x:v>none</x:v>
      </x:c>
      <x:c r="L1075" s="14" t="n">
        <x:f>IF(G1075&lt;=I1075,0,MAX(0,L1074)+IF(E1075="via",MAX(0,G1075-MAX(F1075,I1075)),0))</x:f>
        <x:v>1.3100000000000003</x:v>
      </x:c>
    </x:row>
    <x:row r="1076" ht="42" customHeight="1">
      <x:c r="A1076" s="12" t="str">
        <x:v>DP3-B-R2</x:v>
      </x:c>
      <x:c r="B1076" s="12" t="str">
        <x:v>U01</x:v>
      </x:c>
      <x:c r="C1076" s="12" t="str">
        <x:v>response_audio</x:v>
      </x:c>
      <x:c r="D1076" s="12" t="str">
        <x:v>선택한 응답 음성 생성</x:v>
      </x:c>
      <x:c r="E1076" s="12" t="str">
        <x:v>via</x:v>
      </x:c>
      <x:c r="F1076" s="13" t="n">
        <x:v>1.2700000000000002</x:v>
      </x:c>
      <x:c r="G1076" s="13" t="n">
        <x:v>3.1580000000000004</x:v>
      </x:c>
      <x:c r="H1076" s="13" t="n">
        <x:v>1.888</x:v>
      </x:c>
      <x:c r="I1076" s="13" t="n">
        <x:v>0</x:v>
      </x:c>
      <x:c r="J1076" s="12" t="str">
        <x:v>adopt</x:v>
      </x:c>
      <x:c r="K1076" s="12" t="str">
        <x:v>speech</x:v>
      </x:c>
      <x:c r="L1076" s="13" t="n">
        <x:f>IF(G1076&lt;=I1076,0,MAX(0,L1074)+IF(E1076="via",MAX(0,G1076-MAX(F1076,I1076)),0))</x:f>
        <x:v>3.1580000000000004</x:v>
      </x:c>
    </x:row>
    <x:row r="1077" ht="42" customHeight="1">
      <x:c r="A1077" s="7" t="str">
        <x:v>DP3-B-R2</x:v>
      </x:c>
      <x:c r="B1077" s="7" t="str">
        <x:v>U01</x:v>
      </x:c>
      <x:c r="C1077" s="7" t="str">
        <x:v>first_chunk</x:v>
      </x:c>
      <x:c r="D1077" s="7" t="str">
        <x:v>같은 생성 job의 유효 첫 chunk 관측</x:v>
      </x:c>
      <x:c r="E1077" s="7" t="str">
        <x:v>via</x:v>
      </x:c>
      <x:c r="F1077" s="14" t="n">
        <x:v>1.2700000000000002</x:v>
      </x:c>
      <x:c r="G1077" s="14" t="n">
        <x:v>1.7080000000000002</x:v>
      </x:c>
      <x:c r="H1077" s="14" t="n">
        <x:v>0.438</x:v>
      </x:c>
      <x:c r="I1077" s="14" t="n">
        <x:v>0</x:v>
      </x:c>
      <x:c r="J1077" s="7" t="str">
        <x:v>adopt</x:v>
      </x:c>
      <x:c r="K1077" s="7" t="str">
        <x:v>none</x:v>
      </x:c>
      <x:c r="L1077" s="14" t="n">
        <x:f>IF(G1077&lt;=I1077,0,MAX(0,L1074)+IF(E1077="via",MAX(0,G1077-MAX(F1077,I1077)),0))</x:f>
        <x:v>1.7080000000000002</x:v>
      </x:c>
    </x:row>
    <x:row r="1078" ht="42" customHeight="1">
      <x:c r="A1078" s="12" t="str">
        <x:v>DP3-B-R2</x:v>
      </x:c>
      <x:c r="B1078" s="12" t="str">
        <x:v>U01</x:v>
      </x:c>
      <x:c r="C1078" s="12" t="str">
        <x:v>first_audio_output</x:v>
      </x:c>
      <x:c r="D1078" s="12" t="str">
        <x:v>공통 장치의 첫 음성 출력</x:v>
      </x:c>
      <x:c r="E1078" s="12" t="str">
        <x:v>via</x:v>
      </x:c>
      <x:c r="F1078" s="13" t="n">
        <x:v>1.7080000000000002</x:v>
      </x:c>
      <x:c r="G1078" s="13" t="n">
        <x:v>1.7480000000000002</x:v>
      </x:c>
      <x:c r="H1078" s="13" t="n">
        <x:v>0.04</x:v>
      </x:c>
      <x:c r="I1078" s="13" t="n">
        <x:v>0</x:v>
      </x:c>
      <x:c r="J1078" s="12" t="str">
        <x:v>adopt, first_chunk</x:v>
      </x:c>
      <x:c r="K1078" s="12" t="str">
        <x:v>none</x:v>
      </x:c>
      <x:c r="L1078" s="13" t="n">
        <x:f>IF(G1078&lt;=I1078,0,MAX(0,L1074,L1077)+IF(E1078="via",MAX(0,G1078-MAX(F1078,I1078)),0))</x:f>
        <x:v>1.7480000000000002</x:v>
      </x:c>
    </x:row>
    <x:row r="1079" ht="42" customHeight="1">
      <x:c r="A1079" s="7" t="str">
        <x:v>DP3-B-R2</x:v>
      </x:c>
      <x:c r="B1079" s="7" t="str">
        <x:v>U01</x:v>
      </x:c>
      <x:c r="C1079" s="7" t="str">
        <x:v>terminal</x:v>
      </x:c>
      <x:c r="D1079" s="7" t="str">
        <x:v>공통 목표 최종 상태와 전체 음성 준비</x:v>
      </x:c>
      <x:c r="E1079" s="7" t="str">
        <x:v>via</x:v>
      </x:c>
      <x:c r="F1079" s="14" t="n">
        <x:v>3.1580000000000004</x:v>
      </x:c>
      <x:c r="G1079" s="14" t="n">
        <x:v>3.1580000000000004</x:v>
      </x:c>
      <x:c r="H1079" s="14" t="n">
        <x:v>0</x:v>
      </x:c>
      <x:c r="I1079" s="14" t="n">
        <x:v>0</x:v>
      </x:c>
      <x:c r="J1079" s="7" t="str">
        <x:v>first_display, response_audio, first_audio_output</x:v>
      </x:c>
      <x:c r="K1079" s="7" t="str">
        <x:v>none</x:v>
      </x:c>
      <x:c r="L1079" s="14" t="n">
        <x:f>IF(G1079&lt;=I1079,0,MAX(0,L1075,L1076,L1078)+IF(E1079="via",MAX(0,G1079-MAX(F1079,I1079)),0))</x:f>
        <x:v>3.1580000000000004</x:v>
      </x:c>
    </x:row>
    <x:row r="1080" ht="42" customHeight="1">
      <x:c r="A1080" s="12" t="str">
        <x:v>DP3-B-R2</x:v>
      </x:c>
      <x:c r="B1080" s="12" t="str">
        <x:v>U02</x:v>
      </x:c>
      <x:c r="C1080" s="12" t="str">
        <x:v>input_end</x:v>
      </x:c>
      <x:c r="D1080" s="12" t="str">
        <x:v>사용자 입력 종료</x:v>
      </x:c>
      <x:c r="E1080" s="12" t="str">
        <x:v>external</x:v>
      </x:c>
      <x:c r="F1080" s="13" t="n">
        <x:v>0</x:v>
      </x:c>
      <x:c r="G1080" s="13" t="n">
        <x:v>0</x:v>
      </x:c>
      <x:c r="H1080" s="13" t="n">
        <x:v>0</x:v>
      </x:c>
      <x:c r="I1080" s="13" t="n">
        <x:v>0</x:v>
      </x:c>
      <x:c r="J1080" s="12" t="str"/>
      <x:c r="K1080" s="12" t="str">
        <x:v>none</x:v>
      </x:c>
      <x:c r="L1080" s="13" t="n">
        <x:f>IF(G1080&lt;=I1080,0,MAX(0)+IF(E1080="via",MAX(0,G1080-MAX(F1080,I1080)),0))</x:f>
        <x:v>0</x:v>
      </x:c>
    </x:row>
    <x:row r="1081" ht="42" customHeight="1">
      <x:c r="A1081" s="7" t="str">
        <x:v>DP3-B-R2</x:v>
      </x:c>
      <x:c r="B1081" s="7" t="str">
        <x:v>U02</x:v>
      </x:c>
      <x:c r="C1081" s="7" t="str">
        <x:v>intake</x:v>
      </x:c>
      <x:c r="D1081" s="7" t="str">
        <x:v>입력 확정</x:v>
      </x:c>
      <x:c r="E1081" s="7" t="str">
        <x:v>via</x:v>
      </x:c>
      <x:c r="F1081" s="14" t="n">
        <x:v>0</x:v>
      </x:c>
      <x:c r="G1081" s="14" t="n">
        <x:v>0.3</x:v>
      </x:c>
      <x:c r="H1081" s="14" t="n">
        <x:v>0.3</x:v>
      </x:c>
      <x:c r="I1081" s="14" t="n">
        <x:v>0</x:v>
      </x:c>
      <x:c r="J1081" s="7" t="str">
        <x:v>input_end</x:v>
      </x:c>
      <x:c r="K1081" s="7" t="str">
        <x:v>none</x:v>
      </x:c>
      <x:c r="L1081" s="14" t="n">
        <x:f>IF(G1081&lt;=I1081,0,MAX(0,L1080)+IF(E1081="via",MAX(0,G1081-MAX(F1081,I1081)),0))</x:f>
        <x:v>0.3</x:v>
      </x:c>
    </x:row>
    <x:row r="1082" ht="42" customHeight="1">
      <x:c r="A1082" s="12" t="str">
        <x:v>DP3-B-R2</x:v>
      </x:c>
      <x:c r="B1082" s="12" t="str">
        <x:v>U02</x:v>
      </x:c>
      <x:c r="C1082" s="12" t="str">
        <x:v>read</x:v>
      </x:c>
      <x:c r="D1082" s="12" t="str">
        <x:v>공통 허용 원본 조회</x:v>
      </x:c>
      <x:c r="E1082" s="12" t="str">
        <x:v>via</x:v>
      </x:c>
      <x:c r="F1082" s="13" t="n">
        <x:v>0.3</x:v>
      </x:c>
      <x:c r="G1082" s="13" t="n">
        <x:v>0.38</x:v>
      </x:c>
      <x:c r="H1082" s="13" t="n">
        <x:v>0.08</x:v>
      </x:c>
      <x:c r="I1082" s="13" t="n">
        <x:v>0</x:v>
      </x:c>
      <x:c r="J1082" s="12" t="str">
        <x:v>intake</x:v>
      </x:c>
      <x:c r="K1082" s="12" t="str">
        <x:v>none</x:v>
      </x:c>
      <x:c r="L1082" s="13" t="n">
        <x:f>IF(G1082&lt;=I1082,0,MAX(0,L1081)+IF(E1082="via",MAX(0,G1082-MAX(F1082,I1082)),0))</x:f>
        <x:v>0.38</x:v>
      </x:c>
    </x:row>
    <x:row r="1083" ht="42" customHeight="1">
      <x:c r="A1083" s="7" t="str">
        <x:v>DP3-B-R2</x:v>
      </x:c>
      <x:c r="B1083" s="7" t="str">
        <x:v>U02</x:v>
      </x:c>
      <x:c r="C1083" s="7" t="str">
        <x:v>meaning</x:v>
      </x:c>
      <x:c r="D1083" s="7" t="str">
        <x:v>최초 요청 의미 채택 packet 생성</x:v>
      </x:c>
      <x:c r="E1083" s="7" t="str">
        <x:v>via</x:v>
      </x:c>
      <x:c r="F1083" s="14" t="n">
        <x:v>0.38</x:v>
      </x:c>
      <x:c r="G1083" s="14" t="n">
        <x:v>1.48</x:v>
      </x:c>
      <x:c r="H1083" s="14" t="n">
        <x:v>1.1</x:v>
      </x:c>
      <x:c r="I1083" s="14" t="n">
        <x:v>0</x:v>
      </x:c>
      <x:c r="J1083" s="7" t="str">
        <x:v>read</x:v>
      </x:c>
      <x:c r="K1083" s="7" t="str">
        <x:v>semantic</x:v>
      </x:c>
      <x:c r="L1083" s="14" t="n">
        <x:f>IF(G1083&lt;=I1083,0,MAX(0,L1082)+IF(E1083="via",MAX(0,G1083-MAX(F1083,I1083)),0))</x:f>
        <x:v>1.48</x:v>
      </x:c>
    </x:row>
    <x:row r="1084" ht="42" customHeight="1">
      <x:c r="A1084" s="12" t="str">
        <x:v>DP3-B-R2</x:v>
      </x:c>
      <x:c r="B1084" s="12" t="str">
        <x:v>U02</x:v>
      </x:c>
      <x:c r="C1084" s="12" t="str">
        <x:v>adopt</x:v>
      </x:c>
      <x:c r="D1084" s="12" t="str">
        <x:v>현재 revision과 권한 검사 및 채택</x:v>
      </x:c>
      <x:c r="E1084" s="12" t="str">
        <x:v>via</x:v>
      </x:c>
      <x:c r="F1084" s="13" t="n">
        <x:v>1.48</x:v>
      </x:c>
      <x:c r="G1084" s="13" t="n">
        <x:v>1.51</x:v>
      </x:c>
      <x:c r="H1084" s="13" t="n">
        <x:v>0.03</x:v>
      </x:c>
      <x:c r="I1084" s="13" t="n">
        <x:v>0</x:v>
      </x:c>
      <x:c r="J1084" s="12" t="str">
        <x:v>meaning</x:v>
      </x:c>
      <x:c r="K1084" s="12" t="str">
        <x:v>none</x:v>
      </x:c>
      <x:c r="L1084" s="13" t="n">
        <x:f>IF(G1084&lt;=I1084,0,MAX(0,L1083)+IF(E1084="via",MAX(0,G1084-MAX(F1084,I1084)),0))</x:f>
        <x:v>1.51</x:v>
      </x:c>
    </x:row>
    <x:row r="1085" ht="42" customHeight="1">
      <x:c r="A1085" s="7" t="str">
        <x:v>DP3-B-R2</x:v>
      </x:c>
      <x:c r="B1085" s="7" t="str">
        <x:v>U02</x:v>
      </x:c>
      <x:c r="C1085" s="7" t="str">
        <x:v>first_display</x:v>
      </x:c>
      <x:c r="D1085" s="7" t="str">
        <x:v>첫 구체적 채택 내용 화면 표시</x:v>
      </x:c>
      <x:c r="E1085" s="7" t="str">
        <x:v>via</x:v>
      </x:c>
      <x:c r="F1085" s="14" t="n">
        <x:v>1.51</x:v>
      </x:c>
      <x:c r="G1085" s="14" t="n">
        <x:v>1.55</x:v>
      </x:c>
      <x:c r="H1085" s="14" t="n">
        <x:v>0.04</x:v>
      </x:c>
      <x:c r="I1085" s="14" t="n">
        <x:v>0</x:v>
      </x:c>
      <x:c r="J1085" s="7" t="str">
        <x:v>adopt</x:v>
      </x:c>
      <x:c r="K1085" s="7" t="str">
        <x:v>none</x:v>
      </x:c>
      <x:c r="L1085" s="14" t="n">
        <x:f>IF(G1085&lt;=I1085,0,MAX(0,L1084)+IF(E1085="via",MAX(0,G1085-MAX(F1085,I1085)),0))</x:f>
        <x:v>1.55</x:v>
      </x:c>
    </x:row>
    <x:row r="1086" ht="42" customHeight="1">
      <x:c r="A1086" s="12" t="str">
        <x:v>DP3-B-R2</x:v>
      </x:c>
      <x:c r="B1086" s="12" t="str">
        <x:v>U02</x:v>
      </x:c>
      <x:c r="C1086" s="12" t="str">
        <x:v>response_audio</x:v>
      </x:c>
      <x:c r="D1086" s="12" t="str">
        <x:v>선택한 응답 음성 생성</x:v>
      </x:c>
      <x:c r="E1086" s="12" t="str">
        <x:v>via</x:v>
      </x:c>
      <x:c r="F1086" s="13" t="n">
        <x:v>1.51</x:v>
      </x:c>
      <x:c r="G1086" s="13" t="n">
        <x:v>2.644</x:v>
      </x:c>
      <x:c r="H1086" s="13" t="n">
        <x:v>1.134</x:v>
      </x:c>
      <x:c r="I1086" s="13" t="n">
        <x:v>0</x:v>
      </x:c>
      <x:c r="J1086" s="12" t="str">
        <x:v>adopt</x:v>
      </x:c>
      <x:c r="K1086" s="12" t="str">
        <x:v>speech</x:v>
      </x:c>
      <x:c r="L1086" s="13" t="n">
        <x:f>IF(G1086&lt;=I1086,0,MAX(0,L1084)+IF(E1086="via",MAX(0,G1086-MAX(F1086,I1086)),0))</x:f>
        <x:v>2.644</x:v>
      </x:c>
    </x:row>
    <x:row r="1087" ht="42" customHeight="1">
      <x:c r="A1087" s="7" t="str">
        <x:v>DP3-B-R2</x:v>
      </x:c>
      <x:c r="B1087" s="7" t="str">
        <x:v>U02</x:v>
      </x:c>
      <x:c r="C1087" s="7" t="str">
        <x:v>first_chunk</x:v>
      </x:c>
      <x:c r="D1087" s="7" t="str">
        <x:v>같은 생성 job의 유효 첫 chunk 관측</x:v>
      </x:c>
      <x:c r="E1087" s="7" t="str">
        <x:v>via</x:v>
      </x:c>
      <x:c r="F1087" s="14" t="n">
        <x:v>1.51</x:v>
      </x:c>
      <x:c r="G1087" s="14" t="n">
        <x:v>1.944</x:v>
      </x:c>
      <x:c r="H1087" s="14" t="n">
        <x:v>0.434</x:v>
      </x:c>
      <x:c r="I1087" s="14" t="n">
        <x:v>0</x:v>
      </x:c>
      <x:c r="J1087" s="7" t="str">
        <x:v>adopt</x:v>
      </x:c>
      <x:c r="K1087" s="7" t="str">
        <x:v>none</x:v>
      </x:c>
      <x:c r="L1087" s="14" t="n">
        <x:f>IF(G1087&lt;=I1087,0,MAX(0,L1084)+IF(E1087="via",MAX(0,G1087-MAX(F1087,I1087)),0))</x:f>
        <x:v>1.944</x:v>
      </x:c>
    </x:row>
    <x:row r="1088" ht="42" customHeight="1">
      <x:c r="A1088" s="12" t="str">
        <x:v>DP3-B-R2</x:v>
      </x:c>
      <x:c r="B1088" s="12" t="str">
        <x:v>U02</x:v>
      </x:c>
      <x:c r="C1088" s="12" t="str">
        <x:v>first_audio_output</x:v>
      </x:c>
      <x:c r="D1088" s="12" t="str">
        <x:v>공통 장치의 첫 음성 출력</x:v>
      </x:c>
      <x:c r="E1088" s="12" t="str">
        <x:v>via</x:v>
      </x:c>
      <x:c r="F1088" s="13" t="n">
        <x:v>1.944</x:v>
      </x:c>
      <x:c r="G1088" s="13" t="n">
        <x:v>1.984</x:v>
      </x:c>
      <x:c r="H1088" s="13" t="n">
        <x:v>0.04</x:v>
      </x:c>
      <x:c r="I1088" s="13" t="n">
        <x:v>0</x:v>
      </x:c>
      <x:c r="J1088" s="12" t="str">
        <x:v>adopt, first_chunk</x:v>
      </x:c>
      <x:c r="K1088" s="12" t="str">
        <x:v>none</x:v>
      </x:c>
      <x:c r="L1088" s="13" t="n">
        <x:f>IF(G1088&lt;=I1088,0,MAX(0,L1084,L1087)+IF(E1088="via",MAX(0,G1088-MAX(F1088,I1088)),0))</x:f>
        <x:v>1.984</x:v>
      </x:c>
    </x:row>
    <x:row r="1089" ht="42" customHeight="1">
      <x:c r="A1089" s="7" t="str">
        <x:v>DP3-B-R2</x:v>
      </x:c>
      <x:c r="B1089" s="7" t="str">
        <x:v>U02</x:v>
      </x:c>
      <x:c r="C1089" s="7" t="str">
        <x:v>terminal</x:v>
      </x:c>
      <x:c r="D1089" s="7" t="str">
        <x:v>공통 목표 최종 상태와 전체 음성 준비</x:v>
      </x:c>
      <x:c r="E1089" s="7" t="str">
        <x:v>via</x:v>
      </x:c>
      <x:c r="F1089" s="14" t="n">
        <x:v>2.644</x:v>
      </x:c>
      <x:c r="G1089" s="14" t="n">
        <x:v>2.644</x:v>
      </x:c>
      <x:c r="H1089" s="14" t="n">
        <x:v>0</x:v>
      </x:c>
      <x:c r="I1089" s="14" t="n">
        <x:v>0</x:v>
      </x:c>
      <x:c r="J1089" s="7" t="str">
        <x:v>first_display, response_audio, first_audio_output</x:v>
      </x:c>
      <x:c r="K1089" s="7" t="str">
        <x:v>none</x:v>
      </x:c>
      <x:c r="L1089" s="14" t="n">
        <x:f>IF(G1089&lt;=I1089,0,MAX(0,L1085,L1086,L1088)+IF(E1089="via",MAX(0,G1089-MAX(F1089,I1089)),0))</x:f>
        <x:v>2.644</x:v>
      </x:c>
    </x:row>
    <x:row r="1090" ht="42" customHeight="1">
      <x:c r="A1090" s="12" t="str">
        <x:v>DP3-B-R2</x:v>
      </x:c>
      <x:c r="B1090" s="12" t="str">
        <x:v>U03</x:v>
      </x:c>
      <x:c r="C1090" s="12" t="str">
        <x:v>input_end</x:v>
      </x:c>
      <x:c r="D1090" s="12" t="str">
        <x:v>사용자 입력 종료</x:v>
      </x:c>
      <x:c r="E1090" s="12" t="str">
        <x:v>external</x:v>
      </x:c>
      <x:c r="F1090" s="13" t="n">
        <x:v>0</x:v>
      </x:c>
      <x:c r="G1090" s="13" t="n">
        <x:v>0</x:v>
      </x:c>
      <x:c r="H1090" s="13" t="n">
        <x:v>0</x:v>
      </x:c>
      <x:c r="I1090" s="13" t="n">
        <x:v>0</x:v>
      </x:c>
      <x:c r="J1090" s="12" t="str"/>
      <x:c r="K1090" s="12" t="str">
        <x:v>none</x:v>
      </x:c>
      <x:c r="L1090" s="13" t="n">
        <x:f>IF(G1090&lt;=I1090,0,MAX(0)+IF(E1090="via",MAX(0,G1090-MAX(F1090,I1090)),0))</x:f>
        <x:v>0</x:v>
      </x:c>
    </x:row>
    <x:row r="1091" ht="42" customHeight="1">
      <x:c r="A1091" s="7" t="str">
        <x:v>DP3-B-R2</x:v>
      </x:c>
      <x:c r="B1091" s="7" t="str">
        <x:v>U03</x:v>
      </x:c>
      <x:c r="C1091" s="7" t="str">
        <x:v>intake</x:v>
      </x:c>
      <x:c r="D1091" s="7" t="str">
        <x:v>입력 확정</x:v>
      </x:c>
      <x:c r="E1091" s="7" t="str">
        <x:v>via</x:v>
      </x:c>
      <x:c r="F1091" s="14" t="n">
        <x:v>0</x:v>
      </x:c>
      <x:c r="G1091" s="14" t="n">
        <x:v>0.06</x:v>
      </x:c>
      <x:c r="H1091" s="14" t="n">
        <x:v>0.06</x:v>
      </x:c>
      <x:c r="I1091" s="14" t="n">
        <x:v>0</x:v>
      </x:c>
      <x:c r="J1091" s="7" t="str">
        <x:v>input_end</x:v>
      </x:c>
      <x:c r="K1091" s="7" t="str">
        <x:v>none</x:v>
      </x:c>
      <x:c r="L1091" s="14" t="n">
        <x:f>IF(G1091&lt;=I1091,0,MAX(0,L1090)+IF(E1091="via",MAX(0,G1091-MAX(F1091,I1091)),0))</x:f>
        <x:v>0.06</x:v>
      </x:c>
    </x:row>
    <x:row r="1092" ht="42" customHeight="1">
      <x:c r="A1092" s="12" t="str">
        <x:v>DP3-B-R2</x:v>
      </x:c>
      <x:c r="B1092" s="12" t="str">
        <x:v>U03</x:v>
      </x:c>
      <x:c r="C1092" s="12" t="str">
        <x:v>read</x:v>
      </x:c>
      <x:c r="D1092" s="12" t="str">
        <x:v>공통 허용 원본 조회</x:v>
      </x:c>
      <x:c r="E1092" s="12" t="str">
        <x:v>via</x:v>
      </x:c>
      <x:c r="F1092" s="13" t="n">
        <x:v>0.06</x:v>
      </x:c>
      <x:c r="G1092" s="13" t="n">
        <x:v>0.14</x:v>
      </x:c>
      <x:c r="H1092" s="13" t="n">
        <x:v>0.08</x:v>
      </x:c>
      <x:c r="I1092" s="13" t="n">
        <x:v>0</x:v>
      </x:c>
      <x:c r="J1092" s="12" t="str">
        <x:v>intake</x:v>
      </x:c>
      <x:c r="K1092" s="12" t="str">
        <x:v>none</x:v>
      </x:c>
      <x:c r="L1092" s="13" t="n">
        <x:f>IF(G1092&lt;=I1092,0,MAX(0,L1091)+IF(E1092="via",MAX(0,G1092-MAX(F1092,I1092)),0))</x:f>
        <x:v>0.14</x:v>
      </x:c>
    </x:row>
    <x:row r="1093" ht="42" customHeight="1">
      <x:c r="A1093" s="7" t="str">
        <x:v>DP3-B-R2</x:v>
      </x:c>
      <x:c r="B1093" s="7" t="str">
        <x:v>U03</x:v>
      </x:c>
      <x:c r="C1093" s="7" t="str">
        <x:v>meaning</x:v>
      </x:c>
      <x:c r="D1093" s="7" t="str">
        <x:v>최초 요청 의미 채택 packet 생성</x:v>
      </x:c>
      <x:c r="E1093" s="7" t="str">
        <x:v>via</x:v>
      </x:c>
      <x:c r="F1093" s="14" t="n">
        <x:v>0.14</x:v>
      </x:c>
      <x:c r="G1093" s="14" t="n">
        <x:v>1.2400000000000002</x:v>
      </x:c>
      <x:c r="H1093" s="14" t="n">
        <x:v>1.1</x:v>
      </x:c>
      <x:c r="I1093" s="14" t="n">
        <x:v>0</x:v>
      </x:c>
      <x:c r="J1093" s="7" t="str">
        <x:v>read</x:v>
      </x:c>
      <x:c r="K1093" s="7" t="str">
        <x:v>semantic</x:v>
      </x:c>
      <x:c r="L1093" s="14" t="n">
        <x:f>IF(G1093&lt;=I1093,0,MAX(0,L1092)+IF(E1093="via",MAX(0,G1093-MAX(F1093,I1093)),0))</x:f>
        <x:v>1.2400000000000002</x:v>
      </x:c>
    </x:row>
    <x:row r="1094" ht="42" customHeight="1">
      <x:c r="A1094" s="12" t="str">
        <x:v>DP3-B-R2</x:v>
      </x:c>
      <x:c r="B1094" s="12" t="str">
        <x:v>U03</x:v>
      </x:c>
      <x:c r="C1094" s="12" t="str">
        <x:v>adopt</x:v>
      </x:c>
      <x:c r="D1094" s="12" t="str">
        <x:v>현재 revision과 권한 검사 및 채택</x:v>
      </x:c>
      <x:c r="E1094" s="12" t="str">
        <x:v>via</x:v>
      </x:c>
      <x:c r="F1094" s="13" t="n">
        <x:v>1.2400000000000002</x:v>
      </x:c>
      <x:c r="G1094" s="13" t="n">
        <x:v>1.2700000000000002</x:v>
      </x:c>
      <x:c r="H1094" s="13" t="n">
        <x:v>0.03</x:v>
      </x:c>
      <x:c r="I1094" s="13" t="n">
        <x:v>0</x:v>
      </x:c>
      <x:c r="J1094" s="12" t="str">
        <x:v>meaning</x:v>
      </x:c>
      <x:c r="K1094" s="12" t="str">
        <x:v>none</x:v>
      </x:c>
      <x:c r="L1094" s="13" t="n">
        <x:f>IF(G1094&lt;=I1094,0,MAX(0,L1093)+IF(E1094="via",MAX(0,G1094-MAX(F1094,I1094)),0))</x:f>
        <x:v>1.2700000000000002</x:v>
      </x:c>
    </x:row>
    <x:row r="1095" ht="42" customHeight="1">
      <x:c r="A1095" s="7" t="str">
        <x:v>DP3-B-R2</x:v>
      </x:c>
      <x:c r="B1095" s="7" t="str">
        <x:v>U03</x:v>
      </x:c>
      <x:c r="C1095" s="7" t="str">
        <x:v>first_display</x:v>
      </x:c>
      <x:c r="D1095" s="7" t="str">
        <x:v>첫 구체적 채택 내용 화면 표시</x:v>
      </x:c>
      <x:c r="E1095" s="7" t="str">
        <x:v>via</x:v>
      </x:c>
      <x:c r="F1095" s="14" t="n">
        <x:v>1.2700000000000002</x:v>
      </x:c>
      <x:c r="G1095" s="14" t="n">
        <x:v>1.3100000000000003</x:v>
      </x:c>
      <x:c r="H1095" s="14" t="n">
        <x:v>0.04</x:v>
      </x:c>
      <x:c r="I1095" s="14" t="n">
        <x:v>0</x:v>
      </x:c>
      <x:c r="J1095" s="7" t="str">
        <x:v>adopt</x:v>
      </x:c>
      <x:c r="K1095" s="7" t="str">
        <x:v>none</x:v>
      </x:c>
      <x:c r="L1095" s="14" t="n">
        <x:f>IF(G1095&lt;=I1095,0,MAX(0,L1094)+IF(E1095="via",MAX(0,G1095-MAX(F1095,I1095)),0))</x:f>
        <x:v>1.3100000000000003</x:v>
      </x:c>
    </x:row>
    <x:row r="1096" ht="42" customHeight="1">
      <x:c r="A1096" s="12" t="str">
        <x:v>DP3-B-R2</x:v>
      </x:c>
      <x:c r="B1096" s="12" t="str">
        <x:v>U03</x:v>
      </x:c>
      <x:c r="C1096" s="12" t="str">
        <x:v>long_work</x:v>
      </x:c>
      <x:c r="D1096" s="12" t="str">
        <x:v>요청의 남은 VIA 판단</x:v>
      </x:c>
      <x:c r="E1096" s="12" t="str">
        <x:v>via</x:v>
      </x:c>
      <x:c r="F1096" s="13" t="n">
        <x:v>1.2700000000000002</x:v>
      </x:c>
      <x:c r="G1096" s="13" t="n">
        <x:v>2.87</x:v>
      </x:c>
      <x:c r="H1096" s="13" t="n">
        <x:v>1.6</x:v>
      </x:c>
      <x:c r="I1096" s="13" t="n">
        <x:v>0</x:v>
      </x:c>
      <x:c r="J1096" s="12" t="str">
        <x:v>adopt</x:v>
      </x:c>
      <x:c r="K1096" s="12" t="str">
        <x:v>semantic</x:v>
      </x:c>
      <x:c r="L1096" s="13" t="n">
        <x:f>IF(G1096&lt;=I1096,0,MAX(0,L1094)+IF(E1096="via",MAX(0,G1096-MAX(F1096,I1096)),0))</x:f>
        <x:v>2.87</x:v>
      </x:c>
    </x:row>
    <x:row r="1097" ht="42" customHeight="1">
      <x:c r="A1097" s="7" t="str">
        <x:v>DP3-B-R2</x:v>
      </x:c>
      <x:c r="B1097" s="7" t="str">
        <x:v>U03</x:v>
      </x:c>
      <x:c r="C1097" s="7" t="str">
        <x:v>result_display</x:v>
      </x:c>
      <x:c r="D1097" s="7" t="str">
        <x:v>최종 설명 상세 표시</x:v>
      </x:c>
      <x:c r="E1097" s="7" t="str">
        <x:v>via</x:v>
      </x:c>
      <x:c r="F1097" s="14" t="n">
        <x:v>2.87</x:v>
      </x:c>
      <x:c r="G1097" s="14" t="n">
        <x:v>2.91</x:v>
      </x:c>
      <x:c r="H1097" s="14" t="n">
        <x:v>0.04</x:v>
      </x:c>
      <x:c r="I1097" s="14" t="n">
        <x:v>0</x:v>
      </x:c>
      <x:c r="J1097" s="7" t="str">
        <x:v>long_work</x:v>
      </x:c>
      <x:c r="K1097" s="7" t="str">
        <x:v>none</x:v>
      </x:c>
      <x:c r="L1097" s="14" t="n">
        <x:f>IF(G1097&lt;=I1097,0,MAX(0,L1096)+IF(E1097="via",MAX(0,G1097-MAX(F1097,I1097)),0))</x:f>
        <x:v>2.91</x:v>
      </x:c>
    </x:row>
    <x:row r="1098" ht="42" customHeight="1">
      <x:c r="A1098" s="12" t="str">
        <x:v>DP3-B-R2</x:v>
      </x:c>
      <x:c r="B1098" s="12" t="str">
        <x:v>U03</x:v>
      </x:c>
      <x:c r="C1098" s="12" t="str">
        <x:v>response_audio</x:v>
      </x:c>
      <x:c r="D1098" s="12" t="str">
        <x:v>선택한 응답 음성 생성</x:v>
      </x:c>
      <x:c r="E1098" s="12" t="str">
        <x:v>via</x:v>
      </x:c>
      <x:c r="F1098" s="13" t="n">
        <x:v>2.87</x:v>
      </x:c>
      <x:c r="G1098" s="13" t="n">
        <x:v>4.758</x:v>
      </x:c>
      <x:c r="H1098" s="13" t="n">
        <x:v>1.888</x:v>
      </x:c>
      <x:c r="I1098" s="13" t="n">
        <x:v>0</x:v>
      </x:c>
      <x:c r="J1098" s="12" t="str">
        <x:v>long_work</x:v>
      </x:c>
      <x:c r="K1098" s="12" t="str">
        <x:v>speech</x:v>
      </x:c>
      <x:c r="L1098" s="13" t="n">
        <x:f>IF(G1098&lt;=I1098,0,MAX(0,L1096)+IF(E1098="via",MAX(0,G1098-MAX(F1098,I1098)),0))</x:f>
        <x:v>4.758</x:v>
      </x:c>
    </x:row>
    <x:row r="1099" ht="42" customHeight="1">
      <x:c r="A1099" s="7" t="str">
        <x:v>DP3-B-R2</x:v>
      </x:c>
      <x:c r="B1099" s="7" t="str">
        <x:v>U03</x:v>
      </x:c>
      <x:c r="C1099" s="7" t="str">
        <x:v>intent_audio</x:v>
      </x:c>
      <x:c r="D1099" s="7" t="str">
        <x:v>채택한 구체적 수행 의도의 짧은 음성</x:v>
      </x:c>
      <x:c r="E1099" s="7" t="str">
        <x:v>via</x:v>
      </x:c>
      <x:c r="F1099" s="14" t="n">
        <x:v>1.2700000000000002</x:v>
      </x:c>
      <x:c r="G1099" s="14" t="n">
        <x:v>2.404</x:v>
      </x:c>
      <x:c r="H1099" s="14" t="n">
        <x:v>1.134</x:v>
      </x:c>
      <x:c r="I1099" s="14" t="n">
        <x:v>0</x:v>
      </x:c>
      <x:c r="J1099" s="7" t="str">
        <x:v>adopt</x:v>
      </x:c>
      <x:c r="K1099" s="7" t="str">
        <x:v>speech</x:v>
      </x:c>
      <x:c r="L1099" s="14" t="n">
        <x:f>IF(G1099&lt;=I1099,0,MAX(0,L1094)+IF(E1099="via",MAX(0,G1099-MAX(F1099,I1099)),0))</x:f>
        <x:v>2.404</x:v>
      </x:c>
    </x:row>
    <x:row r="1100" ht="42" customHeight="1">
      <x:c r="A1100" s="12" t="str">
        <x:v>DP3-B-R2</x:v>
      </x:c>
      <x:c r="B1100" s="12" t="str">
        <x:v>U03</x:v>
      </x:c>
      <x:c r="C1100" s="12" t="str">
        <x:v>first_chunk</x:v>
      </x:c>
      <x:c r="D1100" s="12" t="str">
        <x:v>같은 생성 job의 유효 첫 chunk 관측</x:v>
      </x:c>
      <x:c r="E1100" s="12" t="str">
        <x:v>via</x:v>
      </x:c>
      <x:c r="F1100" s="13" t="n">
        <x:v>1.2700000000000002</x:v>
      </x:c>
      <x:c r="G1100" s="13" t="n">
        <x:v>1.7040000000000002</x:v>
      </x:c>
      <x:c r="H1100" s="13" t="n">
        <x:v>0.434</x:v>
      </x:c>
      <x:c r="I1100" s="13" t="n">
        <x:v>0</x:v>
      </x:c>
      <x:c r="J1100" s="12" t="str">
        <x:v>adopt</x:v>
      </x:c>
      <x:c r="K1100" s="12" t="str">
        <x:v>none</x:v>
      </x:c>
      <x:c r="L1100" s="13" t="n">
        <x:f>IF(G1100&lt;=I1100,0,MAX(0,L1094)+IF(E1100="via",MAX(0,G1100-MAX(F1100,I1100)),0))</x:f>
        <x:v>1.7040000000000002</x:v>
      </x:c>
    </x:row>
    <x:row r="1101" ht="42" customHeight="1">
      <x:c r="A1101" s="7" t="str">
        <x:v>DP3-B-R2</x:v>
      </x:c>
      <x:c r="B1101" s="7" t="str">
        <x:v>U03</x:v>
      </x:c>
      <x:c r="C1101" s="7" t="str">
        <x:v>first_audio_output</x:v>
      </x:c>
      <x:c r="D1101" s="7" t="str">
        <x:v>공통 장치의 첫 음성 출력</x:v>
      </x:c>
      <x:c r="E1101" s="7" t="str">
        <x:v>via</x:v>
      </x:c>
      <x:c r="F1101" s="14" t="n">
        <x:v>1.7040000000000002</x:v>
      </x:c>
      <x:c r="G1101" s="14" t="n">
        <x:v>1.7440000000000002</x:v>
      </x:c>
      <x:c r="H1101" s="14" t="n">
        <x:v>0.04</x:v>
      </x:c>
      <x:c r="I1101" s="14" t="n">
        <x:v>0</x:v>
      </x:c>
      <x:c r="J1101" s="7" t="str">
        <x:v>adopt, first_chunk</x:v>
      </x:c>
      <x:c r="K1101" s="7" t="str">
        <x:v>none</x:v>
      </x:c>
      <x:c r="L1101" s="14" t="n">
        <x:f>IF(G1101&lt;=I1101,0,MAX(0,L1094,L1100)+IF(E1101="via",MAX(0,G1101-MAX(F1101,I1101)),0))</x:f>
        <x:v>1.7440000000000002</x:v>
      </x:c>
    </x:row>
    <x:row r="1102" ht="42" customHeight="1">
      <x:c r="A1102" s="12" t="str">
        <x:v>DP3-B-R2</x:v>
      </x:c>
      <x:c r="B1102" s="12" t="str">
        <x:v>U03</x:v>
      </x:c>
      <x:c r="C1102" s="12" t="str">
        <x:v>next_speech_selection</x:v>
      </x:c>
      <x:c r="D1102" s="12" t="str">
        <x:v>현재 발화 재생 후 다음 응답 선택</x:v>
      </x:c>
      <x:c r="E1102" s="12" t="str">
        <x:v>external</x:v>
      </x:c>
      <x:c r="F1102" s="13" t="n">
        <x:v>1.7440000000000002</x:v>
      </x:c>
      <x:c r="G1102" s="13" t="n">
        <x:v>4.744</x:v>
      </x:c>
      <x:c r="H1102" s="13" t="n">
        <x:v>3</x:v>
      </x:c>
      <x:c r="I1102" s="13" t="n">
        <x:v>0</x:v>
      </x:c>
      <x:c r="J1102" s="12" t="str">
        <x:v>first_audio_output</x:v>
      </x:c>
      <x:c r="K1102" s="12" t="str">
        <x:v>none</x:v>
      </x:c>
      <x:c r="L1102" s="13" t="n">
        <x:f>IF(G1102&lt;=I1102,0,MAX(0,L1101)+IF(E1102="via",MAX(0,G1102-MAX(F1102,I1102)),0))</x:f>
        <x:v>1.7440000000000002</x:v>
      </x:c>
    </x:row>
    <x:row r="1103" ht="42" customHeight="1">
      <x:c r="A1103" s="7" t="str">
        <x:v>DP3-B-R2</x:v>
      </x:c>
      <x:c r="B1103" s="7" t="str">
        <x:v>U03</x:v>
      </x:c>
      <x:c r="C1103" s="7" t="str">
        <x:v>terminal</x:v>
      </x:c>
      <x:c r="D1103" s="7" t="str">
        <x:v>공통 목표 최종 상태와 전체 음성 준비</x:v>
      </x:c>
      <x:c r="E1103" s="7" t="str">
        <x:v>via</x:v>
      </x:c>
      <x:c r="F1103" s="14" t="n">
        <x:v>4.758</x:v>
      </x:c>
      <x:c r="G1103" s="14" t="n">
        <x:v>4.758</x:v>
      </x:c>
      <x:c r="H1103" s="14" t="n">
        <x:v>0</x:v>
      </x:c>
      <x:c r="I1103" s="14" t="n">
        <x:v>0</x:v>
      </x:c>
      <x:c r="J1103" s="7" t="str">
        <x:v>result_display, response_audio, intent_audio, first_audio_output</x:v>
      </x:c>
      <x:c r="K1103" s="7" t="str">
        <x:v>none</x:v>
      </x:c>
      <x:c r="L1103" s="14" t="n">
        <x:f>IF(G1103&lt;=I1103,0,MAX(0,L1097,L1098,L1099,L1101)+IF(E1103="via",MAX(0,G1103-MAX(F1103,I1103)),0))</x:f>
        <x:v>4.758</x:v>
      </x:c>
    </x:row>
    <x:row r="1104" ht="42" customHeight="1">
      <x:c r="A1104" s="12" t="str">
        <x:v>DP3-B-R2</x:v>
      </x:c>
      <x:c r="B1104" s="12" t="str">
        <x:v>U04</x:v>
      </x:c>
      <x:c r="C1104" s="12" t="str">
        <x:v>input_end</x:v>
      </x:c>
      <x:c r="D1104" s="12" t="str">
        <x:v>사용자 입력 종료</x:v>
      </x:c>
      <x:c r="E1104" s="12" t="str">
        <x:v>external</x:v>
      </x:c>
      <x:c r="F1104" s="13" t="n">
        <x:v>0</x:v>
      </x:c>
      <x:c r="G1104" s="13" t="n">
        <x:v>0</x:v>
      </x:c>
      <x:c r="H1104" s="13" t="n">
        <x:v>0</x:v>
      </x:c>
      <x:c r="I1104" s="13" t="n">
        <x:v>0</x:v>
      </x:c>
      <x:c r="J1104" s="12" t="str"/>
      <x:c r="K1104" s="12" t="str">
        <x:v>none</x:v>
      </x:c>
      <x:c r="L1104" s="13" t="n">
        <x:f>IF(G1104&lt;=I1104,0,MAX(0)+IF(E1104="via",MAX(0,G1104-MAX(F1104,I1104)),0))</x:f>
        <x:v>0</x:v>
      </x:c>
    </x:row>
    <x:row r="1105" ht="42" customHeight="1">
      <x:c r="A1105" s="7" t="str">
        <x:v>DP3-B-R2</x:v>
      </x:c>
      <x:c r="B1105" s="7" t="str">
        <x:v>U04</x:v>
      </x:c>
      <x:c r="C1105" s="7" t="str">
        <x:v>intake</x:v>
      </x:c>
      <x:c r="D1105" s="7" t="str">
        <x:v>입력 확정</x:v>
      </x:c>
      <x:c r="E1105" s="7" t="str">
        <x:v>via</x:v>
      </x:c>
      <x:c r="F1105" s="14" t="n">
        <x:v>0</x:v>
      </x:c>
      <x:c r="G1105" s="14" t="n">
        <x:v>0.3</x:v>
      </x:c>
      <x:c r="H1105" s="14" t="n">
        <x:v>0.3</x:v>
      </x:c>
      <x:c r="I1105" s="14" t="n">
        <x:v>0</x:v>
      </x:c>
      <x:c r="J1105" s="7" t="str">
        <x:v>input_end</x:v>
      </x:c>
      <x:c r="K1105" s="7" t="str">
        <x:v>none</x:v>
      </x:c>
      <x:c r="L1105" s="14" t="n">
        <x:f>IF(G1105&lt;=I1105,0,MAX(0,L1104)+IF(E1105="via",MAX(0,G1105-MAX(F1105,I1105)),0))</x:f>
        <x:v>0.3</x:v>
      </x:c>
    </x:row>
    <x:row r="1106" ht="42" customHeight="1">
      <x:c r="A1106" s="12" t="str">
        <x:v>DP3-B-R2</x:v>
      </x:c>
      <x:c r="B1106" s="12" t="str">
        <x:v>U04</x:v>
      </x:c>
      <x:c r="C1106" s="12" t="str">
        <x:v>read</x:v>
      </x:c>
      <x:c r="D1106" s="12" t="str">
        <x:v>공통 허용 원본 조회</x:v>
      </x:c>
      <x:c r="E1106" s="12" t="str">
        <x:v>via</x:v>
      </x:c>
      <x:c r="F1106" s="13" t="n">
        <x:v>0.3</x:v>
      </x:c>
      <x:c r="G1106" s="13" t="n">
        <x:v>0.38</x:v>
      </x:c>
      <x:c r="H1106" s="13" t="n">
        <x:v>0.08</x:v>
      </x:c>
      <x:c r="I1106" s="13" t="n">
        <x:v>0</x:v>
      </x:c>
      <x:c r="J1106" s="12" t="str">
        <x:v>intake</x:v>
      </x:c>
      <x:c r="K1106" s="12" t="str">
        <x:v>none</x:v>
      </x:c>
      <x:c r="L1106" s="13" t="n">
        <x:f>IF(G1106&lt;=I1106,0,MAX(0,L1105)+IF(E1106="via",MAX(0,G1106-MAX(F1106,I1106)),0))</x:f>
        <x:v>0.38</x:v>
      </x:c>
    </x:row>
    <x:row r="1107" ht="42" customHeight="1">
      <x:c r="A1107" s="7" t="str">
        <x:v>DP3-B-R2</x:v>
      </x:c>
      <x:c r="B1107" s="7" t="str">
        <x:v>U04</x:v>
      </x:c>
      <x:c r="C1107" s="7" t="str">
        <x:v>meaning</x:v>
      </x:c>
      <x:c r="D1107" s="7" t="str">
        <x:v>최초 요청 의미 채택 packet 생성</x:v>
      </x:c>
      <x:c r="E1107" s="7" t="str">
        <x:v>via</x:v>
      </x:c>
      <x:c r="F1107" s="14" t="n">
        <x:v>0.38</x:v>
      </x:c>
      <x:c r="G1107" s="14" t="n">
        <x:v>1.48</x:v>
      </x:c>
      <x:c r="H1107" s="14" t="n">
        <x:v>1.1</x:v>
      </x:c>
      <x:c r="I1107" s="14" t="n">
        <x:v>0</x:v>
      </x:c>
      <x:c r="J1107" s="7" t="str">
        <x:v>read</x:v>
      </x:c>
      <x:c r="K1107" s="7" t="str">
        <x:v>semantic</x:v>
      </x:c>
      <x:c r="L1107" s="14" t="n">
        <x:f>IF(G1107&lt;=I1107,0,MAX(0,L1106)+IF(E1107="via",MAX(0,G1107-MAX(F1107,I1107)),0))</x:f>
        <x:v>1.48</x:v>
      </x:c>
    </x:row>
    <x:row r="1108" ht="42" customHeight="1">
      <x:c r="A1108" s="12" t="str">
        <x:v>DP3-B-R2</x:v>
      </x:c>
      <x:c r="B1108" s="12" t="str">
        <x:v>U04</x:v>
      </x:c>
      <x:c r="C1108" s="12" t="str">
        <x:v>adopt</x:v>
      </x:c>
      <x:c r="D1108" s="12" t="str">
        <x:v>현재 revision과 권한 검사 및 채택</x:v>
      </x:c>
      <x:c r="E1108" s="12" t="str">
        <x:v>via</x:v>
      </x:c>
      <x:c r="F1108" s="13" t="n">
        <x:v>1.48</x:v>
      </x:c>
      <x:c r="G1108" s="13" t="n">
        <x:v>1.51</x:v>
      </x:c>
      <x:c r="H1108" s="13" t="n">
        <x:v>0.03</x:v>
      </x:c>
      <x:c r="I1108" s="13" t="n">
        <x:v>0</x:v>
      </x:c>
      <x:c r="J1108" s="12" t="str">
        <x:v>meaning</x:v>
      </x:c>
      <x:c r="K1108" s="12" t="str">
        <x:v>none</x:v>
      </x:c>
      <x:c r="L1108" s="13" t="n">
        <x:f>IF(G1108&lt;=I1108,0,MAX(0,L1107)+IF(E1108="via",MAX(0,G1108-MAX(F1108,I1108)),0))</x:f>
        <x:v>1.51</x:v>
      </x:c>
    </x:row>
    <x:row r="1109" ht="42" customHeight="1">
      <x:c r="A1109" s="7" t="str">
        <x:v>DP3-B-R2</x:v>
      </x:c>
      <x:c r="B1109" s="7" t="str">
        <x:v>U04</x:v>
      </x:c>
      <x:c r="C1109" s="7" t="str">
        <x:v>first_display</x:v>
      </x:c>
      <x:c r="D1109" s="7" t="str">
        <x:v>첫 구체적 채택 내용 화면 표시</x:v>
      </x:c>
      <x:c r="E1109" s="7" t="str">
        <x:v>via</x:v>
      </x:c>
      <x:c r="F1109" s="14" t="n">
        <x:v>1.51</x:v>
      </x:c>
      <x:c r="G1109" s="14" t="n">
        <x:v>1.55</x:v>
      </x:c>
      <x:c r="H1109" s="14" t="n">
        <x:v>0.04</x:v>
      </x:c>
      <x:c r="I1109" s="14" t="n">
        <x:v>0</x:v>
      </x:c>
      <x:c r="J1109" s="7" t="str">
        <x:v>adopt</x:v>
      </x:c>
      <x:c r="K1109" s="7" t="str">
        <x:v>none</x:v>
      </x:c>
      <x:c r="L1109" s="14" t="n">
        <x:f>IF(G1109&lt;=I1109,0,MAX(0,L1108)+IF(E1109="via",MAX(0,G1109-MAX(F1109,I1109)),0))</x:f>
        <x:v>1.55</x:v>
      </x:c>
    </x:row>
    <x:row r="1110" ht="42" customHeight="1">
      <x:c r="A1110" s="12" t="str">
        <x:v>DP3-B-R2</x:v>
      </x:c>
      <x:c r="B1110" s="12" t="str">
        <x:v>U04</x:v>
      </x:c>
      <x:c r="C1110" s="12" t="str">
        <x:v>response_audio</x:v>
      </x:c>
      <x:c r="D1110" s="12" t="str">
        <x:v>선택한 응답 음성 생성</x:v>
      </x:c>
      <x:c r="E1110" s="12" t="str">
        <x:v>via</x:v>
      </x:c>
      <x:c r="F1110" s="13" t="n">
        <x:v>1.51</x:v>
      </x:c>
      <x:c r="G1110" s="13" t="n">
        <x:v>3.3979999999999997</x:v>
      </x:c>
      <x:c r="H1110" s="13" t="n">
        <x:v>1.888</x:v>
      </x:c>
      <x:c r="I1110" s="13" t="n">
        <x:v>0</x:v>
      </x:c>
      <x:c r="J1110" s="12" t="str">
        <x:v>adopt</x:v>
      </x:c>
      <x:c r="K1110" s="12" t="str">
        <x:v>speech</x:v>
      </x:c>
      <x:c r="L1110" s="13" t="n">
        <x:f>IF(G1110&lt;=I1110,0,MAX(0,L1108)+IF(E1110="via",MAX(0,G1110-MAX(F1110,I1110)),0))</x:f>
        <x:v>3.3979999999999997</x:v>
      </x:c>
    </x:row>
    <x:row r="1111" ht="42" customHeight="1">
      <x:c r="A1111" s="7" t="str">
        <x:v>DP3-B-R2</x:v>
      </x:c>
      <x:c r="B1111" s="7" t="str">
        <x:v>U04</x:v>
      </x:c>
      <x:c r="C1111" s="7" t="str">
        <x:v>first_chunk</x:v>
      </x:c>
      <x:c r="D1111" s="7" t="str">
        <x:v>같은 생성 job의 유효 첫 chunk 관측</x:v>
      </x:c>
      <x:c r="E1111" s="7" t="str">
        <x:v>via</x:v>
      </x:c>
      <x:c r="F1111" s="14" t="n">
        <x:v>1.51</x:v>
      </x:c>
      <x:c r="G1111" s="14" t="n">
        <x:v>1.948</x:v>
      </x:c>
      <x:c r="H1111" s="14" t="n">
        <x:v>0.438</x:v>
      </x:c>
      <x:c r="I1111" s="14" t="n">
        <x:v>0</x:v>
      </x:c>
      <x:c r="J1111" s="7" t="str">
        <x:v>adopt</x:v>
      </x:c>
      <x:c r="K1111" s="7" t="str">
        <x:v>none</x:v>
      </x:c>
      <x:c r="L1111" s="14" t="n">
        <x:f>IF(G1111&lt;=I1111,0,MAX(0,L1108)+IF(E1111="via",MAX(0,G1111-MAX(F1111,I1111)),0))</x:f>
        <x:v>1.948</x:v>
      </x:c>
    </x:row>
    <x:row r="1112" ht="42" customHeight="1">
      <x:c r="A1112" s="12" t="str">
        <x:v>DP3-B-R2</x:v>
      </x:c>
      <x:c r="B1112" s="12" t="str">
        <x:v>U04</x:v>
      </x:c>
      <x:c r="C1112" s="12" t="str">
        <x:v>first_audio_output</x:v>
      </x:c>
      <x:c r="D1112" s="12" t="str">
        <x:v>공통 장치의 첫 음성 출력</x:v>
      </x:c>
      <x:c r="E1112" s="12" t="str">
        <x:v>via</x:v>
      </x:c>
      <x:c r="F1112" s="13" t="n">
        <x:v>1.948</x:v>
      </x:c>
      <x:c r="G1112" s="13" t="n">
        <x:v>1.988</x:v>
      </x:c>
      <x:c r="H1112" s="13" t="n">
        <x:v>0.04</x:v>
      </x:c>
      <x:c r="I1112" s="13" t="n">
        <x:v>0</x:v>
      </x:c>
      <x:c r="J1112" s="12" t="str">
        <x:v>adopt, first_chunk</x:v>
      </x:c>
      <x:c r="K1112" s="12" t="str">
        <x:v>none</x:v>
      </x:c>
      <x:c r="L1112" s="13" t="n">
        <x:f>IF(G1112&lt;=I1112,0,MAX(0,L1108,L1111)+IF(E1112="via",MAX(0,G1112-MAX(F1112,I1112)),0))</x:f>
        <x:v>1.988</x:v>
      </x:c>
    </x:row>
    <x:row r="1113" ht="42" customHeight="1">
      <x:c r="A1113" s="7" t="str">
        <x:v>DP3-B-R2</x:v>
      </x:c>
      <x:c r="B1113" s="7" t="str">
        <x:v>U04</x:v>
      </x:c>
      <x:c r="C1113" s="7" t="str">
        <x:v>terminal</x:v>
      </x:c>
      <x:c r="D1113" s="7" t="str">
        <x:v>공통 목표 최종 상태와 전체 음성 준비</x:v>
      </x:c>
      <x:c r="E1113" s="7" t="str">
        <x:v>via</x:v>
      </x:c>
      <x:c r="F1113" s="14" t="n">
        <x:v>3.3979999999999997</x:v>
      </x:c>
      <x:c r="G1113" s="14" t="n">
        <x:v>3.3979999999999997</x:v>
      </x:c>
      <x:c r="H1113" s="14" t="n">
        <x:v>0</x:v>
      </x:c>
      <x:c r="I1113" s="14" t="n">
        <x:v>0</x:v>
      </x:c>
      <x:c r="J1113" s="7" t="str">
        <x:v>first_display, response_audio, first_audio_output</x:v>
      </x:c>
      <x:c r="K1113" s="7" t="str">
        <x:v>none</x:v>
      </x:c>
      <x:c r="L1113" s="14" t="n">
        <x:f>IF(G1113&lt;=I1113,0,MAX(0,L1109,L1110,L1112)+IF(E1113="via",MAX(0,G1113-MAX(F1113,I1113)),0))</x:f>
        <x:v>3.3979999999999997</x:v>
      </x:c>
    </x:row>
    <x:row r="1114" ht="42" customHeight="1">
      <x:c r="A1114" s="12" t="str">
        <x:v>DP3-B-R2</x:v>
      </x:c>
      <x:c r="B1114" s="12" t="str">
        <x:v>U05</x:v>
      </x:c>
      <x:c r="C1114" s="12" t="str">
        <x:v>bg1</x:v>
      </x:c>
      <x:c r="D1114" s="12" t="str">
        <x:v>진행 중인 현재 대화의 의미 step</x:v>
      </x:c>
      <x:c r="E1114" s="12" t="str">
        <x:v>via</x:v>
      </x:c>
      <x:c r="F1114" s="13" t="n">
        <x:v>-1</x:v>
      </x:c>
      <x:c r="G1114" s="13" t="n">
        <x:v>2.4</x:v>
      </x:c>
      <x:c r="H1114" s="13" t="n">
        <x:v>3.4</x:v>
      </x:c>
      <x:c r="I1114" s="13" t="n">
        <x:v>0</x:v>
      </x:c>
      <x:c r="J1114" s="12" t="str"/>
      <x:c r="K1114" s="12" t="str">
        <x:v>semantic</x:v>
      </x:c>
      <x:c r="L1114" s="13" t="n">
        <x:f>IF(G1114&lt;=I1114,0,MAX(0)+IF(E1114="via",MAX(0,G1114-MAX(F1114,I1114)),0))</x:f>
        <x:v>2.4</x:v>
      </x:c>
    </x:row>
    <x:row r="1115" ht="42" customHeight="1">
      <x:c r="A1115" s="7" t="str">
        <x:v>DP3-B-R2</x:v>
      </x:c>
      <x:c r="B1115" s="7" t="str">
        <x:v>U05</x:v>
      </x:c>
      <x:c r="C1115" s="7" t="str">
        <x:v>input_end</x:v>
      </x:c>
      <x:c r="D1115" s="7" t="str">
        <x:v>사용자 입력 종료</x:v>
      </x:c>
      <x:c r="E1115" s="7" t="str">
        <x:v>external</x:v>
      </x:c>
      <x:c r="F1115" s="14" t="n">
        <x:v>0</x:v>
      </x:c>
      <x:c r="G1115" s="14" t="n">
        <x:v>0</x:v>
      </x:c>
      <x:c r="H1115" s="14" t="n">
        <x:v>0</x:v>
      </x:c>
      <x:c r="I1115" s="14" t="n">
        <x:v>0</x:v>
      </x:c>
      <x:c r="J1115" s="7" t="str"/>
      <x:c r="K1115" s="7" t="str">
        <x:v>none</x:v>
      </x:c>
      <x:c r="L1115" s="14" t="n">
        <x:f>IF(G1115&lt;=I1115,0,MAX(0)+IF(E1115="via",MAX(0,G1115-MAX(F1115,I1115)),0))</x:f>
        <x:v>0</x:v>
      </x:c>
    </x:row>
    <x:row r="1116" ht="42" customHeight="1">
      <x:c r="A1116" s="12" t="str">
        <x:v>DP3-B-R2</x:v>
      </x:c>
      <x:c r="B1116" s="12" t="str">
        <x:v>U05</x:v>
      </x:c>
      <x:c r="C1116" s="12" t="str">
        <x:v>intake</x:v>
      </x:c>
      <x:c r="D1116" s="12" t="str">
        <x:v>입력 확정</x:v>
      </x:c>
      <x:c r="E1116" s="12" t="str">
        <x:v>via</x:v>
      </x:c>
      <x:c r="F1116" s="13" t="n">
        <x:v>0</x:v>
      </x:c>
      <x:c r="G1116" s="13" t="n">
        <x:v>0.3</x:v>
      </x:c>
      <x:c r="H1116" s="13" t="n">
        <x:v>0.3</x:v>
      </x:c>
      <x:c r="I1116" s="13" t="n">
        <x:v>0</x:v>
      </x:c>
      <x:c r="J1116" s="12" t="str">
        <x:v>input_end</x:v>
      </x:c>
      <x:c r="K1116" s="12" t="str">
        <x:v>none</x:v>
      </x:c>
      <x:c r="L1116" s="13" t="n">
        <x:f>IF(G1116&lt;=I1116,0,MAX(0,L1115)+IF(E1116="via",MAX(0,G1116-MAX(F1116,I1116)),0))</x:f>
        <x:v>0.3</x:v>
      </x:c>
    </x:row>
    <x:row r="1117" ht="42" customHeight="1">
      <x:c r="A1117" s="7" t="str">
        <x:v>DP3-B-R2</x:v>
      </x:c>
      <x:c r="B1117" s="7" t="str">
        <x:v>U05</x:v>
      </x:c>
      <x:c r="C1117" s="7" t="str">
        <x:v>read</x:v>
      </x:c>
      <x:c r="D1117" s="7" t="str">
        <x:v>공통 허용 원본 조회</x:v>
      </x:c>
      <x:c r="E1117" s="7" t="str">
        <x:v>via</x:v>
      </x:c>
      <x:c r="F1117" s="14" t="n">
        <x:v>0.3</x:v>
      </x:c>
      <x:c r="G1117" s="14" t="n">
        <x:v>0.38</x:v>
      </x:c>
      <x:c r="H1117" s="14" t="n">
        <x:v>0.08</x:v>
      </x:c>
      <x:c r="I1117" s="14" t="n">
        <x:v>0</x:v>
      </x:c>
      <x:c r="J1117" s="7" t="str">
        <x:v>intake</x:v>
      </x:c>
      <x:c r="K1117" s="7" t="str">
        <x:v>none</x:v>
      </x:c>
      <x:c r="L1117" s="14" t="n">
        <x:f>IF(G1117&lt;=I1117,0,MAX(0,L1116)+IF(E1117="via",MAX(0,G1117-MAX(F1117,I1117)),0))</x:f>
        <x:v>0.38</x:v>
      </x:c>
    </x:row>
    <x:row r="1118" ht="42" customHeight="1">
      <x:c r="A1118" s="12" t="str">
        <x:v>DP3-B-R2</x:v>
      </x:c>
      <x:c r="B1118" s="12" t="str">
        <x:v>U05</x:v>
      </x:c>
      <x:c r="C1118" s="12" t="str">
        <x:v>meaning</x:v>
      </x:c>
      <x:c r="D1118" s="12" t="str">
        <x:v>최초 요청 의미 채택 packet 생성</x:v>
      </x:c>
      <x:c r="E1118" s="12" t="str">
        <x:v>via</x:v>
      </x:c>
      <x:c r="F1118" s="13" t="n">
        <x:v>2.4</x:v>
      </x:c>
      <x:c r="G1118" s="13" t="n">
        <x:v>3.5</x:v>
      </x:c>
      <x:c r="H1118" s="13" t="n">
        <x:v>1.1</x:v>
      </x:c>
      <x:c r="I1118" s="13" t="n">
        <x:v>0</x:v>
      </x:c>
      <x:c r="J1118" s="12" t="str">
        <x:v>read, bg1</x:v>
      </x:c>
      <x:c r="K1118" s="12" t="str">
        <x:v>semantic</x:v>
      </x:c>
      <x:c r="L1118" s="13" t="n">
        <x:f>IF(G1118&lt;=I1118,0,MAX(0,L1117,L1114)+IF(E1118="via",MAX(0,G1118-MAX(F1118,I1118)),0))</x:f>
        <x:v>3.5</x:v>
      </x:c>
    </x:row>
    <x:row r="1119" ht="42" customHeight="1">
      <x:c r="A1119" s="7" t="str">
        <x:v>DP3-B-R2</x:v>
      </x:c>
      <x:c r="B1119" s="7" t="str">
        <x:v>U05</x:v>
      </x:c>
      <x:c r="C1119" s="7" t="str">
        <x:v>adopt</x:v>
      </x:c>
      <x:c r="D1119" s="7" t="str">
        <x:v>현재 revision과 권한 검사 및 채택</x:v>
      </x:c>
      <x:c r="E1119" s="7" t="str">
        <x:v>via</x:v>
      </x:c>
      <x:c r="F1119" s="14" t="n">
        <x:v>3.5</x:v>
      </x:c>
      <x:c r="G1119" s="14" t="n">
        <x:v>3.53</x:v>
      </x:c>
      <x:c r="H1119" s="14" t="n">
        <x:v>0.03</x:v>
      </x:c>
      <x:c r="I1119" s="14" t="n">
        <x:v>0</x:v>
      </x:c>
      <x:c r="J1119" s="7" t="str">
        <x:v>meaning</x:v>
      </x:c>
      <x:c r="K1119" s="7" t="str">
        <x:v>none</x:v>
      </x:c>
      <x:c r="L1119" s="14" t="n">
        <x:f>IF(G1119&lt;=I1119,0,MAX(0,L1118)+IF(E1119="via",MAX(0,G1119-MAX(F1119,I1119)),0))</x:f>
        <x:v>3.53</x:v>
      </x:c>
    </x:row>
    <x:row r="1120" ht="42" customHeight="1">
      <x:c r="A1120" s="12" t="str">
        <x:v>DP3-B-R2</x:v>
      </x:c>
      <x:c r="B1120" s="12" t="str">
        <x:v>U05</x:v>
      </x:c>
      <x:c r="C1120" s="12" t="str">
        <x:v>first_display</x:v>
      </x:c>
      <x:c r="D1120" s="12" t="str">
        <x:v>첫 구체적 채택 내용 화면 표시</x:v>
      </x:c>
      <x:c r="E1120" s="12" t="str">
        <x:v>via</x:v>
      </x:c>
      <x:c r="F1120" s="13" t="n">
        <x:v>3.53</x:v>
      </x:c>
      <x:c r="G1120" s="13" t="n">
        <x:v>3.57</x:v>
      </x:c>
      <x:c r="H1120" s="13" t="n">
        <x:v>0.04</x:v>
      </x:c>
      <x:c r="I1120" s="13" t="n">
        <x:v>0</x:v>
      </x:c>
      <x:c r="J1120" s="12" t="str">
        <x:v>adopt</x:v>
      </x:c>
      <x:c r="K1120" s="12" t="str">
        <x:v>none</x:v>
      </x:c>
      <x:c r="L1120" s="13" t="n">
        <x:f>IF(G1120&lt;=I1120,0,MAX(0,L1119)+IF(E1120="via",MAX(0,G1120-MAX(F1120,I1120)),0))</x:f>
        <x:v>3.57</x:v>
      </x:c>
    </x:row>
    <x:row r="1121" ht="42" customHeight="1">
      <x:c r="A1121" s="7" t="str">
        <x:v>DP3-B-R2</x:v>
      </x:c>
      <x:c r="B1121" s="7" t="str">
        <x:v>U05</x:v>
      </x:c>
      <x:c r="C1121" s="7" t="str">
        <x:v>response_audio</x:v>
      </x:c>
      <x:c r="D1121" s="7" t="str">
        <x:v>선택한 응답 음성 생성</x:v>
      </x:c>
      <x:c r="E1121" s="7" t="str">
        <x:v>via</x:v>
      </x:c>
      <x:c r="F1121" s="14" t="n">
        <x:v>3.53</x:v>
      </x:c>
      <x:c r="G1121" s="14" t="n">
        <x:v>5.417999999999999</x:v>
      </x:c>
      <x:c r="H1121" s="14" t="n">
        <x:v>1.888</x:v>
      </x:c>
      <x:c r="I1121" s="14" t="n">
        <x:v>0</x:v>
      </x:c>
      <x:c r="J1121" s="7" t="str">
        <x:v>adopt</x:v>
      </x:c>
      <x:c r="K1121" s="7" t="str">
        <x:v>speech</x:v>
      </x:c>
      <x:c r="L1121" s="14" t="n">
        <x:f>IF(G1121&lt;=I1121,0,MAX(0,L1119)+IF(E1121="via",MAX(0,G1121-MAX(F1121,I1121)),0))</x:f>
        <x:v>5.417999999999999</x:v>
      </x:c>
    </x:row>
    <x:row r="1122" ht="42" customHeight="1">
      <x:c r="A1122" s="12" t="str">
        <x:v>DP3-B-R2</x:v>
      </x:c>
      <x:c r="B1122" s="12" t="str">
        <x:v>U05</x:v>
      </x:c>
      <x:c r="C1122" s="12" t="str">
        <x:v>first_chunk</x:v>
      </x:c>
      <x:c r="D1122" s="12" t="str">
        <x:v>같은 생성 job의 유효 첫 chunk 관측</x:v>
      </x:c>
      <x:c r="E1122" s="12" t="str">
        <x:v>via</x:v>
      </x:c>
      <x:c r="F1122" s="13" t="n">
        <x:v>3.53</x:v>
      </x:c>
      <x:c r="G1122" s="13" t="n">
        <x:v>3.968</x:v>
      </x:c>
      <x:c r="H1122" s="13" t="n">
        <x:v>0.438</x:v>
      </x:c>
      <x:c r="I1122" s="13" t="n">
        <x:v>0</x:v>
      </x:c>
      <x:c r="J1122" s="12" t="str">
        <x:v>adopt</x:v>
      </x:c>
      <x:c r="K1122" s="12" t="str">
        <x:v>none</x:v>
      </x:c>
      <x:c r="L1122" s="13" t="n">
        <x:f>IF(G1122&lt;=I1122,0,MAX(0,L1119)+IF(E1122="via",MAX(0,G1122-MAX(F1122,I1122)),0))</x:f>
        <x:v>3.968</x:v>
      </x:c>
    </x:row>
    <x:row r="1123" ht="42" customHeight="1">
      <x:c r="A1123" s="7" t="str">
        <x:v>DP3-B-R2</x:v>
      </x:c>
      <x:c r="B1123" s="7" t="str">
        <x:v>U05</x:v>
      </x:c>
      <x:c r="C1123" s="7" t="str">
        <x:v>first_audio_output</x:v>
      </x:c>
      <x:c r="D1123" s="7" t="str">
        <x:v>공통 장치의 첫 음성 출력</x:v>
      </x:c>
      <x:c r="E1123" s="7" t="str">
        <x:v>via</x:v>
      </x:c>
      <x:c r="F1123" s="14" t="n">
        <x:v>3.968</x:v>
      </x:c>
      <x:c r="G1123" s="14" t="n">
        <x:v>4.008</x:v>
      </x:c>
      <x:c r="H1123" s="14" t="n">
        <x:v>0.04</x:v>
      </x:c>
      <x:c r="I1123" s="14" t="n">
        <x:v>0</x:v>
      </x:c>
      <x:c r="J1123" s="7" t="str">
        <x:v>adopt, first_chunk</x:v>
      </x:c>
      <x:c r="K1123" s="7" t="str">
        <x:v>none</x:v>
      </x:c>
      <x:c r="L1123" s="14" t="n">
        <x:f>IF(G1123&lt;=I1123,0,MAX(0,L1119,L1122)+IF(E1123="via",MAX(0,G1123-MAX(F1123,I1123)),0))</x:f>
        <x:v>4.008</x:v>
      </x:c>
    </x:row>
    <x:row r="1124" ht="42" customHeight="1">
      <x:c r="A1124" s="12" t="str">
        <x:v>DP3-B-R2</x:v>
      </x:c>
      <x:c r="B1124" s="12" t="str">
        <x:v>U05</x:v>
      </x:c>
      <x:c r="C1124" s="12" t="str">
        <x:v>terminal</x:v>
      </x:c>
      <x:c r="D1124" s="12" t="str">
        <x:v>공통 목표 최종 상태와 전체 음성 준비</x:v>
      </x:c>
      <x:c r="E1124" s="12" t="str">
        <x:v>via</x:v>
      </x:c>
      <x:c r="F1124" s="13" t="n">
        <x:v>5.417999999999999</x:v>
      </x:c>
      <x:c r="G1124" s="13" t="n">
        <x:v>5.417999999999999</x:v>
      </x:c>
      <x:c r="H1124" s="13" t="n">
        <x:v>0</x:v>
      </x:c>
      <x:c r="I1124" s="13" t="n">
        <x:v>0</x:v>
      </x:c>
      <x:c r="J1124" s="12" t="str">
        <x:v>first_display, response_audio, first_audio_output</x:v>
      </x:c>
      <x:c r="K1124" s="12" t="str">
        <x:v>none</x:v>
      </x:c>
      <x:c r="L1124" s="13" t="n">
        <x:f>IF(G1124&lt;=I1124,0,MAX(0,L1120,L1121,L1123)+IF(E1124="via",MAX(0,G1124-MAX(F1124,I1124)),0))</x:f>
        <x:v>5.417999999999999</x:v>
      </x:c>
    </x:row>
    <x:row r="1125" ht="42" customHeight="1">
      <x:c r="A1125" s="7" t="str">
        <x:v>DP3-B-R2</x:v>
      </x:c>
      <x:c r="B1125" s="7" t="str">
        <x:v>U06</x:v>
      </x:c>
      <x:c r="C1125" s="7" t="str">
        <x:v>bg1</x:v>
      </x:c>
      <x:c r="D1125" s="7" t="str">
        <x:v>진행 중인 현재 대화의 의미 step</x:v>
      </x:c>
      <x:c r="E1125" s="7" t="str">
        <x:v>via</x:v>
      </x:c>
      <x:c r="F1125" s="14" t="n">
        <x:v>-1</x:v>
      </x:c>
      <x:c r="G1125" s="14" t="n">
        <x:v>2.4</x:v>
      </x:c>
      <x:c r="H1125" s="14" t="n">
        <x:v>3.4</x:v>
      </x:c>
      <x:c r="I1125" s="14" t="n">
        <x:v>0</x:v>
      </x:c>
      <x:c r="J1125" s="7" t="str"/>
      <x:c r="K1125" s="7" t="str">
        <x:v>semantic</x:v>
      </x:c>
      <x:c r="L1125" s="14" t="n">
        <x:f>IF(G1125&lt;=I1125,0,MAX(0)+IF(E1125="via",MAX(0,G1125-MAX(F1125,I1125)),0))</x:f>
        <x:v>2.4</x:v>
      </x:c>
    </x:row>
    <x:row r="1126" ht="42" customHeight="1">
      <x:c r="A1126" s="12" t="str">
        <x:v>DP3-B-R2</x:v>
      </x:c>
      <x:c r="B1126" s="12" t="str">
        <x:v>U06</x:v>
      </x:c>
      <x:c r="C1126" s="12" t="str">
        <x:v>input_end</x:v>
      </x:c>
      <x:c r="D1126" s="12" t="str">
        <x:v>사용자 입력 종료</x:v>
      </x:c>
      <x:c r="E1126" s="12" t="str">
        <x:v>external</x:v>
      </x:c>
      <x:c r="F1126" s="13" t="n">
        <x:v>0</x:v>
      </x:c>
      <x:c r="G1126" s="13" t="n">
        <x:v>0</x:v>
      </x:c>
      <x:c r="H1126" s="13" t="n">
        <x:v>0</x:v>
      </x:c>
      <x:c r="I1126" s="13" t="n">
        <x:v>0</x:v>
      </x:c>
      <x:c r="J1126" s="12" t="str"/>
      <x:c r="K1126" s="12" t="str">
        <x:v>none</x:v>
      </x:c>
      <x:c r="L1126" s="13" t="n">
        <x:f>IF(G1126&lt;=I1126,0,MAX(0)+IF(E1126="via",MAX(0,G1126-MAX(F1126,I1126)),0))</x:f>
        <x:v>0</x:v>
      </x:c>
    </x:row>
    <x:row r="1127" ht="42" customHeight="1">
      <x:c r="A1127" s="7" t="str">
        <x:v>DP3-B-R2</x:v>
      </x:c>
      <x:c r="B1127" s="7" t="str">
        <x:v>U06</x:v>
      </x:c>
      <x:c r="C1127" s="7" t="str">
        <x:v>intake</x:v>
      </x:c>
      <x:c r="D1127" s="7" t="str">
        <x:v>입력 확정</x:v>
      </x:c>
      <x:c r="E1127" s="7" t="str">
        <x:v>via</x:v>
      </x:c>
      <x:c r="F1127" s="14" t="n">
        <x:v>0</x:v>
      </x:c>
      <x:c r="G1127" s="14" t="n">
        <x:v>0.06</x:v>
      </x:c>
      <x:c r="H1127" s="14" t="n">
        <x:v>0.06</x:v>
      </x:c>
      <x:c r="I1127" s="14" t="n">
        <x:v>0</x:v>
      </x:c>
      <x:c r="J1127" s="7" t="str">
        <x:v>input_end</x:v>
      </x:c>
      <x:c r="K1127" s="7" t="str">
        <x:v>none</x:v>
      </x:c>
      <x:c r="L1127" s="14" t="n">
        <x:f>IF(G1127&lt;=I1127,0,MAX(0,L1126)+IF(E1127="via",MAX(0,G1127-MAX(F1127,I1127)),0))</x:f>
        <x:v>0.06</x:v>
      </x:c>
    </x:row>
    <x:row r="1128" ht="42" customHeight="1">
      <x:c r="A1128" s="12" t="str">
        <x:v>DP3-B-R2</x:v>
      </x:c>
      <x:c r="B1128" s="12" t="str">
        <x:v>U06</x:v>
      </x:c>
      <x:c r="C1128" s="12" t="str">
        <x:v>read</x:v>
      </x:c>
      <x:c r="D1128" s="12" t="str">
        <x:v>공통 허용 원본 조회</x:v>
      </x:c>
      <x:c r="E1128" s="12" t="str">
        <x:v>via</x:v>
      </x:c>
      <x:c r="F1128" s="13" t="n">
        <x:v>0.06</x:v>
      </x:c>
      <x:c r="G1128" s="13" t="n">
        <x:v>0.14</x:v>
      </x:c>
      <x:c r="H1128" s="13" t="n">
        <x:v>0.08</x:v>
      </x:c>
      <x:c r="I1128" s="13" t="n">
        <x:v>0</x:v>
      </x:c>
      <x:c r="J1128" s="12" t="str">
        <x:v>intake</x:v>
      </x:c>
      <x:c r="K1128" s="12" t="str">
        <x:v>none</x:v>
      </x:c>
      <x:c r="L1128" s="13" t="n">
        <x:f>IF(G1128&lt;=I1128,0,MAX(0,L1127)+IF(E1128="via",MAX(0,G1128-MAX(F1128,I1128)),0))</x:f>
        <x:v>0.14</x:v>
      </x:c>
    </x:row>
    <x:row r="1129" ht="42" customHeight="1">
      <x:c r="A1129" s="7" t="str">
        <x:v>DP3-B-R2</x:v>
      </x:c>
      <x:c r="B1129" s="7" t="str">
        <x:v>U06</x:v>
      </x:c>
      <x:c r="C1129" s="7" t="str">
        <x:v>meaning</x:v>
      </x:c>
      <x:c r="D1129" s="7" t="str">
        <x:v>최초 요청 의미 채택 packet 생성</x:v>
      </x:c>
      <x:c r="E1129" s="7" t="str">
        <x:v>via</x:v>
      </x:c>
      <x:c r="F1129" s="14" t="n">
        <x:v>2.4</x:v>
      </x:c>
      <x:c r="G1129" s="14" t="n">
        <x:v>3.5</x:v>
      </x:c>
      <x:c r="H1129" s="14" t="n">
        <x:v>1.1</x:v>
      </x:c>
      <x:c r="I1129" s="14" t="n">
        <x:v>0</x:v>
      </x:c>
      <x:c r="J1129" s="7" t="str">
        <x:v>read, bg1</x:v>
      </x:c>
      <x:c r="K1129" s="7" t="str">
        <x:v>semantic</x:v>
      </x:c>
      <x:c r="L1129" s="14" t="n">
        <x:f>IF(G1129&lt;=I1129,0,MAX(0,L1128,L1125)+IF(E1129="via",MAX(0,G1129-MAX(F1129,I1129)),0))</x:f>
        <x:v>3.5</x:v>
      </x:c>
    </x:row>
    <x:row r="1130" ht="42" customHeight="1">
      <x:c r="A1130" s="12" t="str">
        <x:v>DP3-B-R2</x:v>
      </x:c>
      <x:c r="B1130" s="12" t="str">
        <x:v>U06</x:v>
      </x:c>
      <x:c r="C1130" s="12" t="str">
        <x:v>adopt</x:v>
      </x:c>
      <x:c r="D1130" s="12" t="str">
        <x:v>현재 revision과 권한 검사 및 채택</x:v>
      </x:c>
      <x:c r="E1130" s="12" t="str">
        <x:v>via</x:v>
      </x:c>
      <x:c r="F1130" s="13" t="n">
        <x:v>3.5</x:v>
      </x:c>
      <x:c r="G1130" s="13" t="n">
        <x:v>3.53</x:v>
      </x:c>
      <x:c r="H1130" s="13" t="n">
        <x:v>0.03</x:v>
      </x:c>
      <x:c r="I1130" s="13" t="n">
        <x:v>0</x:v>
      </x:c>
      <x:c r="J1130" s="12" t="str">
        <x:v>meaning</x:v>
      </x:c>
      <x:c r="K1130" s="12" t="str">
        <x:v>none</x:v>
      </x:c>
      <x:c r="L1130" s="13" t="n">
        <x:f>IF(G1130&lt;=I1130,0,MAX(0,L1129)+IF(E1130="via",MAX(0,G1130-MAX(F1130,I1130)),0))</x:f>
        <x:v>3.53</x:v>
      </x:c>
    </x:row>
    <x:row r="1131" ht="42" customHeight="1">
      <x:c r="A1131" s="7" t="str">
        <x:v>DP3-B-R2</x:v>
      </x:c>
      <x:c r="B1131" s="7" t="str">
        <x:v>U06</x:v>
      </x:c>
      <x:c r="C1131" s="7" t="str">
        <x:v>first_display</x:v>
      </x:c>
      <x:c r="D1131" s="7" t="str">
        <x:v>첫 구체적 채택 내용 화면 표시</x:v>
      </x:c>
      <x:c r="E1131" s="7" t="str">
        <x:v>via</x:v>
      </x:c>
      <x:c r="F1131" s="14" t="n">
        <x:v>3.53</x:v>
      </x:c>
      <x:c r="G1131" s="14" t="n">
        <x:v>3.57</x:v>
      </x:c>
      <x:c r="H1131" s="14" t="n">
        <x:v>0.04</x:v>
      </x:c>
      <x:c r="I1131" s="14" t="n">
        <x:v>0</x:v>
      </x:c>
      <x:c r="J1131" s="7" t="str">
        <x:v>adopt</x:v>
      </x:c>
      <x:c r="K1131" s="7" t="str">
        <x:v>none</x:v>
      </x:c>
      <x:c r="L1131" s="14" t="n">
        <x:f>IF(G1131&lt;=I1131,0,MAX(0,L1130)+IF(E1131="via",MAX(0,G1131-MAX(F1131,I1131)),0))</x:f>
        <x:v>3.57</x:v>
      </x:c>
    </x:row>
    <x:row r="1132" ht="42" customHeight="1">
      <x:c r="A1132" s="12" t="str">
        <x:v>DP3-B-R2</x:v>
      </x:c>
      <x:c r="B1132" s="12" t="str">
        <x:v>U06</x:v>
      </x:c>
      <x:c r="C1132" s="12" t="str">
        <x:v>long_work</x:v>
      </x:c>
      <x:c r="D1132" s="12" t="str">
        <x:v>요청의 남은 VIA 판단</x:v>
      </x:c>
      <x:c r="E1132" s="12" t="str">
        <x:v>via</x:v>
      </x:c>
      <x:c r="F1132" s="13" t="n">
        <x:v>3.53</x:v>
      </x:c>
      <x:c r="G1132" s="13" t="n">
        <x:v>5.13</x:v>
      </x:c>
      <x:c r="H1132" s="13" t="n">
        <x:v>1.6</x:v>
      </x:c>
      <x:c r="I1132" s="13" t="n">
        <x:v>0</x:v>
      </x:c>
      <x:c r="J1132" s="12" t="str">
        <x:v>adopt</x:v>
      </x:c>
      <x:c r="K1132" s="12" t="str">
        <x:v>semantic</x:v>
      </x:c>
      <x:c r="L1132" s="13" t="n">
        <x:f>IF(G1132&lt;=I1132,0,MAX(0,L1130)+IF(E1132="via",MAX(0,G1132-MAX(F1132,I1132)),0))</x:f>
        <x:v>5.13</x:v>
      </x:c>
    </x:row>
    <x:row r="1133" ht="42" customHeight="1">
      <x:c r="A1133" s="7" t="str">
        <x:v>DP3-B-R2</x:v>
      </x:c>
      <x:c r="B1133" s="7" t="str">
        <x:v>U06</x:v>
      </x:c>
      <x:c r="C1133" s="7" t="str">
        <x:v>result_display</x:v>
      </x:c>
      <x:c r="D1133" s="7" t="str">
        <x:v>최종 설명 상세 표시</x:v>
      </x:c>
      <x:c r="E1133" s="7" t="str">
        <x:v>via</x:v>
      </x:c>
      <x:c r="F1133" s="14" t="n">
        <x:v>5.13</x:v>
      </x:c>
      <x:c r="G1133" s="14" t="n">
        <x:v>5.17</x:v>
      </x:c>
      <x:c r="H1133" s="14" t="n">
        <x:v>0.04</x:v>
      </x:c>
      <x:c r="I1133" s="14" t="n">
        <x:v>0</x:v>
      </x:c>
      <x:c r="J1133" s="7" t="str">
        <x:v>long_work</x:v>
      </x:c>
      <x:c r="K1133" s="7" t="str">
        <x:v>none</x:v>
      </x:c>
      <x:c r="L1133" s="14" t="n">
        <x:f>IF(G1133&lt;=I1133,0,MAX(0,L1132)+IF(E1133="via",MAX(0,G1133-MAX(F1133,I1133)),0))</x:f>
        <x:v>5.17</x:v>
      </x:c>
    </x:row>
    <x:row r="1134" ht="42" customHeight="1">
      <x:c r="A1134" s="12" t="str">
        <x:v>DP3-B-R2</x:v>
      </x:c>
      <x:c r="B1134" s="12" t="str">
        <x:v>U06</x:v>
      </x:c>
      <x:c r="C1134" s="12" t="str">
        <x:v>response_audio</x:v>
      </x:c>
      <x:c r="D1134" s="12" t="str">
        <x:v>선택한 응답 음성 생성</x:v>
      </x:c>
      <x:c r="E1134" s="12" t="str">
        <x:v>via</x:v>
      </x:c>
      <x:c r="F1134" s="13" t="n">
        <x:v>5.13</x:v>
      </x:c>
      <x:c r="G1134" s="13" t="n">
        <x:v>7.018</x:v>
      </x:c>
      <x:c r="H1134" s="13" t="n">
        <x:v>1.888</x:v>
      </x:c>
      <x:c r="I1134" s="13" t="n">
        <x:v>0</x:v>
      </x:c>
      <x:c r="J1134" s="12" t="str">
        <x:v>long_work</x:v>
      </x:c>
      <x:c r="K1134" s="12" t="str">
        <x:v>speech</x:v>
      </x:c>
      <x:c r="L1134" s="13" t="n">
        <x:f>IF(G1134&lt;=I1134,0,MAX(0,L1132)+IF(E1134="via",MAX(0,G1134-MAX(F1134,I1134)),0))</x:f>
        <x:v>7.018</x:v>
      </x:c>
    </x:row>
    <x:row r="1135" ht="42" customHeight="1">
      <x:c r="A1135" s="7" t="str">
        <x:v>DP3-B-R2</x:v>
      </x:c>
      <x:c r="B1135" s="7" t="str">
        <x:v>U06</x:v>
      </x:c>
      <x:c r="C1135" s="7" t="str">
        <x:v>intent_audio</x:v>
      </x:c>
      <x:c r="D1135" s="7" t="str">
        <x:v>채택한 구체적 수행 의도의 짧은 음성</x:v>
      </x:c>
      <x:c r="E1135" s="7" t="str">
        <x:v>via</x:v>
      </x:c>
      <x:c r="F1135" s="14" t="n">
        <x:v>3.53</x:v>
      </x:c>
      <x:c r="G1135" s="14" t="n">
        <x:v>4.664</x:v>
      </x:c>
      <x:c r="H1135" s="14" t="n">
        <x:v>1.134</x:v>
      </x:c>
      <x:c r="I1135" s="14" t="n">
        <x:v>0</x:v>
      </x:c>
      <x:c r="J1135" s="7" t="str">
        <x:v>adopt</x:v>
      </x:c>
      <x:c r="K1135" s="7" t="str">
        <x:v>speech</x:v>
      </x:c>
      <x:c r="L1135" s="14" t="n">
        <x:f>IF(G1135&lt;=I1135,0,MAX(0,L1130)+IF(E1135="via",MAX(0,G1135-MAX(F1135,I1135)),0))</x:f>
        <x:v>4.664</x:v>
      </x:c>
    </x:row>
    <x:row r="1136" ht="42" customHeight="1">
      <x:c r="A1136" s="12" t="str">
        <x:v>DP3-B-R2</x:v>
      </x:c>
      <x:c r="B1136" s="12" t="str">
        <x:v>U06</x:v>
      </x:c>
      <x:c r="C1136" s="12" t="str">
        <x:v>first_chunk</x:v>
      </x:c>
      <x:c r="D1136" s="12" t="str">
        <x:v>같은 생성 job의 유효 첫 chunk 관측</x:v>
      </x:c>
      <x:c r="E1136" s="12" t="str">
        <x:v>via</x:v>
      </x:c>
      <x:c r="F1136" s="13" t="n">
        <x:v>3.53</x:v>
      </x:c>
      <x:c r="G1136" s="13" t="n">
        <x:v>3.964</x:v>
      </x:c>
      <x:c r="H1136" s="13" t="n">
        <x:v>0.434</x:v>
      </x:c>
      <x:c r="I1136" s="13" t="n">
        <x:v>0</x:v>
      </x:c>
      <x:c r="J1136" s="12" t="str">
        <x:v>adopt</x:v>
      </x:c>
      <x:c r="K1136" s="12" t="str">
        <x:v>none</x:v>
      </x:c>
      <x:c r="L1136" s="13" t="n">
        <x:f>IF(G1136&lt;=I1136,0,MAX(0,L1130)+IF(E1136="via",MAX(0,G1136-MAX(F1136,I1136)),0))</x:f>
        <x:v>3.964</x:v>
      </x:c>
    </x:row>
    <x:row r="1137" ht="42" customHeight="1">
      <x:c r="A1137" s="7" t="str">
        <x:v>DP3-B-R2</x:v>
      </x:c>
      <x:c r="B1137" s="7" t="str">
        <x:v>U06</x:v>
      </x:c>
      <x:c r="C1137" s="7" t="str">
        <x:v>first_audio_output</x:v>
      </x:c>
      <x:c r="D1137" s="7" t="str">
        <x:v>공통 장치의 첫 음성 출력</x:v>
      </x:c>
      <x:c r="E1137" s="7" t="str">
        <x:v>via</x:v>
      </x:c>
      <x:c r="F1137" s="14" t="n">
        <x:v>3.964</x:v>
      </x:c>
      <x:c r="G1137" s="14" t="n">
        <x:v>4.004</x:v>
      </x:c>
      <x:c r="H1137" s="14" t="n">
        <x:v>0.04</x:v>
      </x:c>
      <x:c r="I1137" s="14" t="n">
        <x:v>0</x:v>
      </x:c>
      <x:c r="J1137" s="7" t="str">
        <x:v>adopt, first_chunk</x:v>
      </x:c>
      <x:c r="K1137" s="7" t="str">
        <x:v>none</x:v>
      </x:c>
      <x:c r="L1137" s="14" t="n">
        <x:f>IF(G1137&lt;=I1137,0,MAX(0,L1130,L1136)+IF(E1137="via",MAX(0,G1137-MAX(F1137,I1137)),0))</x:f>
        <x:v>4.004</x:v>
      </x:c>
    </x:row>
    <x:row r="1138" ht="42" customHeight="1">
      <x:c r="A1138" s="12" t="str">
        <x:v>DP3-B-R2</x:v>
      </x:c>
      <x:c r="B1138" s="12" t="str">
        <x:v>U06</x:v>
      </x:c>
      <x:c r="C1138" s="12" t="str">
        <x:v>next_speech_selection</x:v>
      </x:c>
      <x:c r="D1138" s="12" t="str">
        <x:v>현재 발화 재생 후 다음 응답 선택</x:v>
      </x:c>
      <x:c r="E1138" s="12" t="str">
        <x:v>external</x:v>
      </x:c>
      <x:c r="F1138" s="13" t="n">
        <x:v>4.004</x:v>
      </x:c>
      <x:c r="G1138" s="13" t="n">
        <x:v>7.004</x:v>
      </x:c>
      <x:c r="H1138" s="13" t="n">
        <x:v>3</x:v>
      </x:c>
      <x:c r="I1138" s="13" t="n">
        <x:v>0</x:v>
      </x:c>
      <x:c r="J1138" s="12" t="str">
        <x:v>first_audio_output</x:v>
      </x:c>
      <x:c r="K1138" s="12" t="str">
        <x:v>none</x:v>
      </x:c>
      <x:c r="L1138" s="13" t="n">
        <x:f>IF(G1138&lt;=I1138,0,MAX(0,L1137)+IF(E1138="via",MAX(0,G1138-MAX(F1138,I1138)),0))</x:f>
        <x:v>4.004</x:v>
      </x:c>
    </x:row>
    <x:row r="1139" ht="42" customHeight="1">
      <x:c r="A1139" s="7" t="str">
        <x:v>DP3-B-R2</x:v>
      </x:c>
      <x:c r="B1139" s="7" t="str">
        <x:v>U06</x:v>
      </x:c>
      <x:c r="C1139" s="7" t="str">
        <x:v>terminal</x:v>
      </x:c>
      <x:c r="D1139" s="7" t="str">
        <x:v>공통 목표 최종 상태와 전체 음성 준비</x:v>
      </x:c>
      <x:c r="E1139" s="7" t="str">
        <x:v>via</x:v>
      </x:c>
      <x:c r="F1139" s="14" t="n">
        <x:v>7.018</x:v>
      </x:c>
      <x:c r="G1139" s="14" t="n">
        <x:v>7.018</x:v>
      </x:c>
      <x:c r="H1139" s="14" t="n">
        <x:v>0</x:v>
      </x:c>
      <x:c r="I1139" s="14" t="n">
        <x:v>0</x:v>
      </x:c>
      <x:c r="J1139" s="7" t="str">
        <x:v>result_display, response_audio, intent_audio, first_audio_output</x:v>
      </x:c>
      <x:c r="K1139" s="7" t="str">
        <x:v>none</x:v>
      </x:c>
      <x:c r="L1139" s="14" t="n">
        <x:f>IF(G1139&lt;=I1139,0,MAX(0,L1133,L1134,L1135,L1137)+IF(E1139="via",MAX(0,G1139-MAX(F1139,I1139)),0))</x:f>
        <x:v>7.018</x:v>
      </x:c>
    </x:row>
    <x:row r="1140" ht="42" customHeight="1">
      <x:c r="A1140" s="12" t="str">
        <x:v>DP3-B-R2</x:v>
      </x:c>
      <x:c r="B1140" s="12" t="str">
        <x:v>U07</x:v>
      </x:c>
      <x:c r="C1140" s="12" t="str">
        <x:v>bg1</x:v>
      </x:c>
      <x:c r="D1140" s="12" t="str">
        <x:v>진행 중인 현재 대화의 의미 step</x:v>
      </x:c>
      <x:c r="E1140" s="12" t="str">
        <x:v>via</x:v>
      </x:c>
      <x:c r="F1140" s="13" t="n">
        <x:v>-1</x:v>
      </x:c>
      <x:c r="G1140" s="13" t="n">
        <x:v>2.4</x:v>
      </x:c>
      <x:c r="H1140" s="13" t="n">
        <x:v>3.4</x:v>
      </x:c>
      <x:c r="I1140" s="13" t="n">
        <x:v>0</x:v>
      </x:c>
      <x:c r="J1140" s="12" t="str"/>
      <x:c r="K1140" s="12" t="str">
        <x:v>semantic</x:v>
      </x:c>
      <x:c r="L1140" s="13" t="n">
        <x:f>IF(G1140&lt;=I1140,0,MAX(0)+IF(E1140="via",MAX(0,G1140-MAX(F1140,I1140)),0))</x:f>
        <x:v>2.4</x:v>
      </x:c>
    </x:row>
    <x:row r="1141" ht="42" customHeight="1">
      <x:c r="A1141" s="7" t="str">
        <x:v>DP3-B-R2</x:v>
      </x:c>
      <x:c r="B1141" s="7" t="str">
        <x:v>U07</x:v>
      </x:c>
      <x:c r="C1141" s="7" t="str">
        <x:v>bg2</x:v>
      </x:c>
      <x:c r="D1141" s="7" t="str">
        <x:v>다른 대화의 의미 step</x:v>
      </x:c>
      <x:c r="E1141" s="7" t="str">
        <x:v>via</x:v>
      </x:c>
      <x:c r="F1141" s="14" t="n">
        <x:v>-1</x:v>
      </x:c>
      <x:c r="G1141" s="14" t="n">
        <x:v>2.4</x:v>
      </x:c>
      <x:c r="H1141" s="14" t="n">
        <x:v>3.4</x:v>
      </x:c>
      <x:c r="I1141" s="14" t="n">
        <x:v>0</x:v>
      </x:c>
      <x:c r="J1141" s="7" t="str"/>
      <x:c r="K1141" s="7" t="str">
        <x:v>semantic</x:v>
      </x:c>
      <x:c r="L1141" s="14" t="n">
        <x:f>IF(G1141&lt;=I1141,0,MAX(0)+IF(E1141="via",MAX(0,G1141-MAX(F1141,I1141)),0))</x:f>
        <x:v>2.4</x:v>
      </x:c>
    </x:row>
    <x:row r="1142" ht="42" customHeight="1">
      <x:c r="A1142" s="12" t="str">
        <x:v>DP3-B-R2</x:v>
      </x:c>
      <x:c r="B1142" s="12" t="str">
        <x:v>U07</x:v>
      </x:c>
      <x:c r="C1142" s="12" t="str">
        <x:v>input_end</x:v>
      </x:c>
      <x:c r="D1142" s="12" t="str">
        <x:v>사용자 입력 종료</x:v>
      </x:c>
      <x:c r="E1142" s="12" t="str">
        <x:v>external</x:v>
      </x:c>
      <x:c r="F1142" s="13" t="n">
        <x:v>0</x:v>
      </x:c>
      <x:c r="G1142" s="13" t="n">
        <x:v>0</x:v>
      </x:c>
      <x:c r="H1142" s="13" t="n">
        <x:v>0</x:v>
      </x:c>
      <x:c r="I1142" s="13" t="n">
        <x:v>0</x:v>
      </x:c>
      <x:c r="J1142" s="12" t="str"/>
      <x:c r="K1142" s="12" t="str">
        <x:v>none</x:v>
      </x:c>
      <x:c r="L1142" s="13" t="n">
        <x:f>IF(G1142&lt;=I1142,0,MAX(0)+IF(E1142="via",MAX(0,G1142-MAX(F1142,I1142)),0))</x:f>
        <x:v>0</x:v>
      </x:c>
    </x:row>
    <x:row r="1143" ht="42" customHeight="1">
      <x:c r="A1143" s="7" t="str">
        <x:v>DP3-B-R2</x:v>
      </x:c>
      <x:c r="B1143" s="7" t="str">
        <x:v>U07</x:v>
      </x:c>
      <x:c r="C1143" s="7" t="str">
        <x:v>intake</x:v>
      </x:c>
      <x:c r="D1143" s="7" t="str">
        <x:v>입력 확정</x:v>
      </x:c>
      <x:c r="E1143" s="7" t="str">
        <x:v>via</x:v>
      </x:c>
      <x:c r="F1143" s="14" t="n">
        <x:v>0</x:v>
      </x:c>
      <x:c r="G1143" s="14" t="n">
        <x:v>0.3</x:v>
      </x:c>
      <x:c r="H1143" s="14" t="n">
        <x:v>0.3</x:v>
      </x:c>
      <x:c r="I1143" s="14" t="n">
        <x:v>0</x:v>
      </x:c>
      <x:c r="J1143" s="7" t="str">
        <x:v>input_end</x:v>
      </x:c>
      <x:c r="K1143" s="7" t="str">
        <x:v>none</x:v>
      </x:c>
      <x:c r="L1143" s="14" t="n">
        <x:f>IF(G1143&lt;=I1143,0,MAX(0,L1142)+IF(E1143="via",MAX(0,G1143-MAX(F1143,I1143)),0))</x:f>
        <x:v>0.3</x:v>
      </x:c>
    </x:row>
    <x:row r="1144" ht="42" customHeight="1">
      <x:c r="A1144" s="12" t="str">
        <x:v>DP3-B-R2</x:v>
      </x:c>
      <x:c r="B1144" s="12" t="str">
        <x:v>U07</x:v>
      </x:c>
      <x:c r="C1144" s="12" t="str">
        <x:v>read</x:v>
      </x:c>
      <x:c r="D1144" s="12" t="str">
        <x:v>공통 허용 원본 조회</x:v>
      </x:c>
      <x:c r="E1144" s="12" t="str">
        <x:v>via</x:v>
      </x:c>
      <x:c r="F1144" s="13" t="n">
        <x:v>0.3</x:v>
      </x:c>
      <x:c r="G1144" s="13" t="n">
        <x:v>0.38</x:v>
      </x:c>
      <x:c r="H1144" s="13" t="n">
        <x:v>0.08</x:v>
      </x:c>
      <x:c r="I1144" s="13" t="n">
        <x:v>0</x:v>
      </x:c>
      <x:c r="J1144" s="12" t="str">
        <x:v>intake</x:v>
      </x:c>
      <x:c r="K1144" s="12" t="str">
        <x:v>none</x:v>
      </x:c>
      <x:c r="L1144" s="13" t="n">
        <x:f>IF(G1144&lt;=I1144,0,MAX(0,L1143)+IF(E1144="via",MAX(0,G1144-MAX(F1144,I1144)),0))</x:f>
        <x:v>0.38</x:v>
      </x:c>
    </x:row>
    <x:row r="1145" ht="42" customHeight="1">
      <x:c r="A1145" s="7" t="str">
        <x:v>DP3-B-R2</x:v>
      </x:c>
      <x:c r="B1145" s="7" t="str">
        <x:v>U07</x:v>
      </x:c>
      <x:c r="C1145" s="7" t="str">
        <x:v>meaning</x:v>
      </x:c>
      <x:c r="D1145" s="7" t="str">
        <x:v>최초 요청 의미 채택 packet 생성</x:v>
      </x:c>
      <x:c r="E1145" s="7" t="str">
        <x:v>via</x:v>
      </x:c>
      <x:c r="F1145" s="14" t="n">
        <x:v>2.4</x:v>
      </x:c>
      <x:c r="G1145" s="14" t="n">
        <x:v>3.5</x:v>
      </x:c>
      <x:c r="H1145" s="14" t="n">
        <x:v>1.1</x:v>
      </x:c>
      <x:c r="I1145" s="14" t="n">
        <x:v>0</x:v>
      </x:c>
      <x:c r="J1145" s="7" t="str">
        <x:v>read, bg1</x:v>
      </x:c>
      <x:c r="K1145" s="7" t="str">
        <x:v>semantic</x:v>
      </x:c>
      <x:c r="L1145" s="14" t="n">
        <x:f>IF(G1145&lt;=I1145,0,MAX(0,L1144,L1140)+IF(E1145="via",MAX(0,G1145-MAX(F1145,I1145)),0))</x:f>
        <x:v>3.5</x:v>
      </x:c>
    </x:row>
    <x:row r="1146" ht="42" customHeight="1">
      <x:c r="A1146" s="12" t="str">
        <x:v>DP3-B-R2</x:v>
      </x:c>
      <x:c r="B1146" s="12" t="str">
        <x:v>U07</x:v>
      </x:c>
      <x:c r="C1146" s="12" t="str">
        <x:v>adopt</x:v>
      </x:c>
      <x:c r="D1146" s="12" t="str">
        <x:v>현재 revision과 권한 검사 및 채택</x:v>
      </x:c>
      <x:c r="E1146" s="12" t="str">
        <x:v>via</x:v>
      </x:c>
      <x:c r="F1146" s="13" t="n">
        <x:v>3.5</x:v>
      </x:c>
      <x:c r="G1146" s="13" t="n">
        <x:v>3.53</x:v>
      </x:c>
      <x:c r="H1146" s="13" t="n">
        <x:v>0.03</x:v>
      </x:c>
      <x:c r="I1146" s="13" t="n">
        <x:v>0</x:v>
      </x:c>
      <x:c r="J1146" s="12" t="str">
        <x:v>meaning</x:v>
      </x:c>
      <x:c r="K1146" s="12" t="str">
        <x:v>none</x:v>
      </x:c>
      <x:c r="L1146" s="13" t="n">
        <x:f>IF(G1146&lt;=I1146,0,MAX(0,L1145)+IF(E1146="via",MAX(0,G1146-MAX(F1146,I1146)),0))</x:f>
        <x:v>3.53</x:v>
      </x:c>
    </x:row>
    <x:row r="1147" ht="42" customHeight="1">
      <x:c r="A1147" s="7" t="str">
        <x:v>DP3-B-R2</x:v>
      </x:c>
      <x:c r="B1147" s="7" t="str">
        <x:v>U07</x:v>
      </x:c>
      <x:c r="C1147" s="7" t="str">
        <x:v>first_display</x:v>
      </x:c>
      <x:c r="D1147" s="7" t="str">
        <x:v>첫 구체적 채택 내용 화면 표시</x:v>
      </x:c>
      <x:c r="E1147" s="7" t="str">
        <x:v>via</x:v>
      </x:c>
      <x:c r="F1147" s="14" t="n">
        <x:v>3.53</x:v>
      </x:c>
      <x:c r="G1147" s="14" t="n">
        <x:v>3.57</x:v>
      </x:c>
      <x:c r="H1147" s="14" t="n">
        <x:v>0.04</x:v>
      </x:c>
      <x:c r="I1147" s="14" t="n">
        <x:v>0</x:v>
      </x:c>
      <x:c r="J1147" s="7" t="str">
        <x:v>adopt</x:v>
      </x:c>
      <x:c r="K1147" s="7" t="str">
        <x:v>none</x:v>
      </x:c>
      <x:c r="L1147" s="14" t="n">
        <x:f>IF(G1147&lt;=I1147,0,MAX(0,L1146)+IF(E1147="via",MAX(0,G1147-MAX(F1147,I1147)),0))</x:f>
        <x:v>3.57</x:v>
      </x:c>
    </x:row>
    <x:row r="1148" ht="42" customHeight="1">
      <x:c r="A1148" s="12" t="str">
        <x:v>DP3-B-R2</x:v>
      </x:c>
      <x:c r="B1148" s="12" t="str">
        <x:v>U07</x:v>
      </x:c>
      <x:c r="C1148" s="12" t="str">
        <x:v>long_work</x:v>
      </x:c>
      <x:c r="D1148" s="12" t="str">
        <x:v>요청의 남은 VIA 판단</x:v>
      </x:c>
      <x:c r="E1148" s="12" t="str">
        <x:v>via</x:v>
      </x:c>
      <x:c r="F1148" s="13" t="n">
        <x:v>3.53</x:v>
      </x:c>
      <x:c r="G1148" s="13" t="n">
        <x:v>5.13</x:v>
      </x:c>
      <x:c r="H1148" s="13" t="n">
        <x:v>1.6</x:v>
      </x:c>
      <x:c r="I1148" s="13" t="n">
        <x:v>0</x:v>
      </x:c>
      <x:c r="J1148" s="12" t="str">
        <x:v>adopt</x:v>
      </x:c>
      <x:c r="K1148" s="12" t="str">
        <x:v>semantic</x:v>
      </x:c>
      <x:c r="L1148" s="13" t="n">
        <x:f>IF(G1148&lt;=I1148,0,MAX(0,L1146)+IF(E1148="via",MAX(0,G1148-MAX(F1148,I1148)),0))</x:f>
        <x:v>5.13</x:v>
      </x:c>
    </x:row>
    <x:row r="1149" ht="42" customHeight="1">
      <x:c r="A1149" s="7" t="str">
        <x:v>DP3-B-R2</x:v>
      </x:c>
      <x:c r="B1149" s="7" t="str">
        <x:v>U07</x:v>
      </x:c>
      <x:c r="C1149" s="7" t="str">
        <x:v>result_display</x:v>
      </x:c>
      <x:c r="D1149" s="7" t="str">
        <x:v>최종 설명 상세 표시</x:v>
      </x:c>
      <x:c r="E1149" s="7" t="str">
        <x:v>via</x:v>
      </x:c>
      <x:c r="F1149" s="14" t="n">
        <x:v>5.13</x:v>
      </x:c>
      <x:c r="G1149" s="14" t="n">
        <x:v>5.17</x:v>
      </x:c>
      <x:c r="H1149" s="14" t="n">
        <x:v>0.04</x:v>
      </x:c>
      <x:c r="I1149" s="14" t="n">
        <x:v>0</x:v>
      </x:c>
      <x:c r="J1149" s="7" t="str">
        <x:v>long_work</x:v>
      </x:c>
      <x:c r="K1149" s="7" t="str">
        <x:v>none</x:v>
      </x:c>
      <x:c r="L1149" s="14" t="n">
        <x:f>IF(G1149&lt;=I1149,0,MAX(0,L1148)+IF(E1149="via",MAX(0,G1149-MAX(F1149,I1149)),0))</x:f>
        <x:v>5.17</x:v>
      </x:c>
    </x:row>
    <x:row r="1150" ht="42" customHeight="1">
      <x:c r="A1150" s="12" t="str">
        <x:v>DP3-B-R2</x:v>
      </x:c>
      <x:c r="B1150" s="12" t="str">
        <x:v>U07</x:v>
      </x:c>
      <x:c r="C1150" s="12" t="str">
        <x:v>response_audio</x:v>
      </x:c>
      <x:c r="D1150" s="12" t="str">
        <x:v>선택한 응답 음성 생성</x:v>
      </x:c>
      <x:c r="E1150" s="12" t="str">
        <x:v>via</x:v>
      </x:c>
      <x:c r="F1150" s="13" t="n">
        <x:v>5.13</x:v>
      </x:c>
      <x:c r="G1150" s="13" t="n">
        <x:v>7.018</x:v>
      </x:c>
      <x:c r="H1150" s="13" t="n">
        <x:v>1.888</x:v>
      </x:c>
      <x:c r="I1150" s="13" t="n">
        <x:v>0</x:v>
      </x:c>
      <x:c r="J1150" s="12" t="str">
        <x:v>long_work</x:v>
      </x:c>
      <x:c r="K1150" s="12" t="str">
        <x:v>speech</x:v>
      </x:c>
      <x:c r="L1150" s="13" t="n">
        <x:f>IF(G1150&lt;=I1150,0,MAX(0,L1148)+IF(E1150="via",MAX(0,G1150-MAX(F1150,I1150)),0))</x:f>
        <x:v>7.018</x:v>
      </x:c>
    </x:row>
    <x:row r="1151" ht="42" customHeight="1">
      <x:c r="A1151" s="7" t="str">
        <x:v>DP3-B-R2</x:v>
      </x:c>
      <x:c r="B1151" s="7" t="str">
        <x:v>U07</x:v>
      </x:c>
      <x:c r="C1151" s="7" t="str">
        <x:v>intent_audio</x:v>
      </x:c>
      <x:c r="D1151" s="7" t="str">
        <x:v>채택한 구체적 수행 의도의 짧은 음성</x:v>
      </x:c>
      <x:c r="E1151" s="7" t="str">
        <x:v>via</x:v>
      </x:c>
      <x:c r="F1151" s="14" t="n">
        <x:v>3.53</x:v>
      </x:c>
      <x:c r="G1151" s="14" t="n">
        <x:v>4.664</x:v>
      </x:c>
      <x:c r="H1151" s="14" t="n">
        <x:v>1.134</x:v>
      </x:c>
      <x:c r="I1151" s="14" t="n">
        <x:v>0</x:v>
      </x:c>
      <x:c r="J1151" s="7" t="str">
        <x:v>adopt</x:v>
      </x:c>
      <x:c r="K1151" s="7" t="str">
        <x:v>speech</x:v>
      </x:c>
      <x:c r="L1151" s="14" t="n">
        <x:f>IF(G1151&lt;=I1151,0,MAX(0,L1146)+IF(E1151="via",MAX(0,G1151-MAX(F1151,I1151)),0))</x:f>
        <x:v>4.664</x:v>
      </x:c>
    </x:row>
    <x:row r="1152" ht="42" customHeight="1">
      <x:c r="A1152" s="12" t="str">
        <x:v>DP3-B-R2</x:v>
      </x:c>
      <x:c r="B1152" s="12" t="str">
        <x:v>U07</x:v>
      </x:c>
      <x:c r="C1152" s="12" t="str">
        <x:v>first_chunk</x:v>
      </x:c>
      <x:c r="D1152" s="12" t="str">
        <x:v>같은 생성 job의 유효 첫 chunk 관측</x:v>
      </x:c>
      <x:c r="E1152" s="12" t="str">
        <x:v>via</x:v>
      </x:c>
      <x:c r="F1152" s="13" t="n">
        <x:v>3.53</x:v>
      </x:c>
      <x:c r="G1152" s="13" t="n">
        <x:v>3.964</x:v>
      </x:c>
      <x:c r="H1152" s="13" t="n">
        <x:v>0.434</x:v>
      </x:c>
      <x:c r="I1152" s="13" t="n">
        <x:v>0</x:v>
      </x:c>
      <x:c r="J1152" s="12" t="str">
        <x:v>adopt</x:v>
      </x:c>
      <x:c r="K1152" s="12" t="str">
        <x:v>none</x:v>
      </x:c>
      <x:c r="L1152" s="13" t="n">
        <x:f>IF(G1152&lt;=I1152,0,MAX(0,L1146)+IF(E1152="via",MAX(0,G1152-MAX(F1152,I1152)),0))</x:f>
        <x:v>3.964</x:v>
      </x:c>
    </x:row>
    <x:row r="1153" ht="42" customHeight="1">
      <x:c r="A1153" s="7" t="str">
        <x:v>DP3-B-R2</x:v>
      </x:c>
      <x:c r="B1153" s="7" t="str">
        <x:v>U07</x:v>
      </x:c>
      <x:c r="C1153" s="7" t="str">
        <x:v>first_audio_output</x:v>
      </x:c>
      <x:c r="D1153" s="7" t="str">
        <x:v>공통 장치의 첫 음성 출력</x:v>
      </x:c>
      <x:c r="E1153" s="7" t="str">
        <x:v>via</x:v>
      </x:c>
      <x:c r="F1153" s="14" t="n">
        <x:v>3.964</x:v>
      </x:c>
      <x:c r="G1153" s="14" t="n">
        <x:v>4.004</x:v>
      </x:c>
      <x:c r="H1153" s="14" t="n">
        <x:v>0.04</x:v>
      </x:c>
      <x:c r="I1153" s="14" t="n">
        <x:v>0</x:v>
      </x:c>
      <x:c r="J1153" s="7" t="str">
        <x:v>adopt, first_chunk</x:v>
      </x:c>
      <x:c r="K1153" s="7" t="str">
        <x:v>none</x:v>
      </x:c>
      <x:c r="L1153" s="14" t="n">
        <x:f>IF(G1153&lt;=I1153,0,MAX(0,L1146,L1152)+IF(E1153="via",MAX(0,G1153-MAX(F1153,I1153)),0))</x:f>
        <x:v>4.004</x:v>
      </x:c>
    </x:row>
    <x:row r="1154" ht="42" customHeight="1">
      <x:c r="A1154" s="12" t="str">
        <x:v>DP3-B-R2</x:v>
      </x:c>
      <x:c r="B1154" s="12" t="str">
        <x:v>U07</x:v>
      </x:c>
      <x:c r="C1154" s="12" t="str">
        <x:v>next_speech_selection</x:v>
      </x:c>
      <x:c r="D1154" s="12" t="str">
        <x:v>현재 발화 재생 후 다음 응답 선택</x:v>
      </x:c>
      <x:c r="E1154" s="12" t="str">
        <x:v>external</x:v>
      </x:c>
      <x:c r="F1154" s="13" t="n">
        <x:v>4.004</x:v>
      </x:c>
      <x:c r="G1154" s="13" t="n">
        <x:v>7.004</x:v>
      </x:c>
      <x:c r="H1154" s="13" t="n">
        <x:v>3</x:v>
      </x:c>
      <x:c r="I1154" s="13" t="n">
        <x:v>0</x:v>
      </x:c>
      <x:c r="J1154" s="12" t="str">
        <x:v>first_audio_output</x:v>
      </x:c>
      <x:c r="K1154" s="12" t="str">
        <x:v>none</x:v>
      </x:c>
      <x:c r="L1154" s="13" t="n">
        <x:f>IF(G1154&lt;=I1154,0,MAX(0,L1153)+IF(E1154="via",MAX(0,G1154-MAX(F1154,I1154)),0))</x:f>
        <x:v>4.004</x:v>
      </x:c>
    </x:row>
    <x:row r="1155" ht="42" customHeight="1">
      <x:c r="A1155" s="7" t="str">
        <x:v>DP3-B-R2</x:v>
      </x:c>
      <x:c r="B1155" s="7" t="str">
        <x:v>U07</x:v>
      </x:c>
      <x:c r="C1155" s="7" t="str">
        <x:v>terminal</x:v>
      </x:c>
      <x:c r="D1155" s="7" t="str">
        <x:v>공통 목표 최종 상태와 전체 음성 준비</x:v>
      </x:c>
      <x:c r="E1155" s="7" t="str">
        <x:v>via</x:v>
      </x:c>
      <x:c r="F1155" s="14" t="n">
        <x:v>7.018</x:v>
      </x:c>
      <x:c r="G1155" s="14" t="n">
        <x:v>7.018</x:v>
      </x:c>
      <x:c r="H1155" s="14" t="n">
        <x:v>0</x:v>
      </x:c>
      <x:c r="I1155" s="14" t="n">
        <x:v>0</x:v>
      </x:c>
      <x:c r="J1155" s="7" t="str">
        <x:v>result_display, response_audio, intent_audio, first_audio_output</x:v>
      </x:c>
      <x:c r="K1155" s="7" t="str">
        <x:v>none</x:v>
      </x:c>
      <x:c r="L1155" s="14" t="n">
        <x:f>IF(G1155&lt;=I1155,0,MAX(0,L1149,L1150,L1151,L1153)+IF(E1155="via",MAX(0,G1155-MAX(F1155,I1155)),0))</x:f>
        <x:v>7.018</x:v>
      </x:c>
    </x:row>
    <x:row r="1156" ht="42" customHeight="1">
      <x:c r="A1156" s="12" t="str">
        <x:v>DP3-B-R2</x:v>
      </x:c>
      <x:c r="B1156" s="12" t="str">
        <x:v>U08</x:v>
      </x:c>
      <x:c r="C1156" s="12" t="str">
        <x:v>bg1</x:v>
      </x:c>
      <x:c r="D1156" s="12" t="str">
        <x:v>진행 중인 현재 대화의 의미 step</x:v>
      </x:c>
      <x:c r="E1156" s="12" t="str">
        <x:v>via</x:v>
      </x:c>
      <x:c r="F1156" s="13" t="n">
        <x:v>-1</x:v>
      </x:c>
      <x:c r="G1156" s="13" t="n">
        <x:v>2.4</x:v>
      </x:c>
      <x:c r="H1156" s="13" t="n">
        <x:v>3.4</x:v>
      </x:c>
      <x:c r="I1156" s="13" t="n">
        <x:v>-6</x:v>
      </x:c>
      <x:c r="J1156" s="12" t="str">
        <x:v>original_work</x:v>
      </x:c>
      <x:c r="K1156" s="12" t="str">
        <x:v>semantic</x:v>
      </x:c>
      <x:c r="L1156" s="13" t="n">
        <x:f>IF(G1156&lt;=I1156,0,MAX(0,L1157)+IF(E1156="via",MAX(0,G1156-MAX(F1156,I1156)),0))</x:f>
        <x:v>5.4</x:v>
      </x:c>
    </x:row>
    <x:row r="1157" ht="42" customHeight="1">
      <x:c r="A1157" s="7" t="str">
        <x:v>DP3-B-R2</x:v>
      </x:c>
      <x:c r="B1157" s="7" t="str">
        <x:v>U08</x:v>
      </x:c>
      <x:c r="C1157" s="7" t="str">
        <x:v>original_work</x:v>
      </x:c>
      <x:c r="D1157" s="7" t="str">
        <x:v>원래 목표의 최초 VIA 처리</x:v>
      </x:c>
      <x:c r="E1157" s="7" t="str">
        <x:v>via</x:v>
      </x:c>
      <x:c r="F1157" s="14" t="n">
        <x:v>-6</x:v>
      </x:c>
      <x:c r="G1157" s="14" t="n">
        <x:v>-4</x:v>
      </x:c>
      <x:c r="H1157" s="14" t="n">
        <x:v>2</x:v>
      </x:c>
      <x:c r="I1157" s="14" t="n">
        <x:v>-6</x:v>
      </x:c>
      <x:c r="J1157" s="7" t="str"/>
      <x:c r="K1157" s="7" t="str">
        <x:v>none</x:v>
      </x:c>
      <x:c r="L1157" s="14" t="n">
        <x:f>IF(G1157&lt;=I1157,0,MAX(0)+IF(E1157="via",MAX(0,G1157-MAX(F1157,I1157)),0))</x:f>
        <x:v>2</x:v>
      </x:c>
    </x:row>
    <x:row r="1158" ht="42" customHeight="1">
      <x:c r="A1158" s="12" t="str">
        <x:v>DP3-B-R2</x:v>
      </x:c>
      <x:c r="B1158" s="12" t="str">
        <x:v>U08</x:v>
      </x:c>
      <x:c r="C1158" s="12" t="str">
        <x:v>input_end</x:v>
      </x:c>
      <x:c r="D1158" s="12" t="str">
        <x:v>사용자 입력 종료</x:v>
      </x:c>
      <x:c r="E1158" s="12" t="str">
        <x:v>external</x:v>
      </x:c>
      <x:c r="F1158" s="13" t="n">
        <x:v>0</x:v>
      </x:c>
      <x:c r="G1158" s="13" t="n">
        <x:v>0</x:v>
      </x:c>
      <x:c r="H1158" s="13" t="n">
        <x:v>0</x:v>
      </x:c>
      <x:c r="I1158" s="13" t="n">
        <x:v>-6</x:v>
      </x:c>
      <x:c r="J1158" s="12" t="str">
        <x:v>original_work</x:v>
      </x:c>
      <x:c r="K1158" s="12" t="str">
        <x:v>none</x:v>
      </x:c>
      <x:c r="L1158" s="13" t="n">
        <x:f>IF(G1158&lt;=I1158,0,MAX(0,L1157)+IF(E1158="via",MAX(0,G1158-MAX(F1158,I1158)),0))</x:f>
        <x:v>2</x:v>
      </x:c>
    </x:row>
    <x:row r="1159" ht="42" customHeight="1">
      <x:c r="A1159" s="7" t="str">
        <x:v>DP3-B-R2</x:v>
      </x:c>
      <x:c r="B1159" s="7" t="str">
        <x:v>U08</x:v>
      </x:c>
      <x:c r="C1159" s="7" t="str">
        <x:v>intake</x:v>
      </x:c>
      <x:c r="D1159" s="7" t="str">
        <x:v>입력 확정</x:v>
      </x:c>
      <x:c r="E1159" s="7" t="str">
        <x:v>via</x:v>
      </x:c>
      <x:c r="F1159" s="14" t="n">
        <x:v>0</x:v>
      </x:c>
      <x:c r="G1159" s="14" t="n">
        <x:v>0.06</x:v>
      </x:c>
      <x:c r="H1159" s="14" t="n">
        <x:v>0.06</x:v>
      </x:c>
      <x:c r="I1159" s="14" t="n">
        <x:v>-6</x:v>
      </x:c>
      <x:c r="J1159" s="7" t="str">
        <x:v>input_end</x:v>
      </x:c>
      <x:c r="K1159" s="7" t="str">
        <x:v>none</x:v>
      </x:c>
      <x:c r="L1159" s="14" t="n">
        <x:f>IF(G1159&lt;=I1159,0,MAX(0,L1158)+IF(E1159="via",MAX(0,G1159-MAX(F1159,I1159)),0))</x:f>
        <x:v>2.06</x:v>
      </x:c>
    </x:row>
    <x:row r="1160" ht="42" customHeight="1">
      <x:c r="A1160" s="12" t="str">
        <x:v>DP3-B-R2</x:v>
      </x:c>
      <x:c r="B1160" s="12" t="str">
        <x:v>U08</x:v>
      </x:c>
      <x:c r="C1160" s="12" t="str">
        <x:v>read</x:v>
      </x:c>
      <x:c r="D1160" s="12" t="str">
        <x:v>공통 허용 원본 조회</x:v>
      </x:c>
      <x:c r="E1160" s="12" t="str">
        <x:v>via</x:v>
      </x:c>
      <x:c r="F1160" s="13" t="n">
        <x:v>0.06</x:v>
      </x:c>
      <x:c r="G1160" s="13" t="n">
        <x:v>0.14</x:v>
      </x:c>
      <x:c r="H1160" s="13" t="n">
        <x:v>0.08</x:v>
      </x:c>
      <x:c r="I1160" s="13" t="n">
        <x:v>-6</x:v>
      </x:c>
      <x:c r="J1160" s="12" t="str">
        <x:v>intake</x:v>
      </x:c>
      <x:c r="K1160" s="12" t="str">
        <x:v>none</x:v>
      </x:c>
      <x:c r="L1160" s="13" t="n">
        <x:f>IF(G1160&lt;=I1160,0,MAX(0,L1159)+IF(E1160="via",MAX(0,G1160-MAX(F1160,I1160)),0))</x:f>
        <x:v>2.14</x:v>
      </x:c>
    </x:row>
    <x:row r="1161" ht="42" customHeight="1">
      <x:c r="A1161" s="7" t="str">
        <x:v>DP3-B-R2</x:v>
      </x:c>
      <x:c r="B1161" s="7" t="str">
        <x:v>U08</x:v>
      </x:c>
      <x:c r="C1161" s="7" t="str">
        <x:v>meaning</x:v>
      </x:c>
      <x:c r="D1161" s="7" t="str">
        <x:v>최초 요청 의미 채택 packet 생성</x:v>
      </x:c>
      <x:c r="E1161" s="7" t="str">
        <x:v>via</x:v>
      </x:c>
      <x:c r="F1161" s="14" t="n">
        <x:v>2.4</x:v>
      </x:c>
      <x:c r="G1161" s="14" t="n">
        <x:v>3.5</x:v>
      </x:c>
      <x:c r="H1161" s="14" t="n">
        <x:v>1.1</x:v>
      </x:c>
      <x:c r="I1161" s="14" t="n">
        <x:v>-6</x:v>
      </x:c>
      <x:c r="J1161" s="7" t="str">
        <x:v>read, bg1</x:v>
      </x:c>
      <x:c r="K1161" s="7" t="str">
        <x:v>semantic</x:v>
      </x:c>
      <x:c r="L1161" s="14" t="n">
        <x:f>IF(G1161&lt;=I1161,0,MAX(0,L1160,L1156)+IF(E1161="via",MAX(0,G1161-MAX(F1161,I1161)),0))</x:f>
        <x:v>6.5</x:v>
      </x:c>
    </x:row>
    <x:row r="1162" ht="42" customHeight="1">
      <x:c r="A1162" s="12" t="str">
        <x:v>DP3-B-R2</x:v>
      </x:c>
      <x:c r="B1162" s="12" t="str">
        <x:v>U08</x:v>
      </x:c>
      <x:c r="C1162" s="12" t="str">
        <x:v>adopt</x:v>
      </x:c>
      <x:c r="D1162" s="12" t="str">
        <x:v>현재 revision과 권한 검사 및 채택</x:v>
      </x:c>
      <x:c r="E1162" s="12" t="str">
        <x:v>via</x:v>
      </x:c>
      <x:c r="F1162" s="13" t="n">
        <x:v>3.5</x:v>
      </x:c>
      <x:c r="G1162" s="13" t="n">
        <x:v>3.53</x:v>
      </x:c>
      <x:c r="H1162" s="13" t="n">
        <x:v>0.03</x:v>
      </x:c>
      <x:c r="I1162" s="13" t="n">
        <x:v>-6</x:v>
      </x:c>
      <x:c r="J1162" s="12" t="str">
        <x:v>meaning</x:v>
      </x:c>
      <x:c r="K1162" s="12" t="str">
        <x:v>none</x:v>
      </x:c>
      <x:c r="L1162" s="13" t="n">
        <x:f>IF(G1162&lt;=I1162,0,MAX(0,L1161)+IF(E1162="via",MAX(0,G1162-MAX(F1162,I1162)),0))</x:f>
        <x:v>6.529999999999999</x:v>
      </x:c>
    </x:row>
    <x:row r="1163" ht="42" customHeight="1">
      <x:c r="A1163" s="7" t="str">
        <x:v>DP3-B-R2</x:v>
      </x:c>
      <x:c r="B1163" s="7" t="str">
        <x:v>U08</x:v>
      </x:c>
      <x:c r="C1163" s="7" t="str">
        <x:v>first_display</x:v>
      </x:c>
      <x:c r="D1163" s="7" t="str">
        <x:v>첫 구체적 채택 내용 화면 표시</x:v>
      </x:c>
      <x:c r="E1163" s="7" t="str">
        <x:v>via</x:v>
      </x:c>
      <x:c r="F1163" s="14" t="n">
        <x:v>3.53</x:v>
      </x:c>
      <x:c r="G1163" s="14" t="n">
        <x:v>3.57</x:v>
      </x:c>
      <x:c r="H1163" s="14" t="n">
        <x:v>0.04</x:v>
      </x:c>
      <x:c r="I1163" s="14" t="n">
        <x:v>-6</x:v>
      </x:c>
      <x:c r="J1163" s="7" t="str">
        <x:v>adopt</x:v>
      </x:c>
      <x:c r="K1163" s="7" t="str">
        <x:v>none</x:v>
      </x:c>
      <x:c r="L1163" s="14" t="n">
        <x:f>IF(G1163&lt;=I1163,0,MAX(0,L1162)+IF(E1163="via",MAX(0,G1163-MAX(F1163,I1163)),0))</x:f>
        <x:v>6.569999999999999</x:v>
      </x:c>
    </x:row>
    <x:row r="1164" ht="42" customHeight="1">
      <x:c r="A1164" s="12" t="str">
        <x:v>DP3-B-R2</x:v>
      </x:c>
      <x:c r="B1164" s="12" t="str">
        <x:v>U08</x:v>
      </x:c>
      <x:c r="C1164" s="12" t="str">
        <x:v>long_work</x:v>
      </x:c>
      <x:c r="D1164" s="12" t="str">
        <x:v>요청의 남은 VIA 판단</x:v>
      </x:c>
      <x:c r="E1164" s="12" t="str">
        <x:v>via</x:v>
      </x:c>
      <x:c r="F1164" s="13" t="n">
        <x:v>3.53</x:v>
      </x:c>
      <x:c r="G1164" s="13" t="n">
        <x:v>5.13</x:v>
      </x:c>
      <x:c r="H1164" s="13" t="n">
        <x:v>1.6</x:v>
      </x:c>
      <x:c r="I1164" s="13" t="n">
        <x:v>-6</x:v>
      </x:c>
      <x:c r="J1164" s="12" t="str">
        <x:v>adopt</x:v>
      </x:c>
      <x:c r="K1164" s="12" t="str">
        <x:v>semantic</x:v>
      </x:c>
      <x:c r="L1164" s="13" t="n">
        <x:f>IF(G1164&lt;=I1164,0,MAX(0,L1162)+IF(E1164="via",MAX(0,G1164-MAX(F1164,I1164)),0))</x:f>
        <x:v>8.129999999999999</x:v>
      </x:c>
    </x:row>
    <x:row r="1165" ht="42" customHeight="1">
      <x:c r="A1165" s="7" t="str">
        <x:v>DP3-B-R2</x:v>
      </x:c>
      <x:c r="B1165" s="7" t="str">
        <x:v>U08</x:v>
      </x:c>
      <x:c r="C1165" s="7" t="str">
        <x:v>result_display</x:v>
      </x:c>
      <x:c r="D1165" s="7" t="str">
        <x:v>최종 설명 상세 표시</x:v>
      </x:c>
      <x:c r="E1165" s="7" t="str">
        <x:v>via</x:v>
      </x:c>
      <x:c r="F1165" s="14" t="n">
        <x:v>5.13</x:v>
      </x:c>
      <x:c r="G1165" s="14" t="n">
        <x:v>5.17</x:v>
      </x:c>
      <x:c r="H1165" s="14" t="n">
        <x:v>0.04</x:v>
      </x:c>
      <x:c r="I1165" s="14" t="n">
        <x:v>-6</x:v>
      </x:c>
      <x:c r="J1165" s="7" t="str">
        <x:v>long_work</x:v>
      </x:c>
      <x:c r="K1165" s="7" t="str">
        <x:v>none</x:v>
      </x:c>
      <x:c r="L1165" s="14" t="n">
        <x:f>IF(G1165&lt;=I1165,0,MAX(0,L1164)+IF(E1165="via",MAX(0,G1165-MAX(F1165,I1165)),0))</x:f>
        <x:v>8.169999999999998</x:v>
      </x:c>
    </x:row>
    <x:row r="1166" ht="42" customHeight="1">
      <x:c r="A1166" s="12" t="str">
        <x:v>DP3-B-R2</x:v>
      </x:c>
      <x:c r="B1166" s="12" t="str">
        <x:v>U08</x:v>
      </x:c>
      <x:c r="C1166" s="12" t="str">
        <x:v>response_audio</x:v>
      </x:c>
      <x:c r="D1166" s="12" t="str">
        <x:v>선택한 응답 음성 생성</x:v>
      </x:c>
      <x:c r="E1166" s="12" t="str">
        <x:v>via</x:v>
      </x:c>
      <x:c r="F1166" s="13" t="n">
        <x:v>5.13</x:v>
      </x:c>
      <x:c r="G1166" s="13" t="n">
        <x:v>7.018</x:v>
      </x:c>
      <x:c r="H1166" s="13" t="n">
        <x:v>1.888</x:v>
      </x:c>
      <x:c r="I1166" s="13" t="n">
        <x:v>-6</x:v>
      </x:c>
      <x:c r="J1166" s="12" t="str">
        <x:v>long_work</x:v>
      </x:c>
      <x:c r="K1166" s="12" t="str">
        <x:v>speech</x:v>
      </x:c>
      <x:c r="L1166" s="13" t="n">
        <x:f>IF(G1166&lt;=I1166,0,MAX(0,L1164)+IF(E1166="via",MAX(0,G1166-MAX(F1166,I1166)),0))</x:f>
        <x:v>10.017999999999999</x:v>
      </x:c>
    </x:row>
    <x:row r="1167" ht="42" customHeight="1">
      <x:c r="A1167" s="7" t="str">
        <x:v>DP3-B-R2</x:v>
      </x:c>
      <x:c r="B1167" s="7" t="str">
        <x:v>U08</x:v>
      </x:c>
      <x:c r="C1167" s="7" t="str">
        <x:v>intent_audio</x:v>
      </x:c>
      <x:c r="D1167" s="7" t="str">
        <x:v>채택한 구체적 수행 의도의 짧은 음성</x:v>
      </x:c>
      <x:c r="E1167" s="7" t="str">
        <x:v>via</x:v>
      </x:c>
      <x:c r="F1167" s="14" t="n">
        <x:v>3.53</x:v>
      </x:c>
      <x:c r="G1167" s="14" t="n">
        <x:v>4.664</x:v>
      </x:c>
      <x:c r="H1167" s="14" t="n">
        <x:v>1.134</x:v>
      </x:c>
      <x:c r="I1167" s="14" t="n">
        <x:v>-6</x:v>
      </x:c>
      <x:c r="J1167" s="7" t="str">
        <x:v>adopt</x:v>
      </x:c>
      <x:c r="K1167" s="7" t="str">
        <x:v>speech</x:v>
      </x:c>
      <x:c r="L1167" s="14" t="n">
        <x:f>IF(G1167&lt;=I1167,0,MAX(0,L1162)+IF(E1167="via",MAX(0,G1167-MAX(F1167,I1167)),0))</x:f>
        <x:v>7.664</x:v>
      </x:c>
    </x:row>
    <x:row r="1168" ht="42" customHeight="1">
      <x:c r="A1168" s="12" t="str">
        <x:v>DP3-B-R2</x:v>
      </x:c>
      <x:c r="B1168" s="12" t="str">
        <x:v>U08</x:v>
      </x:c>
      <x:c r="C1168" s="12" t="str">
        <x:v>first_chunk</x:v>
      </x:c>
      <x:c r="D1168" s="12" t="str">
        <x:v>같은 생성 job의 유효 첫 chunk 관측</x:v>
      </x:c>
      <x:c r="E1168" s="12" t="str">
        <x:v>via</x:v>
      </x:c>
      <x:c r="F1168" s="13" t="n">
        <x:v>3.53</x:v>
      </x:c>
      <x:c r="G1168" s="13" t="n">
        <x:v>3.964</x:v>
      </x:c>
      <x:c r="H1168" s="13" t="n">
        <x:v>0.434</x:v>
      </x:c>
      <x:c r="I1168" s="13" t="n">
        <x:v>-6</x:v>
      </x:c>
      <x:c r="J1168" s="12" t="str">
        <x:v>adopt</x:v>
      </x:c>
      <x:c r="K1168" s="12" t="str">
        <x:v>none</x:v>
      </x:c>
      <x:c r="L1168" s="13" t="n">
        <x:f>IF(G1168&lt;=I1168,0,MAX(0,L1162)+IF(E1168="via",MAX(0,G1168-MAX(F1168,I1168)),0))</x:f>
        <x:v>6.9639999999999995</x:v>
      </x:c>
    </x:row>
    <x:row r="1169" ht="42" customHeight="1">
      <x:c r="A1169" s="7" t="str">
        <x:v>DP3-B-R2</x:v>
      </x:c>
      <x:c r="B1169" s="7" t="str">
        <x:v>U08</x:v>
      </x:c>
      <x:c r="C1169" s="7" t="str">
        <x:v>first_audio_output</x:v>
      </x:c>
      <x:c r="D1169" s="7" t="str">
        <x:v>공통 장치의 첫 음성 출력</x:v>
      </x:c>
      <x:c r="E1169" s="7" t="str">
        <x:v>via</x:v>
      </x:c>
      <x:c r="F1169" s="14" t="n">
        <x:v>3.964</x:v>
      </x:c>
      <x:c r="G1169" s="14" t="n">
        <x:v>4.004</x:v>
      </x:c>
      <x:c r="H1169" s="14" t="n">
        <x:v>0.04</x:v>
      </x:c>
      <x:c r="I1169" s="14" t="n">
        <x:v>-6</x:v>
      </x:c>
      <x:c r="J1169" s="7" t="str">
        <x:v>adopt, first_chunk</x:v>
      </x:c>
      <x:c r="K1169" s="7" t="str">
        <x:v>none</x:v>
      </x:c>
      <x:c r="L1169" s="14" t="n">
        <x:f>IF(G1169&lt;=I1169,0,MAX(0,L1162,L1168)+IF(E1169="via",MAX(0,G1169-MAX(F1169,I1169)),0))</x:f>
        <x:v>7.004</x:v>
      </x:c>
    </x:row>
    <x:row r="1170" ht="42" customHeight="1">
      <x:c r="A1170" s="12" t="str">
        <x:v>DP3-B-R2</x:v>
      </x:c>
      <x:c r="B1170" s="12" t="str">
        <x:v>U08</x:v>
      </x:c>
      <x:c r="C1170" s="12" t="str">
        <x:v>next_speech_selection</x:v>
      </x:c>
      <x:c r="D1170" s="12" t="str">
        <x:v>현재 발화 재생 후 다음 응답 선택</x:v>
      </x:c>
      <x:c r="E1170" s="12" t="str">
        <x:v>external</x:v>
      </x:c>
      <x:c r="F1170" s="13" t="n">
        <x:v>4.004</x:v>
      </x:c>
      <x:c r="G1170" s="13" t="n">
        <x:v>7.004</x:v>
      </x:c>
      <x:c r="H1170" s="13" t="n">
        <x:v>3</x:v>
      </x:c>
      <x:c r="I1170" s="13" t="n">
        <x:v>-6</x:v>
      </x:c>
      <x:c r="J1170" s="12" t="str">
        <x:v>first_audio_output</x:v>
      </x:c>
      <x:c r="K1170" s="12" t="str">
        <x:v>none</x:v>
      </x:c>
      <x:c r="L1170" s="13" t="n">
        <x:f>IF(G1170&lt;=I1170,0,MAX(0,L1169)+IF(E1170="via",MAX(0,G1170-MAX(F1170,I1170)),0))</x:f>
        <x:v>7.004</x:v>
      </x:c>
    </x:row>
    <x:row r="1171" ht="42" customHeight="1">
      <x:c r="A1171" s="7" t="str">
        <x:v>DP3-B-R2</x:v>
      </x:c>
      <x:c r="B1171" s="7" t="str">
        <x:v>U08</x:v>
      </x:c>
      <x:c r="C1171" s="7" t="str">
        <x:v>terminal</x:v>
      </x:c>
      <x:c r="D1171" s="7" t="str">
        <x:v>공통 목표 최종 상태와 전체 음성 준비</x:v>
      </x:c>
      <x:c r="E1171" s="7" t="str">
        <x:v>via</x:v>
      </x:c>
      <x:c r="F1171" s="14" t="n">
        <x:v>7.018</x:v>
      </x:c>
      <x:c r="G1171" s="14" t="n">
        <x:v>7.018</x:v>
      </x:c>
      <x:c r="H1171" s="14" t="n">
        <x:v>0</x:v>
      </x:c>
      <x:c r="I1171" s="14" t="n">
        <x:v>-6</x:v>
      </x:c>
      <x:c r="J1171" s="7" t="str">
        <x:v>result_display, response_audio, intent_audio, first_audio_output</x:v>
      </x:c>
      <x:c r="K1171" s="7" t="str">
        <x:v>none</x:v>
      </x:c>
      <x:c r="L1171" s="14" t="n">
        <x:f>IF(G1171&lt;=I1171,0,MAX(0,L1165,L1166,L1167,L1169)+IF(E1171="via",MAX(0,G1171-MAX(F1171,I1171)),0))</x:f>
        <x:v>10.017999999999999</x:v>
      </x:c>
    </x:row>
    <x:row r="1172" ht="42" customHeight="1">
      <x:c r="A1172" s="12" t="str">
        <x:v>DP3-B-R2</x:v>
      </x:c>
      <x:c r="B1172" s="12" t="str">
        <x:v>U09</x:v>
      </x:c>
      <x:c r="C1172" s="12" t="str">
        <x:v>input_end</x:v>
      </x:c>
      <x:c r="D1172" s="12" t="str">
        <x:v>사용자 입력 종료</x:v>
      </x:c>
      <x:c r="E1172" s="12" t="str">
        <x:v>external</x:v>
      </x:c>
      <x:c r="F1172" s="13" t="n">
        <x:v>0</x:v>
      </x:c>
      <x:c r="G1172" s="13" t="n">
        <x:v>0</x:v>
      </x:c>
      <x:c r="H1172" s="13" t="n">
        <x:v>0</x:v>
      </x:c>
      <x:c r="I1172" s="13" t="n">
        <x:v>0</x:v>
      </x:c>
      <x:c r="J1172" s="12" t="str"/>
      <x:c r="K1172" s="12" t="str">
        <x:v>none</x:v>
      </x:c>
      <x:c r="L1172" s="13" t="n">
        <x:f>IF(G1172&lt;=I1172,0,MAX(0)+IF(E1172="via",MAX(0,G1172-MAX(F1172,I1172)),0))</x:f>
        <x:v>0</x:v>
      </x:c>
    </x:row>
    <x:row r="1173" ht="42" customHeight="1">
      <x:c r="A1173" s="7" t="str">
        <x:v>DP3-B-R2</x:v>
      </x:c>
      <x:c r="B1173" s="7" t="str">
        <x:v>U09</x:v>
      </x:c>
      <x:c r="C1173" s="7" t="str">
        <x:v>intake</x:v>
      </x:c>
      <x:c r="D1173" s="7" t="str">
        <x:v>입력 확정</x:v>
      </x:c>
      <x:c r="E1173" s="7" t="str">
        <x:v>via</x:v>
      </x:c>
      <x:c r="F1173" s="14" t="n">
        <x:v>0</x:v>
      </x:c>
      <x:c r="G1173" s="14" t="n">
        <x:v>0.3</x:v>
      </x:c>
      <x:c r="H1173" s="14" t="n">
        <x:v>0.3</x:v>
      </x:c>
      <x:c r="I1173" s="14" t="n">
        <x:v>0</x:v>
      </x:c>
      <x:c r="J1173" s="7" t="str">
        <x:v>input_end</x:v>
      </x:c>
      <x:c r="K1173" s="7" t="str">
        <x:v>none</x:v>
      </x:c>
      <x:c r="L1173" s="14" t="n">
        <x:f>IF(G1173&lt;=I1173,0,MAX(0,L1172)+IF(E1173="via",MAX(0,G1173-MAX(F1173,I1173)),0))</x:f>
        <x:v>0.3</x:v>
      </x:c>
    </x:row>
    <x:row r="1174" ht="42" customHeight="1">
      <x:c r="A1174" s="12" t="str">
        <x:v>DP3-B-R2</x:v>
      </x:c>
      <x:c r="B1174" s="12" t="str">
        <x:v>U09</x:v>
      </x:c>
      <x:c r="C1174" s="12" t="str">
        <x:v>read</x:v>
      </x:c>
      <x:c r="D1174" s="12" t="str">
        <x:v>공통 허용 원본 조회</x:v>
      </x:c>
      <x:c r="E1174" s="12" t="str">
        <x:v>via</x:v>
      </x:c>
      <x:c r="F1174" s="13" t="n">
        <x:v>0.3</x:v>
      </x:c>
      <x:c r="G1174" s="13" t="n">
        <x:v>0.38</x:v>
      </x:c>
      <x:c r="H1174" s="13" t="n">
        <x:v>0.08</x:v>
      </x:c>
      <x:c r="I1174" s="13" t="n">
        <x:v>0</x:v>
      </x:c>
      <x:c r="J1174" s="12" t="str">
        <x:v>intake</x:v>
      </x:c>
      <x:c r="K1174" s="12" t="str">
        <x:v>none</x:v>
      </x:c>
      <x:c r="L1174" s="13" t="n">
        <x:f>IF(G1174&lt;=I1174,0,MAX(0,L1173)+IF(E1174="via",MAX(0,G1174-MAX(F1174,I1174)),0))</x:f>
        <x:v>0.38</x:v>
      </x:c>
    </x:row>
    <x:row r="1175" ht="42" customHeight="1">
      <x:c r="A1175" s="7" t="str">
        <x:v>DP3-B-R2</x:v>
      </x:c>
      <x:c r="B1175" s="7" t="str">
        <x:v>U09</x:v>
      </x:c>
      <x:c r="C1175" s="7" t="str">
        <x:v>native_selection</x:v>
      </x:c>
      <x:c r="D1175" s="7" t="str">
        <x:v>Native 선택 사실 조회</x:v>
      </x:c>
      <x:c r="E1175" s="7" t="str">
        <x:v>via</x:v>
      </x:c>
      <x:c r="F1175" s="14" t="n">
        <x:v>0.38</x:v>
      </x:c>
      <x:c r="G1175" s="14" t="n">
        <x:v>0.46</x:v>
      </x:c>
      <x:c r="H1175" s="14" t="n">
        <x:v>0.08</x:v>
      </x:c>
      <x:c r="I1175" s="14" t="n">
        <x:v>0</x:v>
      </x:c>
      <x:c r="J1175" s="7" t="str">
        <x:v>read</x:v>
      </x:c>
      <x:c r="K1175" s="7" t="str">
        <x:v>none</x:v>
      </x:c>
      <x:c r="L1175" s="14" t="n">
        <x:f>IF(G1175&lt;=I1175,0,MAX(0,L1174)+IF(E1175="via",MAX(0,G1175-MAX(F1175,I1175)),0))</x:f>
        <x:v>0.46</x:v>
      </x:c>
    </x:row>
    <x:row r="1176" ht="42" customHeight="1">
      <x:c r="A1176" s="12" t="str">
        <x:v>DP3-B-R2</x:v>
      </x:c>
      <x:c r="B1176" s="12" t="str">
        <x:v>U09</x:v>
      </x:c>
      <x:c r="C1176" s="12" t="str">
        <x:v>meaning</x:v>
      </x:c>
      <x:c r="D1176" s="12" t="str">
        <x:v>최초 요청 의미 채택 packet 생성</x:v>
      </x:c>
      <x:c r="E1176" s="12" t="str">
        <x:v>via</x:v>
      </x:c>
      <x:c r="F1176" s="13" t="n">
        <x:v>0.46</x:v>
      </x:c>
      <x:c r="G1176" s="13" t="n">
        <x:v>1.56</x:v>
      </x:c>
      <x:c r="H1176" s="13" t="n">
        <x:v>1.1</x:v>
      </x:c>
      <x:c r="I1176" s="13" t="n">
        <x:v>0</x:v>
      </x:c>
      <x:c r="J1176" s="12" t="str">
        <x:v>native_selection</x:v>
      </x:c>
      <x:c r="K1176" s="12" t="str">
        <x:v>semantic</x:v>
      </x:c>
      <x:c r="L1176" s="13" t="n">
        <x:f>IF(G1176&lt;=I1176,0,MAX(0,L1175)+IF(E1176="via",MAX(0,G1176-MAX(F1176,I1176)),0))</x:f>
        <x:v>1.56</x:v>
      </x:c>
    </x:row>
    <x:row r="1177" ht="42" customHeight="1">
      <x:c r="A1177" s="7" t="str">
        <x:v>DP3-B-R2</x:v>
      </x:c>
      <x:c r="B1177" s="7" t="str">
        <x:v>U09</x:v>
      </x:c>
      <x:c r="C1177" s="7" t="str">
        <x:v>adopt</x:v>
      </x:c>
      <x:c r="D1177" s="7" t="str">
        <x:v>현재 revision과 권한 검사 및 채택</x:v>
      </x:c>
      <x:c r="E1177" s="7" t="str">
        <x:v>via</x:v>
      </x:c>
      <x:c r="F1177" s="14" t="n">
        <x:v>1.56</x:v>
      </x:c>
      <x:c r="G1177" s="14" t="n">
        <x:v>1.59</x:v>
      </x:c>
      <x:c r="H1177" s="14" t="n">
        <x:v>0.03</x:v>
      </x:c>
      <x:c r="I1177" s="14" t="n">
        <x:v>0</x:v>
      </x:c>
      <x:c r="J1177" s="7" t="str">
        <x:v>meaning</x:v>
      </x:c>
      <x:c r="K1177" s="7" t="str">
        <x:v>none</x:v>
      </x:c>
      <x:c r="L1177" s="14" t="n">
        <x:f>IF(G1177&lt;=I1177,0,MAX(0,L1176)+IF(E1177="via",MAX(0,G1177-MAX(F1177,I1177)),0))</x:f>
        <x:v>1.59</x:v>
      </x:c>
    </x:row>
    <x:row r="1178" ht="42" customHeight="1">
      <x:c r="A1178" s="12" t="str">
        <x:v>DP3-B-R2</x:v>
      </x:c>
      <x:c r="B1178" s="12" t="str">
        <x:v>U09</x:v>
      </x:c>
      <x:c r="C1178" s="12" t="str">
        <x:v>first_display</x:v>
      </x:c>
      <x:c r="D1178" s="12" t="str">
        <x:v>첫 구체적 채택 내용 화면 표시</x:v>
      </x:c>
      <x:c r="E1178" s="12" t="str">
        <x:v>via</x:v>
      </x:c>
      <x:c r="F1178" s="13" t="n">
        <x:v>1.59</x:v>
      </x:c>
      <x:c r="G1178" s="13" t="n">
        <x:v>1.6300000000000001</x:v>
      </x:c>
      <x:c r="H1178" s="13" t="n">
        <x:v>0.04</x:v>
      </x:c>
      <x:c r="I1178" s="13" t="n">
        <x:v>0</x:v>
      </x:c>
      <x:c r="J1178" s="12" t="str">
        <x:v>adopt</x:v>
      </x:c>
      <x:c r="K1178" s="12" t="str">
        <x:v>none</x:v>
      </x:c>
      <x:c r="L1178" s="13" t="n">
        <x:f>IF(G1178&lt;=I1178,0,MAX(0,L1177)+IF(E1178="via",MAX(0,G1178-MAX(F1178,I1178)),0))</x:f>
        <x:v>1.6300000000000001</x:v>
      </x:c>
    </x:row>
    <x:row r="1179" ht="42" customHeight="1">
      <x:c r="A1179" s="7" t="str">
        <x:v>DP3-B-R2</x:v>
      </x:c>
      <x:c r="B1179" s="7" t="str">
        <x:v>U09</x:v>
      </x:c>
      <x:c r="C1179" s="7" t="str">
        <x:v>agent_ingress</x:v>
      </x:c>
      <x:c r="D1179" s="7" t="str">
        <x:v>Agent 요청 전송</x:v>
      </x:c>
      <x:c r="E1179" s="7" t="str">
        <x:v>via</x:v>
      </x:c>
      <x:c r="F1179" s="14" t="n">
        <x:v>1.59</x:v>
      </x:c>
      <x:c r="G1179" s="14" t="n">
        <x:v>1.6300000000000001</x:v>
      </x:c>
      <x:c r="H1179" s="14" t="n">
        <x:v>0.04</x:v>
      </x:c>
      <x:c r="I1179" s="14" t="n">
        <x:v>0</x:v>
      </x:c>
      <x:c r="J1179" s="7" t="str">
        <x:v>adopt</x:v>
      </x:c>
      <x:c r="K1179" s="7" t="str">
        <x:v>none</x:v>
      </x:c>
      <x:c r="L1179" s="14" t="n">
        <x:f>IF(G1179&lt;=I1179,0,MAX(0,L1177)+IF(E1179="via",MAX(0,G1179-MAX(F1179,I1179)),0))</x:f>
        <x:v>1.6300000000000001</x:v>
      </x:c>
    </x:row>
    <x:row r="1180" ht="42" customHeight="1">
      <x:c r="A1180" s="12" t="str">
        <x:v>DP3-B-R2</x:v>
      </x:c>
      <x:c r="B1180" s="12" t="str">
        <x:v>U09</x:v>
      </x:c>
      <x:c r="C1180" s="12" t="str">
        <x:v>agent_result</x:v>
      </x:c>
      <x:c r="D1180" s="12" t="str">
        <x:v>외부 Agent 업무</x:v>
      </x:c>
      <x:c r="E1180" s="12" t="str">
        <x:v>external</x:v>
      </x:c>
      <x:c r="F1180" s="13" t="n">
        <x:v>1.6300000000000001</x:v>
      </x:c>
      <x:c r="G1180" s="13" t="n">
        <x:v>9.63</x:v>
      </x:c>
      <x:c r="H1180" s="13" t="n">
        <x:v>8</x:v>
      </x:c>
      <x:c r="I1180" s="13" t="n">
        <x:v>0</x:v>
      </x:c>
      <x:c r="J1180" s="12" t="str">
        <x:v>agent_ingress</x:v>
      </x:c>
      <x:c r="K1180" s="12" t="str">
        <x:v>none</x:v>
      </x:c>
      <x:c r="L1180" s="13" t="n">
        <x:f>IF(G1180&lt;=I1180,0,MAX(0,L1179)+IF(E1180="via",MAX(0,G1180-MAX(F1180,I1180)),0))</x:f>
        <x:v>1.6300000000000001</x:v>
      </x:c>
    </x:row>
    <x:row r="1181" ht="42" customHeight="1">
      <x:c r="A1181" s="7" t="str">
        <x:v>DP3-B-R2</x:v>
      </x:c>
      <x:c r="B1181" s="7" t="str">
        <x:v>U09</x:v>
      </x:c>
      <x:c r="C1181" s="7" t="str">
        <x:v>result_display</x:v>
      </x:c>
      <x:c r="D1181" s="7" t="str">
        <x:v>최종 결과 상세 표시</x:v>
      </x:c>
      <x:c r="E1181" s="7" t="str">
        <x:v>via</x:v>
      </x:c>
      <x:c r="F1181" s="14" t="n">
        <x:v>9.63</x:v>
      </x:c>
      <x:c r="G1181" s="14" t="n">
        <x:v>9.67</x:v>
      </x:c>
      <x:c r="H1181" s="14" t="n">
        <x:v>0.04</x:v>
      </x:c>
      <x:c r="I1181" s="14" t="n">
        <x:v>0</x:v>
      </x:c>
      <x:c r="J1181" s="7" t="str">
        <x:v>agent_result</x:v>
      </x:c>
      <x:c r="K1181" s="7" t="str">
        <x:v>none</x:v>
      </x:c>
      <x:c r="L1181" s="14" t="n">
        <x:f>IF(G1181&lt;=I1181,0,MAX(0,L1180)+IF(E1181="via",MAX(0,G1181-MAX(F1181,I1181)),0))</x:f>
        <x:v>1.6699999999999993</x:v>
      </x:c>
    </x:row>
    <x:row r="1182" ht="42" customHeight="1">
      <x:c r="A1182" s="12" t="str">
        <x:v>DP3-B-R2</x:v>
      </x:c>
      <x:c r="B1182" s="12" t="str">
        <x:v>U09</x:v>
      </x:c>
      <x:c r="C1182" s="12" t="str">
        <x:v>response_audio</x:v>
      </x:c>
      <x:c r="D1182" s="12" t="str">
        <x:v>선택한 응답 음성 생성</x:v>
      </x:c>
      <x:c r="E1182" s="12" t="str">
        <x:v>via</x:v>
      </x:c>
      <x:c r="F1182" s="13" t="n">
        <x:v>9.63</x:v>
      </x:c>
      <x:c r="G1182" s="13" t="n">
        <x:v>11.518</x:v>
      </x:c>
      <x:c r="H1182" s="13" t="n">
        <x:v>1.888</x:v>
      </x:c>
      <x:c r="I1182" s="13" t="n">
        <x:v>0</x:v>
      </x:c>
      <x:c r="J1182" s="12" t="str">
        <x:v>agent_result</x:v>
      </x:c>
      <x:c r="K1182" s="12" t="str">
        <x:v>speech</x:v>
      </x:c>
      <x:c r="L1182" s="13" t="n">
        <x:f>IF(G1182&lt;=I1182,0,MAX(0,L1180)+IF(E1182="via",MAX(0,G1182-MAX(F1182,I1182)),0))</x:f>
        <x:v>3.518</x:v>
      </x:c>
    </x:row>
    <x:row r="1183" ht="42" customHeight="1">
      <x:c r="A1183" s="7" t="str">
        <x:v>DP3-B-R2</x:v>
      </x:c>
      <x:c r="B1183" s="7" t="str">
        <x:v>U09</x:v>
      </x:c>
      <x:c r="C1183" s="7" t="str">
        <x:v>intent_audio</x:v>
      </x:c>
      <x:c r="D1183" s="7" t="str">
        <x:v>채택한 구체적 수행 의도의 짧은 음성</x:v>
      </x:c>
      <x:c r="E1183" s="7" t="str">
        <x:v>via</x:v>
      </x:c>
      <x:c r="F1183" s="14" t="n">
        <x:v>1.59</x:v>
      </x:c>
      <x:c r="G1183" s="14" t="n">
        <x:v>2.724</x:v>
      </x:c>
      <x:c r="H1183" s="14" t="n">
        <x:v>1.134</x:v>
      </x:c>
      <x:c r="I1183" s="14" t="n">
        <x:v>0</x:v>
      </x:c>
      <x:c r="J1183" s="7" t="str">
        <x:v>adopt</x:v>
      </x:c>
      <x:c r="K1183" s="7" t="str">
        <x:v>speech</x:v>
      </x:c>
      <x:c r="L1183" s="14" t="n">
        <x:f>IF(G1183&lt;=I1183,0,MAX(0,L1177)+IF(E1183="via",MAX(0,G1183-MAX(F1183,I1183)),0))</x:f>
        <x:v>2.724</x:v>
      </x:c>
    </x:row>
    <x:row r="1184" ht="42" customHeight="1">
      <x:c r="A1184" s="12" t="str">
        <x:v>DP3-B-R2</x:v>
      </x:c>
      <x:c r="B1184" s="12" t="str">
        <x:v>U09</x:v>
      </x:c>
      <x:c r="C1184" s="12" t="str">
        <x:v>first_chunk</x:v>
      </x:c>
      <x:c r="D1184" s="12" t="str">
        <x:v>같은 생성 job의 유효 첫 chunk 관측</x:v>
      </x:c>
      <x:c r="E1184" s="12" t="str">
        <x:v>via</x:v>
      </x:c>
      <x:c r="F1184" s="13" t="n">
        <x:v>1.59</x:v>
      </x:c>
      <x:c r="G1184" s="13" t="n">
        <x:v>2.024</x:v>
      </x:c>
      <x:c r="H1184" s="13" t="n">
        <x:v>0.434</x:v>
      </x:c>
      <x:c r="I1184" s="13" t="n">
        <x:v>0</x:v>
      </x:c>
      <x:c r="J1184" s="12" t="str">
        <x:v>adopt</x:v>
      </x:c>
      <x:c r="K1184" s="12" t="str">
        <x:v>none</x:v>
      </x:c>
      <x:c r="L1184" s="13" t="n">
        <x:f>IF(G1184&lt;=I1184,0,MAX(0,L1177)+IF(E1184="via",MAX(0,G1184-MAX(F1184,I1184)),0))</x:f>
        <x:v>2.024</x:v>
      </x:c>
    </x:row>
    <x:row r="1185" ht="42" customHeight="1">
      <x:c r="A1185" s="7" t="str">
        <x:v>DP3-B-R2</x:v>
      </x:c>
      <x:c r="B1185" s="7" t="str">
        <x:v>U09</x:v>
      </x:c>
      <x:c r="C1185" s="7" t="str">
        <x:v>first_audio_output</x:v>
      </x:c>
      <x:c r="D1185" s="7" t="str">
        <x:v>공통 장치의 첫 음성 출력</x:v>
      </x:c>
      <x:c r="E1185" s="7" t="str">
        <x:v>via</x:v>
      </x:c>
      <x:c r="F1185" s="14" t="n">
        <x:v>2.024</x:v>
      </x:c>
      <x:c r="G1185" s="14" t="n">
        <x:v>2.064</x:v>
      </x:c>
      <x:c r="H1185" s="14" t="n">
        <x:v>0.04</x:v>
      </x:c>
      <x:c r="I1185" s="14" t="n">
        <x:v>0</x:v>
      </x:c>
      <x:c r="J1185" s="7" t="str">
        <x:v>adopt, first_chunk</x:v>
      </x:c>
      <x:c r="K1185" s="7" t="str">
        <x:v>none</x:v>
      </x:c>
      <x:c r="L1185" s="14" t="n">
        <x:f>IF(G1185&lt;=I1185,0,MAX(0,L1177,L1184)+IF(E1185="via",MAX(0,G1185-MAX(F1185,I1185)),0))</x:f>
        <x:v>2.064</x:v>
      </x:c>
    </x:row>
    <x:row r="1186" ht="42" customHeight="1">
      <x:c r="A1186" s="12" t="str">
        <x:v>DP3-B-R2</x:v>
      </x:c>
      <x:c r="B1186" s="12" t="str">
        <x:v>U09</x:v>
      </x:c>
      <x:c r="C1186" s="12" t="str">
        <x:v>next_speech_selection</x:v>
      </x:c>
      <x:c r="D1186" s="12" t="str">
        <x:v>현재 발화 재생 후 다음 응답 선택</x:v>
      </x:c>
      <x:c r="E1186" s="12" t="str">
        <x:v>external</x:v>
      </x:c>
      <x:c r="F1186" s="13" t="n">
        <x:v>2.064</x:v>
      </x:c>
      <x:c r="G1186" s="13" t="n">
        <x:v>5.064</x:v>
      </x:c>
      <x:c r="H1186" s="13" t="n">
        <x:v>3</x:v>
      </x:c>
      <x:c r="I1186" s="13" t="n">
        <x:v>0</x:v>
      </x:c>
      <x:c r="J1186" s="12" t="str">
        <x:v>first_audio_output</x:v>
      </x:c>
      <x:c r="K1186" s="12" t="str">
        <x:v>none</x:v>
      </x:c>
      <x:c r="L1186" s="13" t="n">
        <x:f>IF(G1186&lt;=I1186,0,MAX(0,L1185)+IF(E1186="via",MAX(0,G1186-MAX(F1186,I1186)),0))</x:f>
        <x:v>2.064</x:v>
      </x:c>
    </x:row>
    <x:row r="1187" ht="42" customHeight="1">
      <x:c r="A1187" s="7" t="str">
        <x:v>DP3-B-R2</x:v>
      </x:c>
      <x:c r="B1187" s="7" t="str">
        <x:v>U09</x:v>
      </x:c>
      <x:c r="C1187" s="7" t="str">
        <x:v>terminal</x:v>
      </x:c>
      <x:c r="D1187" s="7" t="str">
        <x:v>공통 목표 최종 상태와 전체 음성 준비</x:v>
      </x:c>
      <x:c r="E1187" s="7" t="str">
        <x:v>via</x:v>
      </x:c>
      <x:c r="F1187" s="14" t="n">
        <x:v>11.518</x:v>
      </x:c>
      <x:c r="G1187" s="14" t="n">
        <x:v>11.518</x:v>
      </x:c>
      <x:c r="H1187" s="14" t="n">
        <x:v>0</x:v>
      </x:c>
      <x:c r="I1187" s="14" t="n">
        <x:v>0</x:v>
      </x:c>
      <x:c r="J1187" s="7" t="str">
        <x:v>result_display, response_audio, intent_audio, first_audio_output</x:v>
      </x:c>
      <x:c r="K1187" s="7" t="str">
        <x:v>none</x:v>
      </x:c>
      <x:c r="L1187" s="14" t="n">
        <x:f>IF(G1187&lt;=I1187,0,MAX(0,L1181,L1182,L1183,L1185)+IF(E1187="via",MAX(0,G1187-MAX(F1187,I1187)),0))</x:f>
        <x:v>3.518</x:v>
      </x:c>
    </x:row>
    <x:row r="1188" ht="42" customHeight="1">
      <x:c r="A1188" s="12" t="str">
        <x:v>DP3-B-R2</x:v>
      </x:c>
      <x:c r="B1188" s="12" t="str">
        <x:v>U10</x:v>
      </x:c>
      <x:c r="C1188" s="12" t="str">
        <x:v>input_end</x:v>
      </x:c>
      <x:c r="D1188" s="12" t="str">
        <x:v>사용자 입력 종료</x:v>
      </x:c>
      <x:c r="E1188" s="12" t="str">
        <x:v>external</x:v>
      </x:c>
      <x:c r="F1188" s="13" t="n">
        <x:v>0</x:v>
      </x:c>
      <x:c r="G1188" s="13" t="n">
        <x:v>0</x:v>
      </x:c>
      <x:c r="H1188" s="13" t="n">
        <x:v>0</x:v>
      </x:c>
      <x:c r="I1188" s="13" t="n">
        <x:v>0</x:v>
      </x:c>
      <x:c r="J1188" s="12" t="str"/>
      <x:c r="K1188" s="12" t="str">
        <x:v>none</x:v>
      </x:c>
      <x:c r="L1188" s="13" t="n">
        <x:f>IF(G1188&lt;=I1188,0,MAX(0)+IF(E1188="via",MAX(0,G1188-MAX(F1188,I1188)),0))</x:f>
        <x:v>0</x:v>
      </x:c>
    </x:row>
    <x:row r="1189" ht="42" customHeight="1">
      <x:c r="A1189" s="7" t="str">
        <x:v>DP3-B-R2</x:v>
      </x:c>
      <x:c r="B1189" s="7" t="str">
        <x:v>U10</x:v>
      </x:c>
      <x:c r="C1189" s="7" t="str">
        <x:v>intake</x:v>
      </x:c>
      <x:c r="D1189" s="7" t="str">
        <x:v>입력 확정</x:v>
      </x:c>
      <x:c r="E1189" s="7" t="str">
        <x:v>via</x:v>
      </x:c>
      <x:c r="F1189" s="14" t="n">
        <x:v>0</x:v>
      </x:c>
      <x:c r="G1189" s="14" t="n">
        <x:v>0.3</x:v>
      </x:c>
      <x:c r="H1189" s="14" t="n">
        <x:v>0.3</x:v>
      </x:c>
      <x:c r="I1189" s="14" t="n">
        <x:v>0</x:v>
      </x:c>
      <x:c r="J1189" s="7" t="str">
        <x:v>input_end</x:v>
      </x:c>
      <x:c r="K1189" s="7" t="str">
        <x:v>none</x:v>
      </x:c>
      <x:c r="L1189" s="14" t="n">
        <x:f>IF(G1189&lt;=I1189,0,MAX(0,L1188)+IF(E1189="via",MAX(0,G1189-MAX(F1189,I1189)),0))</x:f>
        <x:v>0.3</x:v>
      </x:c>
    </x:row>
    <x:row r="1190" ht="42" customHeight="1">
      <x:c r="A1190" s="12" t="str">
        <x:v>DP3-B-R2</x:v>
      </x:c>
      <x:c r="B1190" s="12" t="str">
        <x:v>U10</x:v>
      </x:c>
      <x:c r="C1190" s="12" t="str">
        <x:v>read</x:v>
      </x:c>
      <x:c r="D1190" s="12" t="str">
        <x:v>공통 허용 원본 조회</x:v>
      </x:c>
      <x:c r="E1190" s="12" t="str">
        <x:v>via</x:v>
      </x:c>
      <x:c r="F1190" s="13" t="n">
        <x:v>0.3</x:v>
      </x:c>
      <x:c r="G1190" s="13" t="n">
        <x:v>0.38</x:v>
      </x:c>
      <x:c r="H1190" s="13" t="n">
        <x:v>0.08</x:v>
      </x:c>
      <x:c r="I1190" s="13" t="n">
        <x:v>0</x:v>
      </x:c>
      <x:c r="J1190" s="12" t="str">
        <x:v>intake</x:v>
      </x:c>
      <x:c r="K1190" s="12" t="str">
        <x:v>none</x:v>
      </x:c>
      <x:c r="L1190" s="13" t="n">
        <x:f>IF(G1190&lt;=I1190,0,MAX(0,L1189)+IF(E1190="via",MAX(0,G1190-MAX(F1190,I1190)),0))</x:f>
        <x:v>0.38</x:v>
      </x:c>
    </x:row>
    <x:row r="1191" ht="42" customHeight="1">
      <x:c r="A1191" s="7" t="str">
        <x:v>DP3-B-R2</x:v>
      </x:c>
      <x:c r="B1191" s="7" t="str">
        <x:v>U10</x:v>
      </x:c>
      <x:c r="C1191" s="7" t="str">
        <x:v>now_ui_boot</x:v>
      </x:c>
      <x:c r="D1191" s="7" t="str">
        <x:v>ui runtime 시작</x:v>
      </x:c>
      <x:c r="E1191" s="7" t="str">
        <x:v>via</x:v>
      </x:c>
      <x:c r="F1191" s="14" t="n">
        <x:v>0.38</x:v>
      </x:c>
      <x:c r="G1191" s="14" t="n">
        <x:v>1.58</x:v>
      </x:c>
      <x:c r="H1191" s="14" t="n">
        <x:v>1.2</x:v>
      </x:c>
      <x:c r="I1191" s="14" t="n">
        <x:v>0</x:v>
      </x:c>
      <x:c r="J1191" s="7" t="str">
        <x:v>read</x:v>
      </x:c>
      <x:c r="K1191" s="7" t="str">
        <x:v>visual</x:v>
      </x:c>
      <x:c r="L1191" s="14" t="n">
        <x:f>IF(G1191&lt;=I1191,0,MAX(0,L1190)+IF(E1191="via",MAX(0,G1191-MAX(F1191,I1191)),0))</x:f>
        <x:v>1.58</x:v>
      </x:c>
    </x:row>
    <x:row r="1192" ht="42" customHeight="1">
      <x:c r="A1192" s="12" t="str">
        <x:v>DP3-B-R2</x:v>
      </x:c>
      <x:c r="B1192" s="12" t="str">
        <x:v>U10</x:v>
      </x:c>
      <x:c r="C1192" s="12" t="str">
        <x:v>now_ui_load</x:v>
      </x:c>
      <x:c r="D1192" s="12" t="str">
        <x:v>ui 모델 적재</x:v>
      </x:c>
      <x:c r="E1192" s="12" t="str">
        <x:v>via</x:v>
      </x:c>
      <x:c r="F1192" s="13" t="n">
        <x:v>1.58</x:v>
      </x:c>
      <x:c r="G1192" s="13" t="n">
        <x:v>2.68</x:v>
      </x:c>
      <x:c r="H1192" s="13" t="n">
        <x:v>1.1</x:v>
      </x:c>
      <x:c r="I1192" s="13" t="n">
        <x:v>0</x:v>
      </x:c>
      <x:c r="J1192" s="12" t="str">
        <x:v>read, now_ui_boot</x:v>
      </x:c>
      <x:c r="K1192" s="12" t="str">
        <x:v>visual</x:v>
      </x:c>
      <x:c r="L1192" s="13" t="n">
        <x:f>IF(G1192&lt;=I1192,0,MAX(0,L1190,L1191)+IF(E1192="via",MAX(0,G1192-MAX(F1192,I1192)),0))</x:f>
        <x:v>2.68</x:v>
      </x:c>
    </x:row>
    <x:row r="1193" ht="42" customHeight="1">
      <x:c r="A1193" s="7" t="str">
        <x:v>DP3-B-R2</x:v>
      </x:c>
      <x:c r="B1193" s="7" t="str">
        <x:v>U10</x:v>
      </x:c>
      <x:c r="C1193" s="7" t="str">
        <x:v>now_ui_infer</x:v>
      </x:c>
      <x:c r="D1193" s="7" t="str">
        <x:v>ui 후보 생산</x:v>
      </x:c>
      <x:c r="E1193" s="7" t="str">
        <x:v>via</x:v>
      </x:c>
      <x:c r="F1193" s="14" t="n">
        <x:v>2.68</x:v>
      </x:c>
      <x:c r="G1193" s="14" t="n">
        <x:v>4.28</x:v>
      </x:c>
      <x:c r="H1193" s="14" t="n">
        <x:v>1.6</x:v>
      </x:c>
      <x:c r="I1193" s="14" t="n">
        <x:v>0</x:v>
      </x:c>
      <x:c r="J1193" s="7" t="str">
        <x:v>now_ui_load</x:v>
      </x:c>
      <x:c r="K1193" s="7" t="str">
        <x:v>visual</x:v>
      </x:c>
      <x:c r="L1193" s="14" t="n">
        <x:f>IF(G1193&lt;=I1193,0,MAX(0,L1192)+IF(E1193="via",MAX(0,G1193-MAX(F1193,I1193)),0))</x:f>
        <x:v>4.28</x:v>
      </x:c>
    </x:row>
    <x:row r="1194" ht="42" customHeight="1">
      <x:c r="A1194" s="12" t="str">
        <x:v>DP3-B-R2</x:v>
      </x:c>
      <x:c r="B1194" s="12" t="str">
        <x:v>U10</x:v>
      </x:c>
      <x:c r="C1194" s="12" t="str">
        <x:v>meaning</x:v>
      </x:c>
      <x:c r="D1194" s="12" t="str">
        <x:v>최초 요청 의미 채택 packet 생성</x:v>
      </x:c>
      <x:c r="E1194" s="12" t="str">
        <x:v>via</x:v>
      </x:c>
      <x:c r="F1194" s="13" t="n">
        <x:v>4.28</x:v>
      </x:c>
      <x:c r="G1194" s="13" t="n">
        <x:v>5.466666666666667</x:v>
      </x:c>
      <x:c r="H1194" s="13" t="n">
        <x:v>1.1866666666666668</x:v>
      </x:c>
      <x:c r="I1194" s="13" t="n">
        <x:v>0</x:v>
      </x:c>
      <x:c r="J1194" s="12" t="str">
        <x:v>now_ui_infer</x:v>
      </x:c>
      <x:c r="K1194" s="12" t="str">
        <x:v>semantic</x:v>
      </x:c>
      <x:c r="L1194" s="13" t="n">
        <x:f>IF(G1194&lt;=I1194,0,MAX(0,L1193)+IF(E1194="via",MAX(0,G1194-MAX(F1194,I1194)),0))</x:f>
        <x:v>5.466666666666667</x:v>
      </x:c>
    </x:row>
    <x:row r="1195" ht="42" customHeight="1">
      <x:c r="A1195" s="7" t="str">
        <x:v>DP3-B-R2</x:v>
      </x:c>
      <x:c r="B1195" s="7" t="str">
        <x:v>U10</x:v>
      </x:c>
      <x:c r="C1195" s="7" t="str">
        <x:v>adopt</x:v>
      </x:c>
      <x:c r="D1195" s="7" t="str">
        <x:v>현재 revision과 권한 검사 및 채택</x:v>
      </x:c>
      <x:c r="E1195" s="7" t="str">
        <x:v>via</x:v>
      </x:c>
      <x:c r="F1195" s="14" t="n">
        <x:v>5.466666666666667</x:v>
      </x:c>
      <x:c r="G1195" s="14" t="n">
        <x:v>5.496666666666667</x:v>
      </x:c>
      <x:c r="H1195" s="14" t="n">
        <x:v>0.03</x:v>
      </x:c>
      <x:c r="I1195" s="14" t="n">
        <x:v>0</x:v>
      </x:c>
      <x:c r="J1195" s="7" t="str">
        <x:v>meaning</x:v>
      </x:c>
      <x:c r="K1195" s="7" t="str">
        <x:v>none</x:v>
      </x:c>
      <x:c r="L1195" s="14" t="n">
        <x:f>IF(G1195&lt;=I1195,0,MAX(0,L1194)+IF(E1195="via",MAX(0,G1195-MAX(F1195,I1195)),0))</x:f>
        <x:v>5.496666666666667</x:v>
      </x:c>
    </x:row>
    <x:row r="1196" ht="42" customHeight="1">
      <x:c r="A1196" s="12" t="str">
        <x:v>DP3-B-R2</x:v>
      </x:c>
      <x:c r="B1196" s="12" t="str">
        <x:v>U10</x:v>
      </x:c>
      <x:c r="C1196" s="12" t="str">
        <x:v>first_display</x:v>
      </x:c>
      <x:c r="D1196" s="12" t="str">
        <x:v>첫 구체적 채택 내용 화면 표시</x:v>
      </x:c>
      <x:c r="E1196" s="12" t="str">
        <x:v>via</x:v>
      </x:c>
      <x:c r="F1196" s="13" t="n">
        <x:v>5.496666666666667</x:v>
      </x:c>
      <x:c r="G1196" s="13" t="n">
        <x:v>5.536666666666667</x:v>
      </x:c>
      <x:c r="H1196" s="13" t="n">
        <x:v>0.04</x:v>
      </x:c>
      <x:c r="I1196" s="13" t="n">
        <x:v>0</x:v>
      </x:c>
      <x:c r="J1196" s="12" t="str">
        <x:v>adopt</x:v>
      </x:c>
      <x:c r="K1196" s="12" t="str">
        <x:v>none</x:v>
      </x:c>
      <x:c r="L1196" s="13" t="n">
        <x:f>IF(G1196&lt;=I1196,0,MAX(0,L1195)+IF(E1196="via",MAX(0,G1196-MAX(F1196,I1196)),0))</x:f>
        <x:v>5.536666666666667</x:v>
      </x:c>
    </x:row>
    <x:row r="1197" ht="42" customHeight="1">
      <x:c r="A1197" s="7" t="str">
        <x:v>DP3-B-R2</x:v>
      </x:c>
      <x:c r="B1197" s="7" t="str">
        <x:v>U10</x:v>
      </x:c>
      <x:c r="C1197" s="7" t="str">
        <x:v>agent_ingress</x:v>
      </x:c>
      <x:c r="D1197" s="7" t="str">
        <x:v>Agent 요청 전송</x:v>
      </x:c>
      <x:c r="E1197" s="7" t="str">
        <x:v>via</x:v>
      </x:c>
      <x:c r="F1197" s="14" t="n">
        <x:v>5.496666666666667</x:v>
      </x:c>
      <x:c r="G1197" s="14" t="n">
        <x:v>5.536666666666667</x:v>
      </x:c>
      <x:c r="H1197" s="14" t="n">
        <x:v>0.04</x:v>
      </x:c>
      <x:c r="I1197" s="14" t="n">
        <x:v>0</x:v>
      </x:c>
      <x:c r="J1197" s="7" t="str">
        <x:v>adopt</x:v>
      </x:c>
      <x:c r="K1197" s="7" t="str">
        <x:v>none</x:v>
      </x:c>
      <x:c r="L1197" s="14" t="n">
        <x:f>IF(G1197&lt;=I1197,0,MAX(0,L1195)+IF(E1197="via",MAX(0,G1197-MAX(F1197,I1197)),0))</x:f>
        <x:v>5.536666666666667</x:v>
      </x:c>
    </x:row>
    <x:row r="1198" ht="42" customHeight="1">
      <x:c r="A1198" s="12" t="str">
        <x:v>DP3-B-R2</x:v>
      </x:c>
      <x:c r="B1198" s="12" t="str">
        <x:v>U10</x:v>
      </x:c>
      <x:c r="C1198" s="12" t="str">
        <x:v>agent_result</x:v>
      </x:c>
      <x:c r="D1198" s="12" t="str">
        <x:v>외부 Agent 업무</x:v>
      </x:c>
      <x:c r="E1198" s="12" t="str">
        <x:v>external</x:v>
      </x:c>
      <x:c r="F1198" s="13" t="n">
        <x:v>5.536666666666667</x:v>
      </x:c>
      <x:c r="G1198" s="13" t="n">
        <x:v>13.536666666666667</x:v>
      </x:c>
      <x:c r="H1198" s="13" t="n">
        <x:v>8</x:v>
      </x:c>
      <x:c r="I1198" s="13" t="n">
        <x:v>0</x:v>
      </x:c>
      <x:c r="J1198" s="12" t="str">
        <x:v>agent_ingress</x:v>
      </x:c>
      <x:c r="K1198" s="12" t="str">
        <x:v>none</x:v>
      </x:c>
      <x:c r="L1198" s="13" t="n">
        <x:f>IF(G1198&lt;=I1198,0,MAX(0,L1197)+IF(E1198="via",MAX(0,G1198-MAX(F1198,I1198)),0))</x:f>
        <x:v>5.536666666666667</x:v>
      </x:c>
    </x:row>
    <x:row r="1199" ht="42" customHeight="1">
      <x:c r="A1199" s="7" t="str">
        <x:v>DP3-B-R2</x:v>
      </x:c>
      <x:c r="B1199" s="7" t="str">
        <x:v>U10</x:v>
      </x:c>
      <x:c r="C1199" s="7" t="str">
        <x:v>result_display</x:v>
      </x:c>
      <x:c r="D1199" s="7" t="str">
        <x:v>최종 결과 상세 표시</x:v>
      </x:c>
      <x:c r="E1199" s="7" t="str">
        <x:v>via</x:v>
      </x:c>
      <x:c r="F1199" s="14" t="n">
        <x:v>13.536666666666667</x:v>
      </x:c>
      <x:c r="G1199" s="14" t="n">
        <x:v>13.576666666666666</x:v>
      </x:c>
      <x:c r="H1199" s="14" t="n">
        <x:v>0.04</x:v>
      </x:c>
      <x:c r="I1199" s="14" t="n">
        <x:v>0</x:v>
      </x:c>
      <x:c r="J1199" s="7" t="str">
        <x:v>agent_result</x:v>
      </x:c>
      <x:c r="K1199" s="7" t="str">
        <x:v>none</x:v>
      </x:c>
      <x:c r="L1199" s="14" t="n">
        <x:f>IF(G1199&lt;=I1199,0,MAX(0,L1198)+IF(E1199="via",MAX(0,G1199-MAX(F1199,I1199)),0))</x:f>
        <x:v>5.576666666666666</x:v>
      </x:c>
    </x:row>
    <x:row r="1200" ht="42" customHeight="1">
      <x:c r="A1200" s="12" t="str">
        <x:v>DP3-B-R2</x:v>
      </x:c>
      <x:c r="B1200" s="12" t="str">
        <x:v>U10</x:v>
      </x:c>
      <x:c r="C1200" s="12" t="str">
        <x:v>response_audio</x:v>
      </x:c>
      <x:c r="D1200" s="12" t="str">
        <x:v>선택한 응답 음성 생성</x:v>
      </x:c>
      <x:c r="E1200" s="12" t="str">
        <x:v>via</x:v>
      </x:c>
      <x:c r="F1200" s="13" t="n">
        <x:v>13.536666666666667</x:v>
      </x:c>
      <x:c r="G1200" s="13" t="n">
        <x:v>15.424666666666667</x:v>
      </x:c>
      <x:c r="H1200" s="13" t="n">
        <x:v>1.888</x:v>
      </x:c>
      <x:c r="I1200" s="13" t="n">
        <x:v>0</x:v>
      </x:c>
      <x:c r="J1200" s="12" t="str">
        <x:v>agent_result</x:v>
      </x:c>
      <x:c r="K1200" s="12" t="str">
        <x:v>speech</x:v>
      </x:c>
      <x:c r="L1200" s="13" t="n">
        <x:f>IF(G1200&lt;=I1200,0,MAX(0,L1198)+IF(E1200="via",MAX(0,G1200-MAX(F1200,I1200)),0))</x:f>
        <x:v>7.424666666666667</x:v>
      </x:c>
    </x:row>
    <x:row r="1201" ht="42" customHeight="1">
      <x:c r="A1201" s="7" t="str">
        <x:v>DP3-B-R2</x:v>
      </x:c>
      <x:c r="B1201" s="7" t="str">
        <x:v>U10</x:v>
      </x:c>
      <x:c r="C1201" s="7" t="str">
        <x:v>intent_audio</x:v>
      </x:c>
      <x:c r="D1201" s="7" t="str">
        <x:v>채택한 구체적 수행 의도의 짧은 음성</x:v>
      </x:c>
      <x:c r="E1201" s="7" t="str">
        <x:v>via</x:v>
      </x:c>
      <x:c r="F1201" s="14" t="n">
        <x:v>5.496666666666667</x:v>
      </x:c>
      <x:c r="G1201" s="14" t="n">
        <x:v>6.6306666666666665</x:v>
      </x:c>
      <x:c r="H1201" s="14" t="n">
        <x:v>1.134</x:v>
      </x:c>
      <x:c r="I1201" s="14" t="n">
        <x:v>0</x:v>
      </x:c>
      <x:c r="J1201" s="7" t="str">
        <x:v>adopt</x:v>
      </x:c>
      <x:c r="K1201" s="7" t="str">
        <x:v>speech</x:v>
      </x:c>
      <x:c r="L1201" s="14" t="n">
        <x:f>IF(G1201&lt;=I1201,0,MAX(0,L1195)+IF(E1201="via",MAX(0,G1201-MAX(F1201,I1201)),0))</x:f>
        <x:v>6.6306666666666665</x:v>
      </x:c>
    </x:row>
    <x:row r="1202" ht="42" customHeight="1">
      <x:c r="A1202" s="12" t="str">
        <x:v>DP3-B-R2</x:v>
      </x:c>
      <x:c r="B1202" s="12" t="str">
        <x:v>U10</x:v>
      </x:c>
      <x:c r="C1202" s="12" t="str">
        <x:v>first_chunk</x:v>
      </x:c>
      <x:c r="D1202" s="12" t="str">
        <x:v>같은 생성 job의 유효 첫 chunk 관측</x:v>
      </x:c>
      <x:c r="E1202" s="12" t="str">
        <x:v>via</x:v>
      </x:c>
      <x:c r="F1202" s="13" t="n">
        <x:v>5.496666666666667</x:v>
      </x:c>
      <x:c r="G1202" s="13" t="n">
        <x:v>5.930666666666667</x:v>
      </x:c>
      <x:c r="H1202" s="13" t="n">
        <x:v>0.434</x:v>
      </x:c>
      <x:c r="I1202" s="13" t="n">
        <x:v>0</x:v>
      </x:c>
      <x:c r="J1202" s="12" t="str">
        <x:v>adopt</x:v>
      </x:c>
      <x:c r="K1202" s="12" t="str">
        <x:v>none</x:v>
      </x:c>
      <x:c r="L1202" s="13" t="n">
        <x:f>IF(G1202&lt;=I1202,0,MAX(0,L1195)+IF(E1202="via",MAX(0,G1202-MAX(F1202,I1202)),0))</x:f>
        <x:v>5.930666666666667</x:v>
      </x:c>
    </x:row>
    <x:row r="1203" ht="42" customHeight="1">
      <x:c r="A1203" s="7" t="str">
        <x:v>DP3-B-R2</x:v>
      </x:c>
      <x:c r="B1203" s="7" t="str">
        <x:v>U10</x:v>
      </x:c>
      <x:c r="C1203" s="7" t="str">
        <x:v>first_audio_output</x:v>
      </x:c>
      <x:c r="D1203" s="7" t="str">
        <x:v>공통 장치의 첫 음성 출력</x:v>
      </x:c>
      <x:c r="E1203" s="7" t="str">
        <x:v>via</x:v>
      </x:c>
      <x:c r="F1203" s="14" t="n">
        <x:v>5.930666666666667</x:v>
      </x:c>
      <x:c r="G1203" s="14" t="n">
        <x:v>5.970666666666667</x:v>
      </x:c>
      <x:c r="H1203" s="14" t="n">
        <x:v>0.04</x:v>
      </x:c>
      <x:c r="I1203" s="14" t="n">
        <x:v>0</x:v>
      </x:c>
      <x:c r="J1203" s="7" t="str">
        <x:v>adopt, first_chunk</x:v>
      </x:c>
      <x:c r="K1203" s="7" t="str">
        <x:v>none</x:v>
      </x:c>
      <x:c r="L1203" s="14" t="n">
        <x:f>IF(G1203&lt;=I1203,0,MAX(0,L1195,L1202)+IF(E1203="via",MAX(0,G1203-MAX(F1203,I1203)),0))</x:f>
        <x:v>5.970666666666667</x:v>
      </x:c>
    </x:row>
    <x:row r="1204" ht="42" customHeight="1">
      <x:c r="A1204" s="12" t="str">
        <x:v>DP3-B-R2</x:v>
      </x:c>
      <x:c r="B1204" s="12" t="str">
        <x:v>U10</x:v>
      </x:c>
      <x:c r="C1204" s="12" t="str">
        <x:v>next_speech_selection</x:v>
      </x:c>
      <x:c r="D1204" s="12" t="str">
        <x:v>현재 발화 재생 후 다음 응답 선택</x:v>
      </x:c>
      <x:c r="E1204" s="12" t="str">
        <x:v>external</x:v>
      </x:c>
      <x:c r="F1204" s="13" t="n">
        <x:v>5.970666666666667</x:v>
      </x:c>
      <x:c r="G1204" s="13" t="n">
        <x:v>8.970666666666666</x:v>
      </x:c>
      <x:c r="H1204" s="13" t="n">
        <x:v>3</x:v>
      </x:c>
      <x:c r="I1204" s="13" t="n">
        <x:v>0</x:v>
      </x:c>
      <x:c r="J1204" s="12" t="str">
        <x:v>first_audio_output</x:v>
      </x:c>
      <x:c r="K1204" s="12" t="str">
        <x:v>none</x:v>
      </x:c>
      <x:c r="L1204" s="13" t="n">
        <x:f>IF(G1204&lt;=I1204,0,MAX(0,L1203)+IF(E1204="via",MAX(0,G1204-MAX(F1204,I1204)),0))</x:f>
        <x:v>5.970666666666667</x:v>
      </x:c>
    </x:row>
    <x:row r="1205" ht="42" customHeight="1">
      <x:c r="A1205" s="7" t="str">
        <x:v>DP3-B-R2</x:v>
      </x:c>
      <x:c r="B1205" s="7" t="str">
        <x:v>U10</x:v>
      </x:c>
      <x:c r="C1205" s="7" t="str">
        <x:v>terminal</x:v>
      </x:c>
      <x:c r="D1205" s="7" t="str">
        <x:v>공통 목표 최종 상태와 전체 음성 준비</x:v>
      </x:c>
      <x:c r="E1205" s="7" t="str">
        <x:v>via</x:v>
      </x:c>
      <x:c r="F1205" s="14" t="n">
        <x:v>15.424666666666667</x:v>
      </x:c>
      <x:c r="G1205" s="14" t="n">
        <x:v>15.424666666666667</x:v>
      </x:c>
      <x:c r="H1205" s="14" t="n">
        <x:v>0</x:v>
      </x:c>
      <x:c r="I1205" s="14" t="n">
        <x:v>0</x:v>
      </x:c>
      <x:c r="J1205" s="7" t="str">
        <x:v>result_display, response_audio, intent_audio, first_audio_output</x:v>
      </x:c>
      <x:c r="K1205" s="7" t="str">
        <x:v>none</x:v>
      </x:c>
      <x:c r="L1205" s="14" t="n">
        <x:f>IF(G1205&lt;=I1205,0,MAX(0,L1199,L1200,L1201,L1203)+IF(E1205="via",MAX(0,G1205-MAX(F1205,I1205)),0))</x:f>
        <x:v>7.424666666666667</x:v>
      </x:c>
    </x:row>
    <x:row r="1206" ht="42" customHeight="1">
      <x:c r="A1206" s="12" t="str">
        <x:v>DP3-B-R2</x:v>
      </x:c>
      <x:c r="B1206" s="12" t="str">
        <x:v>U11</x:v>
      </x:c>
      <x:c r="C1206" s="12" t="str">
        <x:v>input_end</x:v>
      </x:c>
      <x:c r="D1206" s="12" t="str">
        <x:v>사용자 입력 종료</x:v>
      </x:c>
      <x:c r="E1206" s="12" t="str">
        <x:v>external</x:v>
      </x:c>
      <x:c r="F1206" s="13" t="n">
        <x:v>0</x:v>
      </x:c>
      <x:c r="G1206" s="13" t="n">
        <x:v>0</x:v>
      </x:c>
      <x:c r="H1206" s="13" t="n">
        <x:v>0</x:v>
      </x:c>
      <x:c r="I1206" s="13" t="n">
        <x:v>0</x:v>
      </x:c>
      <x:c r="J1206" s="12" t="str"/>
      <x:c r="K1206" s="12" t="str">
        <x:v>none</x:v>
      </x:c>
      <x:c r="L1206" s="13" t="n">
        <x:f>IF(G1206&lt;=I1206,0,MAX(0)+IF(E1206="via",MAX(0,G1206-MAX(F1206,I1206)),0))</x:f>
        <x:v>0</x:v>
      </x:c>
    </x:row>
    <x:row r="1207" ht="42" customHeight="1">
      <x:c r="A1207" s="7" t="str">
        <x:v>DP3-B-R2</x:v>
      </x:c>
      <x:c r="B1207" s="7" t="str">
        <x:v>U11</x:v>
      </x:c>
      <x:c r="C1207" s="7" t="str">
        <x:v>intake</x:v>
      </x:c>
      <x:c r="D1207" s="7" t="str">
        <x:v>입력 확정</x:v>
      </x:c>
      <x:c r="E1207" s="7" t="str">
        <x:v>via</x:v>
      </x:c>
      <x:c r="F1207" s="14" t="n">
        <x:v>0</x:v>
      </x:c>
      <x:c r="G1207" s="14" t="n">
        <x:v>0.3</x:v>
      </x:c>
      <x:c r="H1207" s="14" t="n">
        <x:v>0.3</x:v>
      </x:c>
      <x:c r="I1207" s="14" t="n">
        <x:v>0</x:v>
      </x:c>
      <x:c r="J1207" s="7" t="str">
        <x:v>input_end</x:v>
      </x:c>
      <x:c r="K1207" s="7" t="str">
        <x:v>none</x:v>
      </x:c>
      <x:c r="L1207" s="14" t="n">
        <x:f>IF(G1207&lt;=I1207,0,MAX(0,L1206)+IF(E1207="via",MAX(0,G1207-MAX(F1207,I1207)),0))</x:f>
        <x:v>0.3</x:v>
      </x:c>
    </x:row>
    <x:row r="1208" ht="42" customHeight="1">
      <x:c r="A1208" s="12" t="str">
        <x:v>DP3-B-R2</x:v>
      </x:c>
      <x:c r="B1208" s="12" t="str">
        <x:v>U11</x:v>
      </x:c>
      <x:c r="C1208" s="12" t="str">
        <x:v>read</x:v>
      </x:c>
      <x:c r="D1208" s="12" t="str">
        <x:v>공통 허용 원본 조회</x:v>
      </x:c>
      <x:c r="E1208" s="12" t="str">
        <x:v>via</x:v>
      </x:c>
      <x:c r="F1208" s="13" t="n">
        <x:v>0.3</x:v>
      </x:c>
      <x:c r="G1208" s="13" t="n">
        <x:v>0.38</x:v>
      </x:c>
      <x:c r="H1208" s="13" t="n">
        <x:v>0.08</x:v>
      </x:c>
      <x:c r="I1208" s="13" t="n">
        <x:v>0</x:v>
      </x:c>
      <x:c r="J1208" s="12" t="str">
        <x:v>intake</x:v>
      </x:c>
      <x:c r="K1208" s="12" t="str">
        <x:v>none</x:v>
      </x:c>
      <x:c r="L1208" s="13" t="n">
        <x:f>IF(G1208&lt;=I1208,0,MAX(0,L1207)+IF(E1208="via",MAX(0,G1208-MAX(F1208,I1208)),0))</x:f>
        <x:v>0.38</x:v>
      </x:c>
    </x:row>
    <x:row r="1209" ht="42" customHeight="1">
      <x:c r="A1209" s="7" t="str">
        <x:v>DP3-B-R2</x:v>
      </x:c>
      <x:c r="B1209" s="7" t="str">
        <x:v>U11</x:v>
      </x:c>
      <x:c r="C1209" s="7" t="str">
        <x:v>now_ui_boot</x:v>
      </x:c>
      <x:c r="D1209" s="7" t="str">
        <x:v>ui runtime 시작</x:v>
      </x:c>
      <x:c r="E1209" s="7" t="str">
        <x:v>via</x:v>
      </x:c>
      <x:c r="F1209" s="14" t="n">
        <x:v>0.38</x:v>
      </x:c>
      <x:c r="G1209" s="14" t="n">
        <x:v>1.58</x:v>
      </x:c>
      <x:c r="H1209" s="14" t="n">
        <x:v>1.2</x:v>
      </x:c>
      <x:c r="I1209" s="14" t="n">
        <x:v>0</x:v>
      </x:c>
      <x:c r="J1209" s="7" t="str">
        <x:v>read</x:v>
      </x:c>
      <x:c r="K1209" s="7" t="str">
        <x:v>visual</x:v>
      </x:c>
      <x:c r="L1209" s="14" t="n">
        <x:f>IF(G1209&lt;=I1209,0,MAX(0,L1208)+IF(E1209="via",MAX(0,G1209-MAX(F1209,I1209)),0))</x:f>
        <x:v>1.58</x:v>
      </x:c>
    </x:row>
    <x:row r="1210" ht="42" customHeight="1">
      <x:c r="A1210" s="12" t="str">
        <x:v>DP3-B-R2</x:v>
      </x:c>
      <x:c r="B1210" s="12" t="str">
        <x:v>U11</x:v>
      </x:c>
      <x:c r="C1210" s="12" t="str">
        <x:v>now_ui_load</x:v>
      </x:c>
      <x:c r="D1210" s="12" t="str">
        <x:v>ui 모델 적재</x:v>
      </x:c>
      <x:c r="E1210" s="12" t="str">
        <x:v>via</x:v>
      </x:c>
      <x:c r="F1210" s="13" t="n">
        <x:v>1.58</x:v>
      </x:c>
      <x:c r="G1210" s="13" t="n">
        <x:v>2.68</x:v>
      </x:c>
      <x:c r="H1210" s="13" t="n">
        <x:v>1.1</x:v>
      </x:c>
      <x:c r="I1210" s="13" t="n">
        <x:v>0</x:v>
      </x:c>
      <x:c r="J1210" s="12" t="str">
        <x:v>read, now_ui_boot</x:v>
      </x:c>
      <x:c r="K1210" s="12" t="str">
        <x:v>visual</x:v>
      </x:c>
      <x:c r="L1210" s="13" t="n">
        <x:f>IF(G1210&lt;=I1210,0,MAX(0,L1208,L1209)+IF(E1210="via",MAX(0,G1210-MAX(F1210,I1210)),0))</x:f>
        <x:v>2.68</x:v>
      </x:c>
    </x:row>
    <x:row r="1211" ht="42" customHeight="1">
      <x:c r="A1211" s="7" t="str">
        <x:v>DP3-B-R2</x:v>
      </x:c>
      <x:c r="B1211" s="7" t="str">
        <x:v>U11</x:v>
      </x:c>
      <x:c r="C1211" s="7" t="str">
        <x:v>now_ui_infer</x:v>
      </x:c>
      <x:c r="D1211" s="7" t="str">
        <x:v>ui 후보 생산</x:v>
      </x:c>
      <x:c r="E1211" s="7" t="str">
        <x:v>via</x:v>
      </x:c>
      <x:c r="F1211" s="14" t="n">
        <x:v>2.68</x:v>
      </x:c>
      <x:c r="G1211" s="14" t="n">
        <x:v>4.28</x:v>
      </x:c>
      <x:c r="H1211" s="14" t="n">
        <x:v>1.6</x:v>
      </x:c>
      <x:c r="I1211" s="14" t="n">
        <x:v>0</x:v>
      </x:c>
      <x:c r="J1211" s="7" t="str">
        <x:v>now_ui_load</x:v>
      </x:c>
      <x:c r="K1211" s="7" t="str">
        <x:v>visual</x:v>
      </x:c>
      <x:c r="L1211" s="14" t="n">
        <x:f>IF(G1211&lt;=I1211,0,MAX(0,L1210)+IF(E1211="via",MAX(0,G1211-MAX(F1211,I1211)),0))</x:f>
        <x:v>4.28</x:v>
      </x:c>
    </x:row>
    <x:row r="1212" ht="42" customHeight="1">
      <x:c r="A1212" s="12" t="str">
        <x:v>DP3-B-R2</x:v>
      </x:c>
      <x:c r="B1212" s="12" t="str">
        <x:v>U11</x:v>
      </x:c>
      <x:c r="C1212" s="12" t="str">
        <x:v>now_sam_load</x:v>
      </x:c>
      <x:c r="D1212" s="12" t="str">
        <x:v>sam 모델 적재</x:v>
      </x:c>
      <x:c r="E1212" s="12" t="str">
        <x:v>via</x:v>
      </x:c>
      <x:c r="F1212" s="13" t="n">
        <x:v>4.28</x:v>
      </x:c>
      <x:c r="G1212" s="13" t="n">
        <x:v>4.930000000000001</x:v>
      </x:c>
      <x:c r="H1212" s="13" t="n">
        <x:v>0.65</x:v>
      </x:c>
      <x:c r="I1212" s="13" t="n">
        <x:v>0</x:v>
      </x:c>
      <x:c r="J1212" s="12" t="str">
        <x:v>now_ui_infer, now_ui_boot</x:v>
      </x:c>
      <x:c r="K1212" s="12" t="str">
        <x:v>visual</x:v>
      </x:c>
      <x:c r="L1212" s="13" t="n">
        <x:f>IF(G1212&lt;=I1212,0,MAX(0,L1211,L1209)+IF(E1212="via",MAX(0,G1212-MAX(F1212,I1212)),0))</x:f>
        <x:v>4.930000000000001</x:v>
      </x:c>
    </x:row>
    <x:row r="1213" ht="42" customHeight="1">
      <x:c r="A1213" s="7" t="str">
        <x:v>DP3-B-R2</x:v>
      </x:c>
      <x:c r="B1213" s="7" t="str">
        <x:v>U11</x:v>
      </x:c>
      <x:c r="C1213" s="7" t="str">
        <x:v>now_sam_infer</x:v>
      </x:c>
      <x:c r="D1213" s="7" t="str">
        <x:v>sam 후보 생산</x:v>
      </x:c>
      <x:c r="E1213" s="7" t="str">
        <x:v>via</x:v>
      </x:c>
      <x:c r="F1213" s="14" t="n">
        <x:v>4.930000000000001</x:v>
      </x:c>
      <x:c r="G1213" s="14" t="n">
        <x:v>9.030000000000001</x:v>
      </x:c>
      <x:c r="H1213" s="14" t="n">
        <x:v>4.1</x:v>
      </x:c>
      <x:c r="I1213" s="14" t="n">
        <x:v>0</x:v>
      </x:c>
      <x:c r="J1213" s="7" t="str">
        <x:v>now_sam_load</x:v>
      </x:c>
      <x:c r="K1213" s="7" t="str">
        <x:v>visual</x:v>
      </x:c>
      <x:c r="L1213" s="14" t="n">
        <x:f>IF(G1213&lt;=I1213,0,MAX(0,L1212)+IF(E1213="via",MAX(0,G1213-MAX(F1213,I1213)),0))</x:f>
        <x:v>9.030000000000001</x:v>
      </x:c>
    </x:row>
    <x:row r="1214" ht="42" customHeight="1">
      <x:c r="A1214" s="12" t="str">
        <x:v>DP3-B-R2</x:v>
      </x:c>
      <x:c r="B1214" s="12" t="str">
        <x:v>U11</x:v>
      </x:c>
      <x:c r="C1214" s="12" t="str">
        <x:v>expand_need</x:v>
      </x:c>
      <x:c r="D1214" s="12" t="str">
        <x:v>초기 binder의 부족 판정과 ExpandNeed 생성</x:v>
      </x:c>
      <x:c r="E1214" s="12" t="str">
        <x:v>via</x:v>
      </x:c>
      <x:c r="F1214" s="13" t="n">
        <x:v>9.030000000000001</x:v>
      </x:c>
      <x:c r="G1214" s="13" t="n">
        <x:v>9.903333333333334</x:v>
      </x:c>
      <x:c r="H1214" s="13" t="n">
        <x:v>0.8733333333333333</x:v>
      </x:c>
      <x:c r="I1214" s="13" t="n">
        <x:v>0</x:v>
      </x:c>
      <x:c r="J1214" s="12" t="str">
        <x:v>now_sam_infer</x:v>
      </x:c>
      <x:c r="K1214" s="12" t="str">
        <x:v>semantic</x:v>
      </x:c>
      <x:c r="L1214" s="13" t="n">
        <x:f>IF(G1214&lt;=I1214,0,MAX(0,L1213)+IF(E1214="via",MAX(0,G1214-MAX(F1214,I1214)),0))</x:f>
        <x:v>9.903333333333334</x:v>
      </x:c>
    </x:row>
    <x:row r="1215" ht="42" customHeight="1">
      <x:c r="A1215" s="7" t="str">
        <x:v>DP3-B-R2</x:v>
      </x:c>
      <x:c r="B1215" s="7" t="str">
        <x:v>U11</x:v>
      </x:c>
      <x:c r="C1215" s="7" t="str">
        <x:v>raw_expansion</x:v>
      </x:c>
      <x:c r="D1215" s="7" t="str">
        <x:v>ExpandNeed에 따른 원본 확장 조회</x:v>
      </x:c>
      <x:c r="E1215" s="7" t="str">
        <x:v>via</x:v>
      </x:c>
      <x:c r="F1215" s="14" t="n">
        <x:v>9.903333333333334</x:v>
      </x:c>
      <x:c r="G1215" s="14" t="n">
        <x:v>9.983333333333334</x:v>
      </x:c>
      <x:c r="H1215" s="14" t="n">
        <x:v>0.08</x:v>
      </x:c>
      <x:c r="I1215" s="14" t="n">
        <x:v>0</x:v>
      </x:c>
      <x:c r="J1215" s="7" t="str">
        <x:v>expand_need</x:v>
      </x:c>
      <x:c r="K1215" s="7" t="str">
        <x:v>none</x:v>
      </x:c>
      <x:c r="L1215" s="14" t="n">
        <x:f>IF(G1215&lt;=I1215,0,MAX(0,L1214)+IF(E1215="via",MAX(0,G1215-MAX(F1215,I1215)),0))</x:f>
        <x:v>9.983333333333334</x:v>
      </x:c>
    </x:row>
    <x:row r="1216" ht="42" customHeight="1">
      <x:c r="A1216" s="12" t="str">
        <x:v>DP3-B-R2</x:v>
      </x:c>
      <x:c r="B1216" s="12" t="str">
        <x:v>U11</x:v>
      </x:c>
      <x:c r="C1216" s="12" t="str">
        <x:v>expand_ui_infer</x:v>
      </x:c>
      <x:c r="D1216" s="12" t="str">
        <x:v>ui 후보 생산</x:v>
      </x:c>
      <x:c r="E1216" s="12" t="str">
        <x:v>via</x:v>
      </x:c>
      <x:c r="F1216" s="13" t="n">
        <x:v>9.983333333333334</x:v>
      </x:c>
      <x:c r="G1216" s="13" t="n">
        <x:v>11.583333333333334</x:v>
      </x:c>
      <x:c r="H1216" s="13" t="n">
        <x:v>1.6</x:v>
      </x:c>
      <x:c r="I1216" s="13" t="n">
        <x:v>0</x:v>
      </x:c>
      <x:c r="J1216" s="12" t="str">
        <x:v>raw_expansion, now_ui_boot</x:v>
      </x:c>
      <x:c r="K1216" s="12" t="str">
        <x:v>visual</x:v>
      </x:c>
      <x:c r="L1216" s="13" t="n">
        <x:f>IF(G1216&lt;=I1216,0,MAX(0,L1215,L1209)+IF(E1216="via",MAX(0,G1216-MAX(F1216,I1216)),0))</x:f>
        <x:v>11.583333333333334</x:v>
      </x:c>
    </x:row>
    <x:row r="1217" ht="42" customHeight="1">
      <x:c r="A1217" s="7" t="str">
        <x:v>DP3-B-R2</x:v>
      </x:c>
      <x:c r="B1217" s="7" t="str">
        <x:v>U11</x:v>
      </x:c>
      <x:c r="C1217" s="7" t="str">
        <x:v>expand_sam_infer</x:v>
      </x:c>
      <x:c r="D1217" s="7" t="str">
        <x:v>sam 후보 생산</x:v>
      </x:c>
      <x:c r="E1217" s="7" t="str">
        <x:v>via</x:v>
      </x:c>
      <x:c r="F1217" s="14" t="n">
        <x:v>11.583333333333334</x:v>
      </x:c>
      <x:c r="G1217" s="14" t="n">
        <x:v>13.633333333333333</x:v>
      </x:c>
      <x:c r="H1217" s="14" t="n">
        <x:v>2.05</x:v>
      </x:c>
      <x:c r="I1217" s="14" t="n">
        <x:v>0</x:v>
      </x:c>
      <x:c r="J1217" s="7" t="str">
        <x:v>expand_ui_infer, now_ui_boot</x:v>
      </x:c>
      <x:c r="K1217" s="7" t="str">
        <x:v>visual</x:v>
      </x:c>
      <x:c r="L1217" s="14" t="n">
        <x:f>IF(G1217&lt;=I1217,0,MAX(0,L1216,L1209)+IF(E1217="via",MAX(0,G1217-MAX(F1217,I1217)),0))</x:f>
        <x:v>13.633333333333333</x:v>
      </x:c>
    </x:row>
    <x:row r="1218" ht="42" customHeight="1">
      <x:c r="A1218" s="12" t="str">
        <x:v>DP3-B-R2</x:v>
      </x:c>
      <x:c r="B1218" s="12" t="str">
        <x:v>U11</x:v>
      </x:c>
      <x:c r="C1218" s="12" t="str">
        <x:v>expanded_revision</x:v>
      </x:c>
      <x:c r="D1218" s="12" t="str">
        <x:v>확장 후보 revision 게시 및 결합 재개</x:v>
      </x:c>
      <x:c r="E1218" s="12" t="str">
        <x:v>via</x:v>
      </x:c>
      <x:c r="F1218" s="13" t="n">
        <x:v>13.633333333333333</x:v>
      </x:c>
      <x:c r="G1218" s="13" t="n">
        <x:v>13.663333333333332</x:v>
      </x:c>
      <x:c r="H1218" s="13" t="n">
        <x:v>0.03</x:v>
      </x:c>
      <x:c r="I1218" s="13" t="n">
        <x:v>0</x:v>
      </x:c>
      <x:c r="J1218" s="12" t="str">
        <x:v>expand_sam_infer</x:v>
      </x:c>
      <x:c r="K1218" s="12" t="str">
        <x:v>none</x:v>
      </x:c>
      <x:c r="L1218" s="13" t="n">
        <x:f>IF(G1218&lt;=I1218,0,MAX(0,L1217)+IF(E1218="via",MAX(0,G1218-MAX(F1218,I1218)),0))</x:f>
        <x:v>13.663333333333332</x:v>
      </x:c>
    </x:row>
    <x:row r="1219" ht="42" customHeight="1">
      <x:c r="A1219" s="7" t="str">
        <x:v>DP3-B-R2</x:v>
      </x:c>
      <x:c r="B1219" s="7" t="str">
        <x:v>U11</x:v>
      </x:c>
      <x:c r="C1219" s="7" t="str">
        <x:v>meaning</x:v>
      </x:c>
      <x:c r="D1219" s="7" t="str">
        <x:v>최초 요청 의미 채택 packet 생성</x:v>
      </x:c>
      <x:c r="E1219" s="7" t="str">
        <x:v>via</x:v>
      </x:c>
      <x:c r="F1219" s="14" t="n">
        <x:v>13.663333333333332</x:v>
      </x:c>
      <x:c r="G1219" s="14" t="n">
        <x:v>15.086666666666666</x:v>
      </x:c>
      <x:c r="H1219" s="14" t="n">
        <x:v>1.4233333333333333</x:v>
      </x:c>
      <x:c r="I1219" s="14" t="n">
        <x:v>0</x:v>
      </x:c>
      <x:c r="J1219" s="7" t="str">
        <x:v>expanded_revision</x:v>
      </x:c>
      <x:c r="K1219" s="7" t="str">
        <x:v>semantic</x:v>
      </x:c>
      <x:c r="L1219" s="14" t="n">
        <x:f>IF(G1219&lt;=I1219,0,MAX(0,L1218)+IF(E1219="via",MAX(0,G1219-MAX(F1219,I1219)),0))</x:f>
        <x:v>15.086666666666666</x:v>
      </x:c>
    </x:row>
    <x:row r="1220" ht="42" customHeight="1">
      <x:c r="A1220" s="12" t="str">
        <x:v>DP3-B-R2</x:v>
      </x:c>
      <x:c r="B1220" s="12" t="str">
        <x:v>U11</x:v>
      </x:c>
      <x:c r="C1220" s="12" t="str">
        <x:v>adopt</x:v>
      </x:c>
      <x:c r="D1220" s="12" t="str">
        <x:v>현재 revision과 권한 검사 및 채택</x:v>
      </x:c>
      <x:c r="E1220" s="12" t="str">
        <x:v>via</x:v>
      </x:c>
      <x:c r="F1220" s="13" t="n">
        <x:v>15.086666666666666</x:v>
      </x:c>
      <x:c r="G1220" s="13" t="n">
        <x:v>15.116666666666665</x:v>
      </x:c>
      <x:c r="H1220" s="13" t="n">
        <x:v>0.03</x:v>
      </x:c>
      <x:c r="I1220" s="13" t="n">
        <x:v>0</x:v>
      </x:c>
      <x:c r="J1220" s="12" t="str">
        <x:v>meaning</x:v>
      </x:c>
      <x:c r="K1220" s="12" t="str">
        <x:v>none</x:v>
      </x:c>
      <x:c r="L1220" s="13" t="n">
        <x:f>IF(G1220&lt;=I1220,0,MAX(0,L1219)+IF(E1220="via",MAX(0,G1220-MAX(F1220,I1220)),0))</x:f>
        <x:v>15.116666666666665</x:v>
      </x:c>
    </x:row>
    <x:row r="1221" ht="42" customHeight="1">
      <x:c r="A1221" s="7" t="str">
        <x:v>DP3-B-R2</x:v>
      </x:c>
      <x:c r="B1221" s="7" t="str">
        <x:v>U11</x:v>
      </x:c>
      <x:c r="C1221" s="7" t="str">
        <x:v>first_display</x:v>
      </x:c>
      <x:c r="D1221" s="7" t="str">
        <x:v>첫 구체적 채택 내용 화면 표시</x:v>
      </x:c>
      <x:c r="E1221" s="7" t="str">
        <x:v>via</x:v>
      </x:c>
      <x:c r="F1221" s="14" t="n">
        <x:v>15.116666666666665</x:v>
      </x:c>
      <x:c r="G1221" s="14" t="n">
        <x:v>15.156666666666665</x:v>
      </x:c>
      <x:c r="H1221" s="14" t="n">
        <x:v>0.04</x:v>
      </x:c>
      <x:c r="I1221" s="14" t="n">
        <x:v>0</x:v>
      </x:c>
      <x:c r="J1221" s="7" t="str">
        <x:v>adopt</x:v>
      </x:c>
      <x:c r="K1221" s="7" t="str">
        <x:v>none</x:v>
      </x:c>
      <x:c r="L1221" s="14" t="n">
        <x:f>IF(G1221&lt;=I1221,0,MAX(0,L1220)+IF(E1221="via",MAX(0,G1221-MAX(F1221,I1221)),0))</x:f>
        <x:v>15.156666666666665</x:v>
      </x:c>
    </x:row>
    <x:row r="1222" ht="42" customHeight="1">
      <x:c r="A1222" s="12" t="str">
        <x:v>DP3-B-R2</x:v>
      </x:c>
      <x:c r="B1222" s="12" t="str">
        <x:v>U11</x:v>
      </x:c>
      <x:c r="C1222" s="12" t="str">
        <x:v>agent_ingress</x:v>
      </x:c>
      <x:c r="D1222" s="12" t="str">
        <x:v>Agent 요청 전송</x:v>
      </x:c>
      <x:c r="E1222" s="12" t="str">
        <x:v>via</x:v>
      </x:c>
      <x:c r="F1222" s="13" t="n">
        <x:v>15.116666666666665</x:v>
      </x:c>
      <x:c r="G1222" s="13" t="n">
        <x:v>15.156666666666665</x:v>
      </x:c>
      <x:c r="H1222" s="13" t="n">
        <x:v>0.04</x:v>
      </x:c>
      <x:c r="I1222" s="13" t="n">
        <x:v>0</x:v>
      </x:c>
      <x:c r="J1222" s="12" t="str">
        <x:v>adopt</x:v>
      </x:c>
      <x:c r="K1222" s="12" t="str">
        <x:v>none</x:v>
      </x:c>
      <x:c r="L1222" s="13" t="n">
        <x:f>IF(G1222&lt;=I1222,0,MAX(0,L1220)+IF(E1222="via",MAX(0,G1222-MAX(F1222,I1222)),0))</x:f>
        <x:v>15.156666666666665</x:v>
      </x:c>
    </x:row>
    <x:row r="1223" ht="42" customHeight="1">
      <x:c r="A1223" s="7" t="str">
        <x:v>DP3-B-R2</x:v>
      </x:c>
      <x:c r="B1223" s="7" t="str">
        <x:v>U11</x:v>
      </x:c>
      <x:c r="C1223" s="7" t="str">
        <x:v>agent_result</x:v>
      </x:c>
      <x:c r="D1223" s="7" t="str">
        <x:v>외부 Agent 업무</x:v>
      </x:c>
      <x:c r="E1223" s="7" t="str">
        <x:v>external</x:v>
      </x:c>
      <x:c r="F1223" s="14" t="n">
        <x:v>15.156666666666665</x:v>
      </x:c>
      <x:c r="G1223" s="14" t="n">
        <x:v>23.156666666666666</x:v>
      </x:c>
      <x:c r="H1223" s="14" t="n">
        <x:v>8</x:v>
      </x:c>
      <x:c r="I1223" s="14" t="n">
        <x:v>0</x:v>
      </x:c>
      <x:c r="J1223" s="7" t="str">
        <x:v>agent_ingress</x:v>
      </x:c>
      <x:c r="K1223" s="7" t="str">
        <x:v>none</x:v>
      </x:c>
      <x:c r="L1223" s="14" t="n">
        <x:f>IF(G1223&lt;=I1223,0,MAX(0,L1222)+IF(E1223="via",MAX(0,G1223-MAX(F1223,I1223)),0))</x:f>
        <x:v>15.156666666666665</x:v>
      </x:c>
    </x:row>
    <x:row r="1224" ht="42" customHeight="1">
      <x:c r="A1224" s="12" t="str">
        <x:v>DP3-B-R2</x:v>
      </x:c>
      <x:c r="B1224" s="12" t="str">
        <x:v>U11</x:v>
      </x:c>
      <x:c r="C1224" s="12" t="str">
        <x:v>result_display</x:v>
      </x:c>
      <x:c r="D1224" s="12" t="str">
        <x:v>최종 결과 상세 표시</x:v>
      </x:c>
      <x:c r="E1224" s="12" t="str">
        <x:v>via</x:v>
      </x:c>
      <x:c r="F1224" s="13" t="n">
        <x:v>23.156666666666666</x:v>
      </x:c>
      <x:c r="G1224" s="13" t="n">
        <x:v>23.196666666666665</x:v>
      </x:c>
      <x:c r="H1224" s="13" t="n">
        <x:v>0.04</x:v>
      </x:c>
      <x:c r="I1224" s="13" t="n">
        <x:v>0</x:v>
      </x:c>
      <x:c r="J1224" s="12" t="str">
        <x:v>agent_result</x:v>
      </x:c>
      <x:c r="K1224" s="12" t="str">
        <x:v>none</x:v>
      </x:c>
      <x:c r="L1224" s="13" t="n">
        <x:f>IF(G1224&lt;=I1224,0,MAX(0,L1223)+IF(E1224="via",MAX(0,G1224-MAX(F1224,I1224)),0))</x:f>
        <x:v>15.196666666666664</x:v>
      </x:c>
    </x:row>
    <x:row r="1225" ht="42" customHeight="1">
      <x:c r="A1225" s="7" t="str">
        <x:v>DP3-B-R2</x:v>
      </x:c>
      <x:c r="B1225" s="7" t="str">
        <x:v>U11</x:v>
      </x:c>
      <x:c r="C1225" s="7" t="str">
        <x:v>response_audio</x:v>
      </x:c>
      <x:c r="D1225" s="7" t="str">
        <x:v>선택한 응답 음성 생성</x:v>
      </x:c>
      <x:c r="E1225" s="7" t="str">
        <x:v>via</x:v>
      </x:c>
      <x:c r="F1225" s="14" t="n">
        <x:v>23.156666666666666</x:v>
      </x:c>
      <x:c r="G1225" s="14" t="n">
        <x:v>25.044666666666664</x:v>
      </x:c>
      <x:c r="H1225" s="14" t="n">
        <x:v>1.888</x:v>
      </x:c>
      <x:c r="I1225" s="14" t="n">
        <x:v>0</x:v>
      </x:c>
      <x:c r="J1225" s="7" t="str">
        <x:v>agent_result</x:v>
      </x:c>
      <x:c r="K1225" s="7" t="str">
        <x:v>speech</x:v>
      </x:c>
      <x:c r="L1225" s="14" t="n">
        <x:f>IF(G1225&lt;=I1225,0,MAX(0,L1223)+IF(E1225="via",MAX(0,G1225-MAX(F1225,I1225)),0))</x:f>
        <x:v>17.044666666666664</x:v>
      </x:c>
    </x:row>
    <x:row r="1226" ht="42" customHeight="1">
      <x:c r="A1226" s="12" t="str">
        <x:v>DP3-B-R2</x:v>
      </x:c>
      <x:c r="B1226" s="12" t="str">
        <x:v>U11</x:v>
      </x:c>
      <x:c r="C1226" s="12" t="str">
        <x:v>intent_audio</x:v>
      </x:c>
      <x:c r="D1226" s="12" t="str">
        <x:v>채택한 구체적 수행 의도의 짧은 음성</x:v>
      </x:c>
      <x:c r="E1226" s="12" t="str">
        <x:v>via</x:v>
      </x:c>
      <x:c r="F1226" s="13" t="n">
        <x:v>15.116666666666665</x:v>
      </x:c>
      <x:c r="G1226" s="13" t="n">
        <x:v>16.250666666666664</x:v>
      </x:c>
      <x:c r="H1226" s="13" t="n">
        <x:v>1.134</x:v>
      </x:c>
      <x:c r="I1226" s="13" t="n">
        <x:v>0</x:v>
      </x:c>
      <x:c r="J1226" s="12" t="str">
        <x:v>adopt</x:v>
      </x:c>
      <x:c r="K1226" s="12" t="str">
        <x:v>speech</x:v>
      </x:c>
      <x:c r="L1226" s="13" t="n">
        <x:f>IF(G1226&lt;=I1226,0,MAX(0,L1220)+IF(E1226="via",MAX(0,G1226-MAX(F1226,I1226)),0))</x:f>
        <x:v>16.250666666666664</x:v>
      </x:c>
    </x:row>
    <x:row r="1227" ht="42" customHeight="1">
      <x:c r="A1227" s="7" t="str">
        <x:v>DP3-B-R2</x:v>
      </x:c>
      <x:c r="B1227" s="7" t="str">
        <x:v>U11</x:v>
      </x:c>
      <x:c r="C1227" s="7" t="str">
        <x:v>first_chunk</x:v>
      </x:c>
      <x:c r="D1227" s="7" t="str">
        <x:v>같은 생성 job의 유효 첫 chunk 관측</x:v>
      </x:c>
      <x:c r="E1227" s="7" t="str">
        <x:v>via</x:v>
      </x:c>
      <x:c r="F1227" s="14" t="n">
        <x:v>15.116666666666665</x:v>
      </x:c>
      <x:c r="G1227" s="14" t="n">
        <x:v>15.550666666666665</x:v>
      </x:c>
      <x:c r="H1227" s="14" t="n">
        <x:v>0.434</x:v>
      </x:c>
      <x:c r="I1227" s="14" t="n">
        <x:v>0</x:v>
      </x:c>
      <x:c r="J1227" s="7" t="str">
        <x:v>adopt</x:v>
      </x:c>
      <x:c r="K1227" s="7" t="str">
        <x:v>none</x:v>
      </x:c>
      <x:c r="L1227" s="14" t="n">
        <x:f>IF(G1227&lt;=I1227,0,MAX(0,L1220)+IF(E1227="via",MAX(0,G1227-MAX(F1227,I1227)),0))</x:f>
        <x:v>15.550666666666665</x:v>
      </x:c>
    </x:row>
    <x:row r="1228" ht="42" customHeight="1">
      <x:c r="A1228" s="12" t="str">
        <x:v>DP3-B-R2</x:v>
      </x:c>
      <x:c r="B1228" s="12" t="str">
        <x:v>U11</x:v>
      </x:c>
      <x:c r="C1228" s="12" t="str">
        <x:v>first_audio_output</x:v>
      </x:c>
      <x:c r="D1228" s="12" t="str">
        <x:v>공통 장치의 첫 음성 출력</x:v>
      </x:c>
      <x:c r="E1228" s="12" t="str">
        <x:v>via</x:v>
      </x:c>
      <x:c r="F1228" s="13" t="n">
        <x:v>15.550666666666665</x:v>
      </x:c>
      <x:c r="G1228" s="13" t="n">
        <x:v>15.590666666666664</x:v>
      </x:c>
      <x:c r="H1228" s="13" t="n">
        <x:v>0.04</x:v>
      </x:c>
      <x:c r="I1228" s="13" t="n">
        <x:v>0</x:v>
      </x:c>
      <x:c r="J1228" s="12" t="str">
        <x:v>adopt, first_chunk</x:v>
      </x:c>
      <x:c r="K1228" s="12" t="str">
        <x:v>none</x:v>
      </x:c>
      <x:c r="L1228" s="13" t="n">
        <x:f>IF(G1228&lt;=I1228,0,MAX(0,L1220,L1227)+IF(E1228="via",MAX(0,G1228-MAX(F1228,I1228)),0))</x:f>
        <x:v>15.590666666666664</x:v>
      </x:c>
    </x:row>
    <x:row r="1229" ht="42" customHeight="1">
      <x:c r="A1229" s="7" t="str">
        <x:v>DP3-B-R2</x:v>
      </x:c>
      <x:c r="B1229" s="7" t="str">
        <x:v>U11</x:v>
      </x:c>
      <x:c r="C1229" s="7" t="str">
        <x:v>next_speech_selection</x:v>
      </x:c>
      <x:c r="D1229" s="7" t="str">
        <x:v>현재 발화 재생 후 다음 응답 선택</x:v>
      </x:c>
      <x:c r="E1229" s="7" t="str">
        <x:v>external</x:v>
      </x:c>
      <x:c r="F1229" s="14" t="n">
        <x:v>15.590666666666664</x:v>
      </x:c>
      <x:c r="G1229" s="14" t="n">
        <x:v>18.590666666666664</x:v>
      </x:c>
      <x:c r="H1229" s="14" t="n">
        <x:v>3</x:v>
      </x:c>
      <x:c r="I1229" s="14" t="n">
        <x:v>0</x:v>
      </x:c>
      <x:c r="J1229" s="7" t="str">
        <x:v>first_audio_output</x:v>
      </x:c>
      <x:c r="K1229" s="7" t="str">
        <x:v>none</x:v>
      </x:c>
      <x:c r="L1229" s="14" t="n">
        <x:f>IF(G1229&lt;=I1229,0,MAX(0,L1228)+IF(E1229="via",MAX(0,G1229-MAX(F1229,I1229)),0))</x:f>
        <x:v>15.590666666666664</x:v>
      </x:c>
    </x:row>
    <x:row r="1230" ht="42" customHeight="1">
      <x:c r="A1230" s="12" t="str">
        <x:v>DP3-B-R2</x:v>
      </x:c>
      <x:c r="B1230" s="12" t="str">
        <x:v>U11</x:v>
      </x:c>
      <x:c r="C1230" s="12" t="str">
        <x:v>terminal</x:v>
      </x:c>
      <x:c r="D1230" s="12" t="str">
        <x:v>공통 목표 최종 상태와 전체 음성 준비</x:v>
      </x:c>
      <x:c r="E1230" s="12" t="str">
        <x:v>via</x:v>
      </x:c>
      <x:c r="F1230" s="13" t="n">
        <x:v>25.044666666666664</x:v>
      </x:c>
      <x:c r="G1230" s="13" t="n">
        <x:v>25.044666666666664</x:v>
      </x:c>
      <x:c r="H1230" s="13" t="n">
        <x:v>0</x:v>
      </x:c>
      <x:c r="I1230" s="13" t="n">
        <x:v>0</x:v>
      </x:c>
      <x:c r="J1230" s="12" t="str">
        <x:v>result_display, response_audio, intent_audio, first_audio_output</x:v>
      </x:c>
      <x:c r="K1230" s="12" t="str">
        <x:v>none</x:v>
      </x:c>
      <x:c r="L1230" s="13" t="n">
        <x:f>IF(G1230&lt;=I1230,0,MAX(0,L1224,L1225,L1226,L1228)+IF(E1230="via",MAX(0,G1230-MAX(F1230,I1230)),0))</x:f>
        <x:v>17.044666666666664</x:v>
      </x:c>
    </x:row>
    <x:row r="1231" ht="42" customHeight="1">
      <x:c r="A1231" s="7" t="str">
        <x:v>DP3-B-R2</x:v>
      </x:c>
      <x:c r="B1231" s="7" t="str">
        <x:v>U12</x:v>
      </x:c>
      <x:c r="C1231" s="7" t="str">
        <x:v>input_end</x:v>
      </x:c>
      <x:c r="D1231" s="7" t="str">
        <x:v>사용자 입력 종료</x:v>
      </x:c>
      <x:c r="E1231" s="7" t="str">
        <x:v>external</x:v>
      </x:c>
      <x:c r="F1231" s="14" t="n">
        <x:v>0</x:v>
      </x:c>
      <x:c r="G1231" s="14" t="n">
        <x:v>0</x:v>
      </x:c>
      <x:c r="H1231" s="14" t="n">
        <x:v>0</x:v>
      </x:c>
      <x:c r="I1231" s="14" t="n">
        <x:v>0</x:v>
      </x:c>
      <x:c r="J1231" s="7" t="str"/>
      <x:c r="K1231" s="7" t="str">
        <x:v>none</x:v>
      </x:c>
      <x:c r="L1231" s="14" t="n">
        <x:f>IF(G1231&lt;=I1231,0,MAX(0)+IF(E1231="via",MAX(0,G1231-MAX(F1231,I1231)),0))</x:f>
        <x:v>0</x:v>
      </x:c>
    </x:row>
    <x:row r="1232" ht="42" customHeight="1">
      <x:c r="A1232" s="12" t="str">
        <x:v>DP3-B-R2</x:v>
      </x:c>
      <x:c r="B1232" s="12" t="str">
        <x:v>U12</x:v>
      </x:c>
      <x:c r="C1232" s="12" t="str">
        <x:v>intake</x:v>
      </x:c>
      <x:c r="D1232" s="12" t="str">
        <x:v>입력 확정</x:v>
      </x:c>
      <x:c r="E1232" s="12" t="str">
        <x:v>via</x:v>
      </x:c>
      <x:c r="F1232" s="13" t="n">
        <x:v>0</x:v>
      </x:c>
      <x:c r="G1232" s="13" t="n">
        <x:v>0.3</x:v>
      </x:c>
      <x:c r="H1232" s="13" t="n">
        <x:v>0.3</x:v>
      </x:c>
      <x:c r="I1232" s="13" t="n">
        <x:v>0</x:v>
      </x:c>
      <x:c r="J1232" s="12" t="str">
        <x:v>input_end</x:v>
      </x:c>
      <x:c r="K1232" s="12" t="str">
        <x:v>none</x:v>
      </x:c>
      <x:c r="L1232" s="13" t="n">
        <x:f>IF(G1232&lt;=I1232,0,MAX(0,L1231)+IF(E1232="via",MAX(0,G1232-MAX(F1232,I1232)),0))</x:f>
        <x:v>0.3</x:v>
      </x:c>
    </x:row>
    <x:row r="1233" ht="42" customHeight="1">
      <x:c r="A1233" s="7" t="str">
        <x:v>DP3-B-R2</x:v>
      </x:c>
      <x:c r="B1233" s="7" t="str">
        <x:v>U12</x:v>
      </x:c>
      <x:c r="C1233" s="7" t="str">
        <x:v>read</x:v>
      </x:c>
      <x:c r="D1233" s="7" t="str">
        <x:v>공통 허용 원본 조회</x:v>
      </x:c>
      <x:c r="E1233" s="7" t="str">
        <x:v>via</x:v>
      </x:c>
      <x:c r="F1233" s="14" t="n">
        <x:v>0.3</x:v>
      </x:c>
      <x:c r="G1233" s="14" t="n">
        <x:v>0.38</x:v>
      </x:c>
      <x:c r="H1233" s="14" t="n">
        <x:v>0.08</x:v>
      </x:c>
      <x:c r="I1233" s="14" t="n">
        <x:v>0</x:v>
      </x:c>
      <x:c r="J1233" s="7" t="str">
        <x:v>intake</x:v>
      </x:c>
      <x:c r="K1233" s="7" t="str">
        <x:v>none</x:v>
      </x:c>
      <x:c r="L1233" s="14" t="n">
        <x:f>IF(G1233&lt;=I1233,0,MAX(0,L1232)+IF(E1233="via",MAX(0,G1233-MAX(F1233,I1233)),0))</x:f>
        <x:v>0.38</x:v>
      </x:c>
    </x:row>
    <x:row r="1234" ht="42" customHeight="1">
      <x:c r="A1234" s="12" t="str">
        <x:v>DP3-B-R2</x:v>
      </x:c>
      <x:c r="B1234" s="12" t="str">
        <x:v>U12</x:v>
      </x:c>
      <x:c r="C1234" s="12" t="str">
        <x:v>pre_ui_boot</x:v>
      </x:c>
      <x:c r="D1234" s="12" t="str">
        <x:v>ui runtime 시작</x:v>
      </x:c>
      <x:c r="E1234" s="12" t="str">
        <x:v>via</x:v>
      </x:c>
      <x:c r="F1234" s="13" t="n">
        <x:v>-12</x:v>
      </x:c>
      <x:c r="G1234" s="13" t="n">
        <x:v>-10.8</x:v>
      </x:c>
      <x:c r="H1234" s="13" t="n">
        <x:v>1.2</x:v>
      </x:c>
      <x:c r="I1234" s="13" t="n">
        <x:v>0</x:v>
      </x:c>
      <x:c r="J1234" s="12" t="str"/>
      <x:c r="K1234" s="12" t="str">
        <x:v>visual</x:v>
      </x:c>
      <x:c r="L1234" s="13" t="n">
        <x:f>IF(G1234&lt;=I1234,0,MAX(0)+IF(E1234="via",MAX(0,G1234-MAX(F1234,I1234)),0))</x:f>
        <x:v>0</x:v>
      </x:c>
    </x:row>
    <x:row r="1235" ht="42" customHeight="1">
      <x:c r="A1235" s="7" t="str">
        <x:v>DP3-B-R2</x:v>
      </x:c>
      <x:c r="B1235" s="7" t="str">
        <x:v>U12</x:v>
      </x:c>
      <x:c r="C1235" s="7" t="str">
        <x:v>pre_ui_load</x:v>
      </x:c>
      <x:c r="D1235" s="7" t="str">
        <x:v>ui 모델 적재</x:v>
      </x:c>
      <x:c r="E1235" s="7" t="str">
        <x:v>via</x:v>
      </x:c>
      <x:c r="F1235" s="14" t="n">
        <x:v>-10.8</x:v>
      </x:c>
      <x:c r="G1235" s="14" t="n">
        <x:v>-9.700000000000001</x:v>
      </x:c>
      <x:c r="H1235" s="14" t="n">
        <x:v>1.1</x:v>
      </x:c>
      <x:c r="I1235" s="14" t="n">
        <x:v>0</x:v>
      </x:c>
      <x:c r="J1235" s="7" t="str">
        <x:v>pre_ui_boot</x:v>
      </x:c>
      <x:c r="K1235" s="7" t="str">
        <x:v>visual</x:v>
      </x:c>
      <x:c r="L1235" s="14" t="n">
        <x:f>IF(G1235&lt;=I1235,0,MAX(0,L1234)+IF(E1235="via",MAX(0,G1235-MAX(F1235,I1235)),0))</x:f>
        <x:v>0</x:v>
      </x:c>
    </x:row>
    <x:row r="1236" ht="42" customHeight="1">
      <x:c r="A1236" s="12" t="str">
        <x:v>DP3-B-R2</x:v>
      </x:c>
      <x:c r="B1236" s="12" t="str">
        <x:v>U12</x:v>
      </x:c>
      <x:c r="C1236" s="12" t="str">
        <x:v>pre_ui_infer</x:v>
      </x:c>
      <x:c r="D1236" s="12" t="str">
        <x:v>ui 후보 생산</x:v>
      </x:c>
      <x:c r="E1236" s="12" t="str">
        <x:v>via</x:v>
      </x:c>
      <x:c r="F1236" s="13" t="n">
        <x:v>-9.700000000000001</x:v>
      </x:c>
      <x:c r="G1236" s="13" t="n">
        <x:v>-8.100000000000001</x:v>
      </x:c>
      <x:c r="H1236" s="13" t="n">
        <x:v>1.6</x:v>
      </x:c>
      <x:c r="I1236" s="13" t="n">
        <x:v>0</x:v>
      </x:c>
      <x:c r="J1236" s="12" t="str">
        <x:v>pre_ui_load</x:v>
      </x:c>
      <x:c r="K1236" s="12" t="str">
        <x:v>visual</x:v>
      </x:c>
      <x:c r="L1236" s="13" t="n">
        <x:f>IF(G1236&lt;=I1236,0,MAX(0,L1235)+IF(E1236="via",MAX(0,G1236-MAX(F1236,I1236)),0))</x:f>
        <x:v>0</x:v>
      </x:c>
    </x:row>
    <x:row r="1237" ht="42" customHeight="1">
      <x:c r="A1237" s="7" t="str">
        <x:v>DP3-B-R2</x:v>
      </x:c>
      <x:c r="B1237" s="7" t="str">
        <x:v>U12</x:v>
      </x:c>
      <x:c r="C1237" s="7" t="str">
        <x:v>pre_adopt</x:v>
      </x:c>
      <x:c r="D1237" s="7" t="str">
        <x:v>선행 후보의 요청 의미 확정</x:v>
      </x:c>
      <x:c r="E1237" s="7" t="str">
        <x:v>via</x:v>
      </x:c>
      <x:c r="F1237" s="14" t="n">
        <x:v>-8.100000000000001</x:v>
      </x:c>
      <x:c r="G1237" s="14" t="n">
        <x:v>-6.913333333333335</x:v>
      </x:c>
      <x:c r="H1237" s="14" t="n">
        <x:v>1.1866666666666668</x:v>
      </x:c>
      <x:c r="I1237" s="14" t="n">
        <x:v>0</x:v>
      </x:c>
      <x:c r="J1237" s="7" t="str">
        <x:v>pre_ui_infer</x:v>
      </x:c>
      <x:c r="K1237" s="7" t="str">
        <x:v>semantic</x:v>
      </x:c>
      <x:c r="L1237" s="14" t="n">
        <x:f>IF(G1237&lt;=I1237,0,MAX(0,L1236)+IF(E1237="via",MAX(0,G1237-MAX(F1237,I1237)),0))</x:f>
        <x:v>0</x:v>
      </x:c>
    </x:row>
    <x:row r="1238" ht="42" customHeight="1">
      <x:c r="A1238" s="12" t="str">
        <x:v>DP3-B-R2</x:v>
      </x:c>
      <x:c r="B1238" s="12" t="str">
        <x:v>U12</x:v>
      </x:c>
      <x:c r="C1238" s="12" t="str">
        <x:v>reuse_screen</x:v>
      </x:c>
      <x:c r="D1238" s="12" t="str">
        <x:v>이미 확정한 화면 대상 재사용</x:v>
      </x:c>
      <x:c r="E1238" s="12" t="str">
        <x:v>via</x:v>
      </x:c>
      <x:c r="F1238" s="13" t="n">
        <x:v>0.38</x:v>
      </x:c>
      <x:c r="G1238" s="13" t="n">
        <x:v>0.46</x:v>
      </x:c>
      <x:c r="H1238" s="13" t="n">
        <x:v>0.08</x:v>
      </x:c>
      <x:c r="I1238" s="13" t="n">
        <x:v>0</x:v>
      </x:c>
      <x:c r="J1238" s="12" t="str">
        <x:v>read, pre_adopt</x:v>
      </x:c>
      <x:c r="K1238" s="12" t="str">
        <x:v>none</x:v>
      </x:c>
      <x:c r="L1238" s="13" t="n">
        <x:f>IF(G1238&lt;=I1238,0,MAX(0,L1233,L1237)+IF(E1238="via",MAX(0,G1238-MAX(F1238,I1238)),0))</x:f>
        <x:v>0.46</x:v>
      </x:c>
    </x:row>
    <x:row r="1239" ht="42" customHeight="1">
      <x:c r="A1239" s="7" t="str">
        <x:v>DP3-B-R2</x:v>
      </x:c>
      <x:c r="B1239" s="7" t="str">
        <x:v>U12</x:v>
      </x:c>
      <x:c r="C1239" s="7" t="str">
        <x:v>meaning</x:v>
      </x:c>
      <x:c r="D1239" s="7" t="str">
        <x:v>최초 요청 의미 채택 packet 생성</x:v>
      </x:c>
      <x:c r="E1239" s="7" t="str">
        <x:v>via</x:v>
      </x:c>
      <x:c r="F1239" s="14" t="n">
        <x:v>0.46</x:v>
      </x:c>
      <x:c r="G1239" s="14" t="n">
        <x:v>1.56</x:v>
      </x:c>
      <x:c r="H1239" s="14" t="n">
        <x:v>1.1</x:v>
      </x:c>
      <x:c r="I1239" s="14" t="n">
        <x:v>0</x:v>
      </x:c>
      <x:c r="J1239" s="7" t="str">
        <x:v>reuse_screen</x:v>
      </x:c>
      <x:c r="K1239" s="7" t="str">
        <x:v>semantic</x:v>
      </x:c>
      <x:c r="L1239" s="14" t="n">
        <x:f>IF(G1239&lt;=I1239,0,MAX(0,L1238)+IF(E1239="via",MAX(0,G1239-MAX(F1239,I1239)),0))</x:f>
        <x:v>1.56</x:v>
      </x:c>
    </x:row>
    <x:row r="1240" ht="42" customHeight="1">
      <x:c r="A1240" s="12" t="str">
        <x:v>DP3-B-R2</x:v>
      </x:c>
      <x:c r="B1240" s="12" t="str">
        <x:v>U12</x:v>
      </x:c>
      <x:c r="C1240" s="12" t="str">
        <x:v>adopt</x:v>
      </x:c>
      <x:c r="D1240" s="12" t="str">
        <x:v>현재 revision과 권한 검사 및 채택</x:v>
      </x:c>
      <x:c r="E1240" s="12" t="str">
        <x:v>via</x:v>
      </x:c>
      <x:c r="F1240" s="13" t="n">
        <x:v>1.56</x:v>
      </x:c>
      <x:c r="G1240" s="13" t="n">
        <x:v>1.59</x:v>
      </x:c>
      <x:c r="H1240" s="13" t="n">
        <x:v>0.03</x:v>
      </x:c>
      <x:c r="I1240" s="13" t="n">
        <x:v>0</x:v>
      </x:c>
      <x:c r="J1240" s="12" t="str">
        <x:v>meaning</x:v>
      </x:c>
      <x:c r="K1240" s="12" t="str">
        <x:v>none</x:v>
      </x:c>
      <x:c r="L1240" s="13" t="n">
        <x:f>IF(G1240&lt;=I1240,0,MAX(0,L1239)+IF(E1240="via",MAX(0,G1240-MAX(F1240,I1240)),0))</x:f>
        <x:v>1.59</x:v>
      </x:c>
    </x:row>
    <x:row r="1241" ht="42" customHeight="1">
      <x:c r="A1241" s="7" t="str">
        <x:v>DP3-B-R2</x:v>
      </x:c>
      <x:c r="B1241" s="7" t="str">
        <x:v>U12</x:v>
      </x:c>
      <x:c r="C1241" s="7" t="str">
        <x:v>first_display</x:v>
      </x:c>
      <x:c r="D1241" s="7" t="str">
        <x:v>첫 구체적 채택 내용 화면 표시</x:v>
      </x:c>
      <x:c r="E1241" s="7" t="str">
        <x:v>via</x:v>
      </x:c>
      <x:c r="F1241" s="14" t="n">
        <x:v>1.59</x:v>
      </x:c>
      <x:c r="G1241" s="14" t="n">
        <x:v>1.6300000000000001</x:v>
      </x:c>
      <x:c r="H1241" s="14" t="n">
        <x:v>0.04</x:v>
      </x:c>
      <x:c r="I1241" s="14" t="n">
        <x:v>0</x:v>
      </x:c>
      <x:c r="J1241" s="7" t="str">
        <x:v>adopt</x:v>
      </x:c>
      <x:c r="K1241" s="7" t="str">
        <x:v>none</x:v>
      </x:c>
      <x:c r="L1241" s="14" t="n">
        <x:f>IF(G1241&lt;=I1241,0,MAX(0,L1240)+IF(E1241="via",MAX(0,G1241-MAX(F1241,I1241)),0))</x:f>
        <x:v>1.6300000000000001</x:v>
      </x:c>
    </x:row>
    <x:row r="1242" ht="42" customHeight="1">
      <x:c r="A1242" s="12" t="str">
        <x:v>DP3-B-R2</x:v>
      </x:c>
      <x:c r="B1242" s="12" t="str">
        <x:v>U12</x:v>
      </x:c>
      <x:c r="C1242" s="12" t="str">
        <x:v>agent_ingress</x:v>
      </x:c>
      <x:c r="D1242" s="12" t="str">
        <x:v>Agent 요청 전송</x:v>
      </x:c>
      <x:c r="E1242" s="12" t="str">
        <x:v>via</x:v>
      </x:c>
      <x:c r="F1242" s="13" t="n">
        <x:v>1.59</x:v>
      </x:c>
      <x:c r="G1242" s="13" t="n">
        <x:v>1.6300000000000001</x:v>
      </x:c>
      <x:c r="H1242" s="13" t="n">
        <x:v>0.04</x:v>
      </x:c>
      <x:c r="I1242" s="13" t="n">
        <x:v>0</x:v>
      </x:c>
      <x:c r="J1242" s="12" t="str">
        <x:v>adopt</x:v>
      </x:c>
      <x:c r="K1242" s="12" t="str">
        <x:v>none</x:v>
      </x:c>
      <x:c r="L1242" s="13" t="n">
        <x:f>IF(G1242&lt;=I1242,0,MAX(0,L1240)+IF(E1242="via",MAX(0,G1242-MAX(F1242,I1242)),0))</x:f>
        <x:v>1.6300000000000001</x:v>
      </x:c>
    </x:row>
    <x:row r="1243" ht="42" customHeight="1">
      <x:c r="A1243" s="7" t="str">
        <x:v>DP3-B-R2</x:v>
      </x:c>
      <x:c r="B1243" s="7" t="str">
        <x:v>U12</x:v>
      </x:c>
      <x:c r="C1243" s="7" t="str">
        <x:v>agent_result</x:v>
      </x:c>
      <x:c r="D1243" s="7" t="str">
        <x:v>외부 Agent 업무</x:v>
      </x:c>
      <x:c r="E1243" s="7" t="str">
        <x:v>external</x:v>
      </x:c>
      <x:c r="F1243" s="14" t="n">
        <x:v>1.6300000000000001</x:v>
      </x:c>
      <x:c r="G1243" s="14" t="n">
        <x:v>9.63</x:v>
      </x:c>
      <x:c r="H1243" s="14" t="n">
        <x:v>8</x:v>
      </x:c>
      <x:c r="I1243" s="14" t="n">
        <x:v>0</x:v>
      </x:c>
      <x:c r="J1243" s="7" t="str">
        <x:v>agent_ingress</x:v>
      </x:c>
      <x:c r="K1243" s="7" t="str">
        <x:v>none</x:v>
      </x:c>
      <x:c r="L1243" s="14" t="n">
        <x:f>IF(G1243&lt;=I1243,0,MAX(0,L1242)+IF(E1243="via",MAX(0,G1243-MAX(F1243,I1243)),0))</x:f>
        <x:v>1.6300000000000001</x:v>
      </x:c>
    </x:row>
    <x:row r="1244" ht="42" customHeight="1">
      <x:c r="A1244" s="12" t="str">
        <x:v>DP3-B-R2</x:v>
      </x:c>
      <x:c r="B1244" s="12" t="str">
        <x:v>U12</x:v>
      </x:c>
      <x:c r="C1244" s="12" t="str">
        <x:v>result_display</x:v>
      </x:c>
      <x:c r="D1244" s="12" t="str">
        <x:v>최종 결과 상세 표시</x:v>
      </x:c>
      <x:c r="E1244" s="12" t="str">
        <x:v>via</x:v>
      </x:c>
      <x:c r="F1244" s="13" t="n">
        <x:v>9.63</x:v>
      </x:c>
      <x:c r="G1244" s="13" t="n">
        <x:v>9.67</x:v>
      </x:c>
      <x:c r="H1244" s="13" t="n">
        <x:v>0.04</x:v>
      </x:c>
      <x:c r="I1244" s="13" t="n">
        <x:v>0</x:v>
      </x:c>
      <x:c r="J1244" s="12" t="str">
        <x:v>agent_result</x:v>
      </x:c>
      <x:c r="K1244" s="12" t="str">
        <x:v>none</x:v>
      </x:c>
      <x:c r="L1244" s="13" t="n">
        <x:f>IF(G1244&lt;=I1244,0,MAX(0,L1243)+IF(E1244="via",MAX(0,G1244-MAX(F1244,I1244)),0))</x:f>
        <x:v>1.6699999999999993</x:v>
      </x:c>
    </x:row>
    <x:row r="1245" ht="42" customHeight="1">
      <x:c r="A1245" s="7" t="str">
        <x:v>DP3-B-R2</x:v>
      </x:c>
      <x:c r="B1245" s="7" t="str">
        <x:v>U12</x:v>
      </x:c>
      <x:c r="C1245" s="7" t="str">
        <x:v>response_audio</x:v>
      </x:c>
      <x:c r="D1245" s="7" t="str">
        <x:v>선택한 응답 음성 생성</x:v>
      </x:c>
      <x:c r="E1245" s="7" t="str">
        <x:v>via</x:v>
      </x:c>
      <x:c r="F1245" s="14" t="n">
        <x:v>9.63</x:v>
      </x:c>
      <x:c r="G1245" s="14" t="n">
        <x:v>11.518</x:v>
      </x:c>
      <x:c r="H1245" s="14" t="n">
        <x:v>1.888</x:v>
      </x:c>
      <x:c r="I1245" s="14" t="n">
        <x:v>0</x:v>
      </x:c>
      <x:c r="J1245" s="7" t="str">
        <x:v>agent_result</x:v>
      </x:c>
      <x:c r="K1245" s="7" t="str">
        <x:v>speech</x:v>
      </x:c>
      <x:c r="L1245" s="14" t="n">
        <x:f>IF(G1245&lt;=I1245,0,MAX(0,L1243)+IF(E1245="via",MAX(0,G1245-MAX(F1245,I1245)),0))</x:f>
        <x:v>3.518</x:v>
      </x:c>
    </x:row>
    <x:row r="1246" ht="42" customHeight="1">
      <x:c r="A1246" s="12" t="str">
        <x:v>DP3-B-R2</x:v>
      </x:c>
      <x:c r="B1246" s="12" t="str">
        <x:v>U12</x:v>
      </x:c>
      <x:c r="C1246" s="12" t="str">
        <x:v>intent_audio</x:v>
      </x:c>
      <x:c r="D1246" s="12" t="str">
        <x:v>채택한 구체적 수행 의도의 짧은 음성</x:v>
      </x:c>
      <x:c r="E1246" s="12" t="str">
        <x:v>via</x:v>
      </x:c>
      <x:c r="F1246" s="13" t="n">
        <x:v>1.59</x:v>
      </x:c>
      <x:c r="G1246" s="13" t="n">
        <x:v>2.724</x:v>
      </x:c>
      <x:c r="H1246" s="13" t="n">
        <x:v>1.134</x:v>
      </x:c>
      <x:c r="I1246" s="13" t="n">
        <x:v>0</x:v>
      </x:c>
      <x:c r="J1246" s="12" t="str">
        <x:v>adopt</x:v>
      </x:c>
      <x:c r="K1246" s="12" t="str">
        <x:v>speech</x:v>
      </x:c>
      <x:c r="L1246" s="13" t="n">
        <x:f>IF(G1246&lt;=I1246,0,MAX(0,L1240)+IF(E1246="via",MAX(0,G1246-MAX(F1246,I1246)),0))</x:f>
        <x:v>2.724</x:v>
      </x:c>
    </x:row>
    <x:row r="1247" ht="42" customHeight="1">
      <x:c r="A1247" s="7" t="str">
        <x:v>DP3-B-R2</x:v>
      </x:c>
      <x:c r="B1247" s="7" t="str">
        <x:v>U12</x:v>
      </x:c>
      <x:c r="C1247" s="7" t="str">
        <x:v>first_chunk</x:v>
      </x:c>
      <x:c r="D1247" s="7" t="str">
        <x:v>같은 생성 job의 유효 첫 chunk 관측</x:v>
      </x:c>
      <x:c r="E1247" s="7" t="str">
        <x:v>via</x:v>
      </x:c>
      <x:c r="F1247" s="14" t="n">
        <x:v>1.59</x:v>
      </x:c>
      <x:c r="G1247" s="14" t="n">
        <x:v>2.024</x:v>
      </x:c>
      <x:c r="H1247" s="14" t="n">
        <x:v>0.434</x:v>
      </x:c>
      <x:c r="I1247" s="14" t="n">
        <x:v>0</x:v>
      </x:c>
      <x:c r="J1247" s="7" t="str">
        <x:v>adopt</x:v>
      </x:c>
      <x:c r="K1247" s="7" t="str">
        <x:v>none</x:v>
      </x:c>
      <x:c r="L1247" s="14" t="n">
        <x:f>IF(G1247&lt;=I1247,0,MAX(0,L1240)+IF(E1247="via",MAX(0,G1247-MAX(F1247,I1247)),0))</x:f>
        <x:v>2.024</x:v>
      </x:c>
    </x:row>
    <x:row r="1248" ht="42" customHeight="1">
      <x:c r="A1248" s="12" t="str">
        <x:v>DP3-B-R2</x:v>
      </x:c>
      <x:c r="B1248" s="12" t="str">
        <x:v>U12</x:v>
      </x:c>
      <x:c r="C1248" s="12" t="str">
        <x:v>first_audio_output</x:v>
      </x:c>
      <x:c r="D1248" s="12" t="str">
        <x:v>공통 장치의 첫 음성 출력</x:v>
      </x:c>
      <x:c r="E1248" s="12" t="str">
        <x:v>via</x:v>
      </x:c>
      <x:c r="F1248" s="13" t="n">
        <x:v>2.024</x:v>
      </x:c>
      <x:c r="G1248" s="13" t="n">
        <x:v>2.064</x:v>
      </x:c>
      <x:c r="H1248" s="13" t="n">
        <x:v>0.04</x:v>
      </x:c>
      <x:c r="I1248" s="13" t="n">
        <x:v>0</x:v>
      </x:c>
      <x:c r="J1248" s="12" t="str">
        <x:v>adopt, first_chunk</x:v>
      </x:c>
      <x:c r="K1248" s="12" t="str">
        <x:v>none</x:v>
      </x:c>
      <x:c r="L1248" s="13" t="n">
        <x:f>IF(G1248&lt;=I1248,0,MAX(0,L1240,L1247)+IF(E1248="via",MAX(0,G1248-MAX(F1248,I1248)),0))</x:f>
        <x:v>2.064</x:v>
      </x:c>
    </x:row>
    <x:row r="1249" ht="42" customHeight="1">
      <x:c r="A1249" s="7" t="str">
        <x:v>DP3-B-R2</x:v>
      </x:c>
      <x:c r="B1249" s="7" t="str">
        <x:v>U12</x:v>
      </x:c>
      <x:c r="C1249" s="7" t="str">
        <x:v>next_speech_selection</x:v>
      </x:c>
      <x:c r="D1249" s="7" t="str">
        <x:v>현재 발화 재생 후 다음 응답 선택</x:v>
      </x:c>
      <x:c r="E1249" s="7" t="str">
        <x:v>external</x:v>
      </x:c>
      <x:c r="F1249" s="14" t="n">
        <x:v>2.064</x:v>
      </x:c>
      <x:c r="G1249" s="14" t="n">
        <x:v>5.064</x:v>
      </x:c>
      <x:c r="H1249" s="14" t="n">
        <x:v>3</x:v>
      </x:c>
      <x:c r="I1249" s="14" t="n">
        <x:v>0</x:v>
      </x:c>
      <x:c r="J1249" s="7" t="str">
        <x:v>first_audio_output</x:v>
      </x:c>
      <x:c r="K1249" s="7" t="str">
        <x:v>none</x:v>
      </x:c>
      <x:c r="L1249" s="14" t="n">
        <x:f>IF(G1249&lt;=I1249,0,MAX(0,L1248)+IF(E1249="via",MAX(0,G1249-MAX(F1249,I1249)),0))</x:f>
        <x:v>2.064</x:v>
      </x:c>
    </x:row>
    <x:row r="1250" ht="42" customHeight="1">
      <x:c r="A1250" s="12" t="str">
        <x:v>DP3-B-R2</x:v>
      </x:c>
      <x:c r="B1250" s="12" t="str">
        <x:v>U12</x:v>
      </x:c>
      <x:c r="C1250" s="12" t="str">
        <x:v>terminal</x:v>
      </x:c>
      <x:c r="D1250" s="12" t="str">
        <x:v>공통 목표 최종 상태와 전체 음성 준비</x:v>
      </x:c>
      <x:c r="E1250" s="12" t="str">
        <x:v>via</x:v>
      </x:c>
      <x:c r="F1250" s="13" t="n">
        <x:v>11.518</x:v>
      </x:c>
      <x:c r="G1250" s="13" t="n">
        <x:v>11.518</x:v>
      </x:c>
      <x:c r="H1250" s="13" t="n">
        <x:v>0</x:v>
      </x:c>
      <x:c r="I1250" s="13" t="n">
        <x:v>0</x:v>
      </x:c>
      <x:c r="J1250" s="12" t="str">
        <x:v>result_display, response_audio, intent_audio, first_audio_output</x:v>
      </x:c>
      <x:c r="K1250" s="12" t="str">
        <x:v>none</x:v>
      </x:c>
      <x:c r="L1250" s="13" t="n">
        <x:f>IF(G1250&lt;=I1250,0,MAX(0,L1244,L1245,L1246,L1248)+IF(E1250="via",MAX(0,G1250-MAX(F1250,I1250)),0))</x:f>
        <x:v>3.518</x:v>
      </x:c>
    </x:row>
    <x:row r="1251" ht="42" customHeight="1">
      <x:c r="A1251" s="7" t="str">
        <x:v>DP3-B-R2</x:v>
      </x:c>
      <x:c r="B1251" s="7" t="str">
        <x:v>U13</x:v>
      </x:c>
      <x:c r="C1251" s="7" t="str">
        <x:v>input_end</x:v>
      </x:c>
      <x:c r="D1251" s="7" t="str">
        <x:v>사용자 입력 종료</x:v>
      </x:c>
      <x:c r="E1251" s="7" t="str">
        <x:v>external</x:v>
      </x:c>
      <x:c r="F1251" s="14" t="n">
        <x:v>0</x:v>
      </x:c>
      <x:c r="G1251" s="14" t="n">
        <x:v>0</x:v>
      </x:c>
      <x:c r="H1251" s="14" t="n">
        <x:v>0</x:v>
      </x:c>
      <x:c r="I1251" s="14" t="n">
        <x:v>0</x:v>
      </x:c>
      <x:c r="J1251" s="7" t="str"/>
      <x:c r="K1251" s="7" t="str">
        <x:v>none</x:v>
      </x:c>
      <x:c r="L1251" s="14" t="n">
        <x:f>IF(G1251&lt;=I1251,0,MAX(0)+IF(E1251="via",MAX(0,G1251-MAX(F1251,I1251)),0))</x:f>
        <x:v>0</x:v>
      </x:c>
    </x:row>
    <x:row r="1252" ht="42" customHeight="1">
      <x:c r="A1252" s="12" t="str">
        <x:v>DP3-B-R2</x:v>
      </x:c>
      <x:c r="B1252" s="12" t="str">
        <x:v>U13</x:v>
      </x:c>
      <x:c r="C1252" s="12" t="str">
        <x:v>intake</x:v>
      </x:c>
      <x:c r="D1252" s="12" t="str">
        <x:v>입력 확정</x:v>
      </x:c>
      <x:c r="E1252" s="12" t="str">
        <x:v>via</x:v>
      </x:c>
      <x:c r="F1252" s="13" t="n">
        <x:v>0</x:v>
      </x:c>
      <x:c r="G1252" s="13" t="n">
        <x:v>0.06</x:v>
      </x:c>
      <x:c r="H1252" s="13" t="n">
        <x:v>0.06</x:v>
      </x:c>
      <x:c r="I1252" s="13" t="n">
        <x:v>0</x:v>
      </x:c>
      <x:c r="J1252" s="12" t="str">
        <x:v>input_end</x:v>
      </x:c>
      <x:c r="K1252" s="12" t="str">
        <x:v>none</x:v>
      </x:c>
      <x:c r="L1252" s="13" t="n">
        <x:f>IF(G1252&lt;=I1252,0,MAX(0,L1251)+IF(E1252="via",MAX(0,G1252-MAX(F1252,I1252)),0))</x:f>
        <x:v>0.06</x:v>
      </x:c>
    </x:row>
    <x:row r="1253" ht="42" customHeight="1">
      <x:c r="A1253" s="7" t="str">
        <x:v>DP3-B-R2</x:v>
      </x:c>
      <x:c r="B1253" s="7" t="str">
        <x:v>U13</x:v>
      </x:c>
      <x:c r="C1253" s="7" t="str">
        <x:v>read</x:v>
      </x:c>
      <x:c r="D1253" s="7" t="str">
        <x:v>공통 허용 원본 조회</x:v>
      </x:c>
      <x:c r="E1253" s="7" t="str">
        <x:v>via</x:v>
      </x:c>
      <x:c r="F1253" s="14" t="n">
        <x:v>0.06</x:v>
      </x:c>
      <x:c r="G1253" s="14" t="n">
        <x:v>0.14</x:v>
      </x:c>
      <x:c r="H1253" s="14" t="n">
        <x:v>0.08</x:v>
      </x:c>
      <x:c r="I1253" s="14" t="n">
        <x:v>0</x:v>
      </x:c>
      <x:c r="J1253" s="7" t="str">
        <x:v>intake</x:v>
      </x:c>
      <x:c r="K1253" s="7" t="str">
        <x:v>none</x:v>
      </x:c>
      <x:c r="L1253" s="14" t="n">
        <x:f>IF(G1253&lt;=I1253,0,MAX(0,L1252)+IF(E1253="via",MAX(0,G1253-MAX(F1253,I1253)),0))</x:f>
        <x:v>0.14</x:v>
      </x:c>
    </x:row>
    <x:row r="1254" ht="42" customHeight="1">
      <x:c r="A1254" s="12" t="str">
        <x:v>DP3-B-R2</x:v>
      </x:c>
      <x:c r="B1254" s="12" t="str">
        <x:v>U13</x:v>
      </x:c>
      <x:c r="C1254" s="12" t="str">
        <x:v>meaning</x:v>
      </x:c>
      <x:c r="D1254" s="12" t="str">
        <x:v>최초 요청 의미 채택 packet 생성</x:v>
      </x:c>
      <x:c r="E1254" s="12" t="str">
        <x:v>via</x:v>
      </x:c>
      <x:c r="F1254" s="13" t="n">
        <x:v>0.14</x:v>
      </x:c>
      <x:c r="G1254" s="13" t="n">
        <x:v>1.2400000000000002</x:v>
      </x:c>
      <x:c r="H1254" s="13" t="n">
        <x:v>1.1</x:v>
      </x:c>
      <x:c r="I1254" s="13" t="n">
        <x:v>0</x:v>
      </x:c>
      <x:c r="J1254" s="12" t="str">
        <x:v>read</x:v>
      </x:c>
      <x:c r="K1254" s="12" t="str">
        <x:v>semantic</x:v>
      </x:c>
      <x:c r="L1254" s="13" t="n">
        <x:f>IF(G1254&lt;=I1254,0,MAX(0,L1253)+IF(E1254="via",MAX(0,G1254-MAX(F1254,I1254)),0))</x:f>
        <x:v>1.2400000000000002</x:v>
      </x:c>
    </x:row>
    <x:row r="1255" ht="42" customHeight="1">
      <x:c r="A1255" s="7" t="str">
        <x:v>DP3-B-R2</x:v>
      </x:c>
      <x:c r="B1255" s="7" t="str">
        <x:v>U13</x:v>
      </x:c>
      <x:c r="C1255" s="7" t="str">
        <x:v>adopt</x:v>
      </x:c>
      <x:c r="D1255" s="7" t="str">
        <x:v>현재 revision과 권한 검사 및 채택</x:v>
      </x:c>
      <x:c r="E1255" s="7" t="str">
        <x:v>via</x:v>
      </x:c>
      <x:c r="F1255" s="14" t="n">
        <x:v>1.2400000000000002</x:v>
      </x:c>
      <x:c r="G1255" s="14" t="n">
        <x:v>1.2700000000000002</x:v>
      </x:c>
      <x:c r="H1255" s="14" t="n">
        <x:v>0.03</x:v>
      </x:c>
      <x:c r="I1255" s="14" t="n">
        <x:v>0</x:v>
      </x:c>
      <x:c r="J1255" s="7" t="str">
        <x:v>meaning</x:v>
      </x:c>
      <x:c r="K1255" s="7" t="str">
        <x:v>none</x:v>
      </x:c>
      <x:c r="L1255" s="14" t="n">
        <x:f>IF(G1255&lt;=I1255,0,MAX(0,L1254)+IF(E1255="via",MAX(0,G1255-MAX(F1255,I1255)),0))</x:f>
        <x:v>1.2700000000000002</x:v>
      </x:c>
    </x:row>
    <x:row r="1256" ht="42" customHeight="1">
      <x:c r="A1256" s="12" t="str">
        <x:v>DP3-B-R2</x:v>
      </x:c>
      <x:c r="B1256" s="12" t="str">
        <x:v>U13</x:v>
      </x:c>
      <x:c r="C1256" s="12" t="str">
        <x:v>first_display</x:v>
      </x:c>
      <x:c r="D1256" s="12" t="str">
        <x:v>첫 구체적 채택 내용 화면 표시</x:v>
      </x:c>
      <x:c r="E1256" s="12" t="str">
        <x:v>via</x:v>
      </x:c>
      <x:c r="F1256" s="13" t="n">
        <x:v>1.2700000000000002</x:v>
      </x:c>
      <x:c r="G1256" s="13" t="n">
        <x:v>1.3100000000000003</x:v>
      </x:c>
      <x:c r="H1256" s="13" t="n">
        <x:v>0.04</x:v>
      </x:c>
      <x:c r="I1256" s="13" t="n">
        <x:v>0</x:v>
      </x:c>
      <x:c r="J1256" s="12" t="str">
        <x:v>adopt</x:v>
      </x:c>
      <x:c r="K1256" s="12" t="str">
        <x:v>none</x:v>
      </x:c>
      <x:c r="L1256" s="13" t="n">
        <x:f>IF(G1256&lt;=I1256,0,MAX(0,L1255)+IF(E1256="via",MAX(0,G1256-MAX(F1256,I1256)),0))</x:f>
        <x:v>1.3100000000000003</x:v>
      </x:c>
    </x:row>
    <x:row r="1257" ht="42" customHeight="1">
      <x:c r="A1257" s="7" t="str">
        <x:v>DP3-B-R2</x:v>
      </x:c>
      <x:c r="B1257" s="7" t="str">
        <x:v>U13</x:v>
      </x:c>
      <x:c r="C1257" s="7" t="str">
        <x:v>agent_ingress</x:v>
      </x:c>
      <x:c r="D1257" s="7" t="str">
        <x:v>Agent 요청 전송</x:v>
      </x:c>
      <x:c r="E1257" s="7" t="str">
        <x:v>via</x:v>
      </x:c>
      <x:c r="F1257" s="14" t="n">
        <x:v>1.2700000000000002</x:v>
      </x:c>
      <x:c r="G1257" s="14" t="n">
        <x:v>1.3100000000000003</x:v>
      </x:c>
      <x:c r="H1257" s="14" t="n">
        <x:v>0.04</x:v>
      </x:c>
      <x:c r="I1257" s="14" t="n">
        <x:v>0</x:v>
      </x:c>
      <x:c r="J1257" s="7" t="str">
        <x:v>adopt</x:v>
      </x:c>
      <x:c r="K1257" s="7" t="str">
        <x:v>none</x:v>
      </x:c>
      <x:c r="L1257" s="14" t="n">
        <x:f>IF(G1257&lt;=I1257,0,MAX(0,L1255)+IF(E1257="via",MAX(0,G1257-MAX(F1257,I1257)),0))</x:f>
        <x:v>1.3100000000000003</x:v>
      </x:c>
    </x:row>
    <x:row r="1258" ht="42" customHeight="1">
      <x:c r="A1258" s="12" t="str">
        <x:v>DP3-B-R2</x:v>
      </x:c>
      <x:c r="B1258" s="12" t="str">
        <x:v>U13</x:v>
      </x:c>
      <x:c r="C1258" s="12" t="str">
        <x:v>agent_result</x:v>
      </x:c>
      <x:c r="D1258" s="12" t="str">
        <x:v>외부 Agent 업무</x:v>
      </x:c>
      <x:c r="E1258" s="12" t="str">
        <x:v>external</x:v>
      </x:c>
      <x:c r="F1258" s="13" t="n">
        <x:v>1.3100000000000003</x:v>
      </x:c>
      <x:c r="G1258" s="13" t="n">
        <x:v>9.31</x:v>
      </x:c>
      <x:c r="H1258" s="13" t="n">
        <x:v>8</x:v>
      </x:c>
      <x:c r="I1258" s="13" t="n">
        <x:v>0</x:v>
      </x:c>
      <x:c r="J1258" s="12" t="str">
        <x:v>agent_ingress</x:v>
      </x:c>
      <x:c r="K1258" s="12" t="str">
        <x:v>none</x:v>
      </x:c>
      <x:c r="L1258" s="13" t="n">
        <x:f>IF(G1258&lt;=I1258,0,MAX(0,L1257)+IF(E1258="via",MAX(0,G1258-MAX(F1258,I1258)),0))</x:f>
        <x:v>1.3100000000000003</x:v>
      </x:c>
    </x:row>
    <x:row r="1259" ht="42" customHeight="1">
      <x:c r="A1259" s="7" t="str">
        <x:v>DP3-B-R2</x:v>
      </x:c>
      <x:c r="B1259" s="7" t="str">
        <x:v>U13</x:v>
      </x:c>
      <x:c r="C1259" s="7" t="str">
        <x:v>result_display</x:v>
      </x:c>
      <x:c r="D1259" s="7" t="str">
        <x:v>최종 결과 상세 표시</x:v>
      </x:c>
      <x:c r="E1259" s="7" t="str">
        <x:v>via</x:v>
      </x:c>
      <x:c r="F1259" s="14" t="n">
        <x:v>9.31</x:v>
      </x:c>
      <x:c r="G1259" s="14" t="n">
        <x:v>9.35</x:v>
      </x:c>
      <x:c r="H1259" s="14" t="n">
        <x:v>0.04</x:v>
      </x:c>
      <x:c r="I1259" s="14" t="n">
        <x:v>0</x:v>
      </x:c>
      <x:c r="J1259" s="7" t="str">
        <x:v>agent_result</x:v>
      </x:c>
      <x:c r="K1259" s="7" t="str">
        <x:v>none</x:v>
      </x:c>
      <x:c r="L1259" s="14" t="n">
        <x:f>IF(G1259&lt;=I1259,0,MAX(0,L1258)+IF(E1259="via",MAX(0,G1259-MAX(F1259,I1259)),0))</x:f>
        <x:v>1.3499999999999994</x:v>
      </x:c>
    </x:row>
    <x:row r="1260" ht="42" customHeight="1">
      <x:c r="A1260" s="12" t="str">
        <x:v>DP3-B-R2</x:v>
      </x:c>
      <x:c r="B1260" s="12" t="str">
        <x:v>U13</x:v>
      </x:c>
      <x:c r="C1260" s="12" t="str">
        <x:v>response_audio</x:v>
      </x:c>
      <x:c r="D1260" s="12" t="str">
        <x:v>선택한 응답 음성 생성</x:v>
      </x:c>
      <x:c r="E1260" s="12" t="str">
        <x:v>via</x:v>
      </x:c>
      <x:c r="F1260" s="13" t="n">
        <x:v>9.31</x:v>
      </x:c>
      <x:c r="G1260" s="13" t="n">
        <x:v>11.198</x:v>
      </x:c>
      <x:c r="H1260" s="13" t="n">
        <x:v>1.888</x:v>
      </x:c>
      <x:c r="I1260" s="13" t="n">
        <x:v>0</x:v>
      </x:c>
      <x:c r="J1260" s="12" t="str">
        <x:v>agent_result</x:v>
      </x:c>
      <x:c r="K1260" s="12" t="str">
        <x:v>speech</x:v>
      </x:c>
      <x:c r="L1260" s="13" t="n">
        <x:f>IF(G1260&lt;=I1260,0,MAX(0,L1258)+IF(E1260="via",MAX(0,G1260-MAX(F1260,I1260)),0))</x:f>
        <x:v>3.1980000000000004</x:v>
      </x:c>
    </x:row>
    <x:row r="1261" ht="42" customHeight="1">
      <x:c r="A1261" s="7" t="str">
        <x:v>DP3-B-R2</x:v>
      </x:c>
      <x:c r="B1261" s="7" t="str">
        <x:v>U13</x:v>
      </x:c>
      <x:c r="C1261" s="7" t="str">
        <x:v>intent_audio</x:v>
      </x:c>
      <x:c r="D1261" s="7" t="str">
        <x:v>채택한 구체적 수행 의도의 짧은 음성</x:v>
      </x:c>
      <x:c r="E1261" s="7" t="str">
        <x:v>via</x:v>
      </x:c>
      <x:c r="F1261" s="14" t="n">
        <x:v>1.2700000000000002</x:v>
      </x:c>
      <x:c r="G1261" s="14" t="n">
        <x:v>2.404</x:v>
      </x:c>
      <x:c r="H1261" s="14" t="n">
        <x:v>1.134</x:v>
      </x:c>
      <x:c r="I1261" s="14" t="n">
        <x:v>0</x:v>
      </x:c>
      <x:c r="J1261" s="7" t="str">
        <x:v>adopt</x:v>
      </x:c>
      <x:c r="K1261" s="7" t="str">
        <x:v>speech</x:v>
      </x:c>
      <x:c r="L1261" s="14" t="n">
        <x:f>IF(G1261&lt;=I1261,0,MAX(0,L1255)+IF(E1261="via",MAX(0,G1261-MAX(F1261,I1261)),0))</x:f>
        <x:v>2.404</x:v>
      </x:c>
    </x:row>
    <x:row r="1262" ht="42" customHeight="1">
      <x:c r="A1262" s="12" t="str">
        <x:v>DP3-B-R2</x:v>
      </x:c>
      <x:c r="B1262" s="12" t="str">
        <x:v>U13</x:v>
      </x:c>
      <x:c r="C1262" s="12" t="str">
        <x:v>first_chunk</x:v>
      </x:c>
      <x:c r="D1262" s="12" t="str">
        <x:v>같은 생성 job의 유효 첫 chunk 관측</x:v>
      </x:c>
      <x:c r="E1262" s="12" t="str">
        <x:v>via</x:v>
      </x:c>
      <x:c r="F1262" s="13" t="n">
        <x:v>1.2700000000000002</x:v>
      </x:c>
      <x:c r="G1262" s="13" t="n">
        <x:v>1.7040000000000002</x:v>
      </x:c>
      <x:c r="H1262" s="13" t="n">
        <x:v>0.434</x:v>
      </x:c>
      <x:c r="I1262" s="13" t="n">
        <x:v>0</x:v>
      </x:c>
      <x:c r="J1262" s="12" t="str">
        <x:v>adopt</x:v>
      </x:c>
      <x:c r="K1262" s="12" t="str">
        <x:v>none</x:v>
      </x:c>
      <x:c r="L1262" s="13" t="n">
        <x:f>IF(G1262&lt;=I1262,0,MAX(0,L1255)+IF(E1262="via",MAX(0,G1262-MAX(F1262,I1262)),0))</x:f>
        <x:v>1.7040000000000002</x:v>
      </x:c>
    </x:row>
    <x:row r="1263" ht="42" customHeight="1">
      <x:c r="A1263" s="7" t="str">
        <x:v>DP3-B-R2</x:v>
      </x:c>
      <x:c r="B1263" s="7" t="str">
        <x:v>U13</x:v>
      </x:c>
      <x:c r="C1263" s="7" t="str">
        <x:v>first_audio_output</x:v>
      </x:c>
      <x:c r="D1263" s="7" t="str">
        <x:v>공통 장치의 첫 음성 출력</x:v>
      </x:c>
      <x:c r="E1263" s="7" t="str">
        <x:v>via</x:v>
      </x:c>
      <x:c r="F1263" s="14" t="n">
        <x:v>1.7040000000000002</x:v>
      </x:c>
      <x:c r="G1263" s="14" t="n">
        <x:v>1.7440000000000002</x:v>
      </x:c>
      <x:c r="H1263" s="14" t="n">
        <x:v>0.04</x:v>
      </x:c>
      <x:c r="I1263" s="14" t="n">
        <x:v>0</x:v>
      </x:c>
      <x:c r="J1263" s="7" t="str">
        <x:v>adopt, first_chunk</x:v>
      </x:c>
      <x:c r="K1263" s="7" t="str">
        <x:v>none</x:v>
      </x:c>
      <x:c r="L1263" s="14" t="n">
        <x:f>IF(G1263&lt;=I1263,0,MAX(0,L1255,L1262)+IF(E1263="via",MAX(0,G1263-MAX(F1263,I1263)),0))</x:f>
        <x:v>1.7440000000000002</x:v>
      </x:c>
    </x:row>
    <x:row r="1264" ht="42" customHeight="1">
      <x:c r="A1264" s="12" t="str">
        <x:v>DP3-B-R2</x:v>
      </x:c>
      <x:c r="B1264" s="12" t="str">
        <x:v>U13</x:v>
      </x:c>
      <x:c r="C1264" s="12" t="str">
        <x:v>next_speech_selection</x:v>
      </x:c>
      <x:c r="D1264" s="12" t="str">
        <x:v>현재 발화 재생 후 다음 응답 선택</x:v>
      </x:c>
      <x:c r="E1264" s="12" t="str">
        <x:v>external</x:v>
      </x:c>
      <x:c r="F1264" s="13" t="n">
        <x:v>1.7440000000000002</x:v>
      </x:c>
      <x:c r="G1264" s="13" t="n">
        <x:v>4.744</x:v>
      </x:c>
      <x:c r="H1264" s="13" t="n">
        <x:v>3</x:v>
      </x:c>
      <x:c r="I1264" s="13" t="n">
        <x:v>0</x:v>
      </x:c>
      <x:c r="J1264" s="12" t="str">
        <x:v>first_audio_output</x:v>
      </x:c>
      <x:c r="K1264" s="12" t="str">
        <x:v>none</x:v>
      </x:c>
      <x:c r="L1264" s="13" t="n">
        <x:f>IF(G1264&lt;=I1264,0,MAX(0,L1263)+IF(E1264="via",MAX(0,G1264-MAX(F1264,I1264)),0))</x:f>
        <x:v>1.7440000000000002</x:v>
      </x:c>
    </x:row>
    <x:row r="1265" ht="42" customHeight="1">
      <x:c r="A1265" s="7" t="str">
        <x:v>DP3-B-R2</x:v>
      </x:c>
      <x:c r="B1265" s="7" t="str">
        <x:v>U13</x:v>
      </x:c>
      <x:c r="C1265" s="7" t="str">
        <x:v>terminal</x:v>
      </x:c>
      <x:c r="D1265" s="7" t="str">
        <x:v>공통 목표 최종 상태와 전체 음성 준비</x:v>
      </x:c>
      <x:c r="E1265" s="7" t="str">
        <x:v>via</x:v>
      </x:c>
      <x:c r="F1265" s="14" t="n">
        <x:v>11.198</x:v>
      </x:c>
      <x:c r="G1265" s="14" t="n">
        <x:v>11.198</x:v>
      </x:c>
      <x:c r="H1265" s="14" t="n">
        <x:v>0</x:v>
      </x:c>
      <x:c r="I1265" s="14" t="n">
        <x:v>0</x:v>
      </x:c>
      <x:c r="J1265" s="7" t="str">
        <x:v>result_display, response_audio, intent_audio, first_audio_output</x:v>
      </x:c>
      <x:c r="K1265" s="7" t="str">
        <x:v>none</x:v>
      </x:c>
      <x:c r="L1265" s="14" t="n">
        <x:f>IF(G1265&lt;=I1265,0,MAX(0,L1259,L1260,L1261,L1263)+IF(E1265="via",MAX(0,G1265-MAX(F1265,I1265)),0))</x:f>
        <x:v>3.1980000000000004</x:v>
      </x:c>
    </x:row>
    <x:row r="1266" ht="42" customHeight="1">
      <x:c r="A1266" s="12" t="str">
        <x:v>DP3-B-R2</x:v>
      </x:c>
      <x:c r="B1266" s="12" t="str">
        <x:v>U14</x:v>
      </x:c>
      <x:c r="C1266" s="12" t="str">
        <x:v>input_end</x:v>
      </x:c>
      <x:c r="D1266" s="12" t="str">
        <x:v>사용자 입력 종료</x:v>
      </x:c>
      <x:c r="E1266" s="12" t="str">
        <x:v>external</x:v>
      </x:c>
      <x:c r="F1266" s="13" t="n">
        <x:v>0</x:v>
      </x:c>
      <x:c r="G1266" s="13" t="n">
        <x:v>0</x:v>
      </x:c>
      <x:c r="H1266" s="13" t="n">
        <x:v>0</x:v>
      </x:c>
      <x:c r="I1266" s="13" t="n">
        <x:v>0</x:v>
      </x:c>
      <x:c r="J1266" s="12" t="str"/>
      <x:c r="K1266" s="12" t="str">
        <x:v>none</x:v>
      </x:c>
      <x:c r="L1266" s="13" t="n">
        <x:f>IF(G1266&lt;=I1266,0,MAX(0)+IF(E1266="via",MAX(0,G1266-MAX(F1266,I1266)),0))</x:f>
        <x:v>0</x:v>
      </x:c>
    </x:row>
    <x:row r="1267" ht="42" customHeight="1">
      <x:c r="A1267" s="7" t="str">
        <x:v>DP3-B-R2</x:v>
      </x:c>
      <x:c r="B1267" s="7" t="str">
        <x:v>U14</x:v>
      </x:c>
      <x:c r="C1267" s="7" t="str">
        <x:v>intake</x:v>
      </x:c>
      <x:c r="D1267" s="7" t="str">
        <x:v>입력 확정</x:v>
      </x:c>
      <x:c r="E1267" s="7" t="str">
        <x:v>via</x:v>
      </x:c>
      <x:c r="F1267" s="14" t="n">
        <x:v>0</x:v>
      </x:c>
      <x:c r="G1267" s="14" t="n">
        <x:v>0.3</x:v>
      </x:c>
      <x:c r="H1267" s="14" t="n">
        <x:v>0.3</x:v>
      </x:c>
      <x:c r="I1267" s="14" t="n">
        <x:v>0</x:v>
      </x:c>
      <x:c r="J1267" s="7" t="str">
        <x:v>input_end</x:v>
      </x:c>
      <x:c r="K1267" s="7" t="str">
        <x:v>none</x:v>
      </x:c>
      <x:c r="L1267" s="14" t="n">
        <x:f>IF(G1267&lt;=I1267,0,MAX(0,L1266)+IF(E1267="via",MAX(0,G1267-MAX(F1267,I1267)),0))</x:f>
        <x:v>0.3</x:v>
      </x:c>
    </x:row>
    <x:row r="1268" ht="42" customHeight="1">
      <x:c r="A1268" s="12" t="str">
        <x:v>DP3-B-R2</x:v>
      </x:c>
      <x:c r="B1268" s="12" t="str">
        <x:v>U14</x:v>
      </x:c>
      <x:c r="C1268" s="12" t="str">
        <x:v>read</x:v>
      </x:c>
      <x:c r="D1268" s="12" t="str">
        <x:v>공통 허용 원본 조회</x:v>
      </x:c>
      <x:c r="E1268" s="12" t="str">
        <x:v>via</x:v>
      </x:c>
      <x:c r="F1268" s="13" t="n">
        <x:v>0.3</x:v>
      </x:c>
      <x:c r="G1268" s="13" t="n">
        <x:v>0.38</x:v>
      </x:c>
      <x:c r="H1268" s="13" t="n">
        <x:v>0.08</x:v>
      </x:c>
      <x:c r="I1268" s="13" t="n">
        <x:v>0</x:v>
      </x:c>
      <x:c r="J1268" s="12" t="str">
        <x:v>intake</x:v>
      </x:c>
      <x:c r="K1268" s="12" t="str">
        <x:v>none</x:v>
      </x:c>
      <x:c r="L1268" s="13" t="n">
        <x:f>IF(G1268&lt;=I1268,0,MAX(0,L1267)+IF(E1268="via",MAX(0,G1268-MAX(F1268,I1268)),0))</x:f>
        <x:v>0.38</x:v>
      </x:c>
    </x:row>
    <x:row r="1269" ht="42" customHeight="1">
      <x:c r="A1269" s="7" t="str">
        <x:v>DP3-B-R2</x:v>
      </x:c>
      <x:c r="B1269" s="7" t="str">
        <x:v>U14</x:v>
      </x:c>
      <x:c r="C1269" s="7" t="str">
        <x:v>meaning</x:v>
      </x:c>
      <x:c r="D1269" s="7" t="str">
        <x:v>최초 요청 의미 채택 packet 생성</x:v>
      </x:c>
      <x:c r="E1269" s="7" t="str">
        <x:v>via</x:v>
      </x:c>
      <x:c r="F1269" s="14" t="n">
        <x:v>0.38</x:v>
      </x:c>
      <x:c r="G1269" s="14" t="n">
        <x:v>1.88</x:v>
      </x:c>
      <x:c r="H1269" s="14" t="n">
        <x:v>1.5</x:v>
      </x:c>
      <x:c r="I1269" s="14" t="n">
        <x:v>0</x:v>
      </x:c>
      <x:c r="J1269" s="7" t="str">
        <x:v>read</x:v>
      </x:c>
      <x:c r="K1269" s="7" t="str">
        <x:v>semantic</x:v>
      </x:c>
      <x:c r="L1269" s="14" t="n">
        <x:f>IF(G1269&lt;=I1269,0,MAX(0,L1268)+IF(E1269="via",MAX(0,G1269-MAX(F1269,I1269)),0))</x:f>
        <x:v>1.88</x:v>
      </x:c>
    </x:row>
    <x:row r="1270" ht="42" customHeight="1">
      <x:c r="A1270" s="12" t="str">
        <x:v>DP3-B-R2</x:v>
      </x:c>
      <x:c r="B1270" s="12" t="str">
        <x:v>U14</x:v>
      </x:c>
      <x:c r="C1270" s="12" t="str">
        <x:v>adopt</x:v>
      </x:c>
      <x:c r="D1270" s="12" t="str">
        <x:v>현재 revision과 권한 검사 및 채택</x:v>
      </x:c>
      <x:c r="E1270" s="12" t="str">
        <x:v>via</x:v>
      </x:c>
      <x:c r="F1270" s="13" t="n">
        <x:v>1.88</x:v>
      </x:c>
      <x:c r="G1270" s="13" t="n">
        <x:v>1.91</x:v>
      </x:c>
      <x:c r="H1270" s="13" t="n">
        <x:v>0.03</x:v>
      </x:c>
      <x:c r="I1270" s="13" t="n">
        <x:v>0</x:v>
      </x:c>
      <x:c r="J1270" s="12" t="str">
        <x:v>meaning</x:v>
      </x:c>
      <x:c r="K1270" s="12" t="str">
        <x:v>none</x:v>
      </x:c>
      <x:c r="L1270" s="13" t="n">
        <x:f>IF(G1270&lt;=I1270,0,MAX(0,L1269)+IF(E1270="via",MAX(0,G1270-MAX(F1270,I1270)),0))</x:f>
        <x:v>1.91</x:v>
      </x:c>
    </x:row>
    <x:row r="1271" ht="42" customHeight="1">
      <x:c r="A1271" s="7" t="str">
        <x:v>DP3-B-R2</x:v>
      </x:c>
      <x:c r="B1271" s="7" t="str">
        <x:v>U14</x:v>
      </x:c>
      <x:c r="C1271" s="7" t="str">
        <x:v>first_display</x:v>
      </x:c>
      <x:c r="D1271" s="7" t="str">
        <x:v>첫 구체적 채택 내용 화면 표시</x:v>
      </x:c>
      <x:c r="E1271" s="7" t="str">
        <x:v>via</x:v>
      </x:c>
      <x:c r="F1271" s="14" t="n">
        <x:v>1.91</x:v>
      </x:c>
      <x:c r="G1271" s="14" t="n">
        <x:v>1.95</x:v>
      </x:c>
      <x:c r="H1271" s="14" t="n">
        <x:v>0.04</x:v>
      </x:c>
      <x:c r="I1271" s="14" t="n">
        <x:v>0</x:v>
      </x:c>
      <x:c r="J1271" s="7" t="str">
        <x:v>adopt</x:v>
      </x:c>
      <x:c r="K1271" s="7" t="str">
        <x:v>none</x:v>
      </x:c>
      <x:c r="L1271" s="14" t="n">
        <x:f>IF(G1271&lt;=I1271,0,MAX(0,L1270)+IF(E1271="via",MAX(0,G1271-MAX(F1271,I1271)),0))</x:f>
        <x:v>1.95</x:v>
      </x:c>
    </x:row>
    <x:row r="1272" ht="42" customHeight="1">
      <x:c r="A1272" s="12" t="str">
        <x:v>DP3-B-R2</x:v>
      </x:c>
      <x:c r="B1272" s="12" t="str">
        <x:v>U14</x:v>
      </x:c>
      <x:c r="C1272" s="12" t="str">
        <x:v>agent_ingress</x:v>
      </x:c>
      <x:c r="D1272" s="12" t="str">
        <x:v>Agent 요청 전송</x:v>
      </x:c>
      <x:c r="E1272" s="12" t="str">
        <x:v>via</x:v>
      </x:c>
      <x:c r="F1272" s="13" t="n">
        <x:v>1.91</x:v>
      </x:c>
      <x:c r="G1272" s="13" t="n">
        <x:v>1.95</x:v>
      </x:c>
      <x:c r="H1272" s="13" t="n">
        <x:v>0.04</x:v>
      </x:c>
      <x:c r="I1272" s="13" t="n">
        <x:v>0</x:v>
      </x:c>
      <x:c r="J1272" s="12" t="str">
        <x:v>adopt</x:v>
      </x:c>
      <x:c r="K1272" s="12" t="str">
        <x:v>none</x:v>
      </x:c>
      <x:c r="L1272" s="13" t="n">
        <x:f>IF(G1272&lt;=I1272,0,MAX(0,L1270)+IF(E1272="via",MAX(0,G1272-MAX(F1272,I1272)),0))</x:f>
        <x:v>1.95</x:v>
      </x:c>
    </x:row>
    <x:row r="1273" ht="42" customHeight="1">
      <x:c r="A1273" s="7" t="str">
        <x:v>DP3-B-R2</x:v>
      </x:c>
      <x:c r="B1273" s="7" t="str">
        <x:v>U14</x:v>
      </x:c>
      <x:c r="C1273" s="7" t="str">
        <x:v>agent_result</x:v>
      </x:c>
      <x:c r="D1273" s="7" t="str">
        <x:v>외부 Agent 업무</x:v>
      </x:c>
      <x:c r="E1273" s="7" t="str">
        <x:v>external</x:v>
      </x:c>
      <x:c r="F1273" s="14" t="n">
        <x:v>1.95</x:v>
      </x:c>
      <x:c r="G1273" s="14" t="n">
        <x:v>9.95</x:v>
      </x:c>
      <x:c r="H1273" s="14" t="n">
        <x:v>8</x:v>
      </x:c>
      <x:c r="I1273" s="14" t="n">
        <x:v>0</x:v>
      </x:c>
      <x:c r="J1273" s="7" t="str">
        <x:v>agent_ingress</x:v>
      </x:c>
      <x:c r="K1273" s="7" t="str">
        <x:v>none</x:v>
      </x:c>
      <x:c r="L1273" s="14" t="n">
        <x:f>IF(G1273&lt;=I1273,0,MAX(0,L1272)+IF(E1273="via",MAX(0,G1273-MAX(F1273,I1273)),0))</x:f>
        <x:v>1.95</x:v>
      </x:c>
    </x:row>
    <x:row r="1274" ht="42" customHeight="1">
      <x:c r="A1274" s="12" t="str">
        <x:v>DP3-B-R2</x:v>
      </x:c>
      <x:c r="B1274" s="12" t="str">
        <x:v>U14</x:v>
      </x:c>
      <x:c r="C1274" s="12" t="str">
        <x:v>result_display</x:v>
      </x:c>
      <x:c r="D1274" s="12" t="str">
        <x:v>최종 결과 상세 표시</x:v>
      </x:c>
      <x:c r="E1274" s="12" t="str">
        <x:v>via</x:v>
      </x:c>
      <x:c r="F1274" s="13" t="n">
        <x:v>9.95</x:v>
      </x:c>
      <x:c r="G1274" s="13" t="n">
        <x:v>9.989999999999998</x:v>
      </x:c>
      <x:c r="H1274" s="13" t="n">
        <x:v>0.04</x:v>
      </x:c>
      <x:c r="I1274" s="13" t="n">
        <x:v>0</x:v>
      </x:c>
      <x:c r="J1274" s="12" t="str">
        <x:v>agent_result</x:v>
      </x:c>
      <x:c r="K1274" s="12" t="str">
        <x:v>none</x:v>
      </x:c>
      <x:c r="L1274" s="13" t="n">
        <x:f>IF(G1274&lt;=I1274,0,MAX(0,L1273)+IF(E1274="via",MAX(0,G1274-MAX(F1274,I1274)),0))</x:f>
        <x:v>1.989999999999999</x:v>
      </x:c>
    </x:row>
    <x:row r="1275" ht="42" customHeight="1">
      <x:c r="A1275" s="7" t="str">
        <x:v>DP3-B-R2</x:v>
      </x:c>
      <x:c r="B1275" s="7" t="str">
        <x:v>U14</x:v>
      </x:c>
      <x:c r="C1275" s="7" t="str">
        <x:v>response_audio</x:v>
      </x:c>
      <x:c r="D1275" s="7" t="str">
        <x:v>선택한 응답 음성 생성</x:v>
      </x:c>
      <x:c r="E1275" s="7" t="str">
        <x:v>via</x:v>
      </x:c>
      <x:c r="F1275" s="14" t="n">
        <x:v>9.95</x:v>
      </x:c>
      <x:c r="G1275" s="14" t="n">
        <x:v>11.838</x:v>
      </x:c>
      <x:c r="H1275" s="14" t="n">
        <x:v>1.888</x:v>
      </x:c>
      <x:c r="I1275" s="14" t="n">
        <x:v>0</x:v>
      </x:c>
      <x:c r="J1275" s="7" t="str">
        <x:v>agent_result</x:v>
      </x:c>
      <x:c r="K1275" s="7" t="str">
        <x:v>speech</x:v>
      </x:c>
      <x:c r="L1275" s="14" t="n">
        <x:f>IF(G1275&lt;=I1275,0,MAX(0,L1273)+IF(E1275="via",MAX(0,G1275-MAX(F1275,I1275)),0))</x:f>
        <x:v>3.838</x:v>
      </x:c>
    </x:row>
    <x:row r="1276" ht="42" customHeight="1">
      <x:c r="A1276" s="12" t="str">
        <x:v>DP3-B-R2</x:v>
      </x:c>
      <x:c r="B1276" s="12" t="str">
        <x:v>U14</x:v>
      </x:c>
      <x:c r="C1276" s="12" t="str">
        <x:v>intent_audio</x:v>
      </x:c>
      <x:c r="D1276" s="12" t="str">
        <x:v>채택한 구체적 수행 의도의 짧은 음성</x:v>
      </x:c>
      <x:c r="E1276" s="12" t="str">
        <x:v>via</x:v>
      </x:c>
      <x:c r="F1276" s="13" t="n">
        <x:v>1.91</x:v>
      </x:c>
      <x:c r="G1276" s="13" t="n">
        <x:v>3.0439999999999996</x:v>
      </x:c>
      <x:c r="H1276" s="13" t="n">
        <x:v>1.134</x:v>
      </x:c>
      <x:c r="I1276" s="13" t="n">
        <x:v>0</x:v>
      </x:c>
      <x:c r="J1276" s="12" t="str">
        <x:v>adopt</x:v>
      </x:c>
      <x:c r="K1276" s="12" t="str">
        <x:v>speech</x:v>
      </x:c>
      <x:c r="L1276" s="13" t="n">
        <x:f>IF(G1276&lt;=I1276,0,MAX(0,L1270)+IF(E1276="via",MAX(0,G1276-MAX(F1276,I1276)),0))</x:f>
        <x:v>3.0439999999999996</x:v>
      </x:c>
    </x:row>
    <x:row r="1277" ht="42" customHeight="1">
      <x:c r="A1277" s="7" t="str">
        <x:v>DP3-B-R2</x:v>
      </x:c>
      <x:c r="B1277" s="7" t="str">
        <x:v>U14</x:v>
      </x:c>
      <x:c r="C1277" s="7" t="str">
        <x:v>first_chunk</x:v>
      </x:c>
      <x:c r="D1277" s="7" t="str">
        <x:v>같은 생성 job의 유효 첫 chunk 관측</x:v>
      </x:c>
      <x:c r="E1277" s="7" t="str">
        <x:v>via</x:v>
      </x:c>
      <x:c r="F1277" s="14" t="n">
        <x:v>1.91</x:v>
      </x:c>
      <x:c r="G1277" s="14" t="n">
        <x:v>2.344</x:v>
      </x:c>
      <x:c r="H1277" s="14" t="n">
        <x:v>0.434</x:v>
      </x:c>
      <x:c r="I1277" s="14" t="n">
        <x:v>0</x:v>
      </x:c>
      <x:c r="J1277" s="7" t="str">
        <x:v>adopt</x:v>
      </x:c>
      <x:c r="K1277" s="7" t="str">
        <x:v>none</x:v>
      </x:c>
      <x:c r="L1277" s="14" t="n">
        <x:f>IF(G1277&lt;=I1277,0,MAX(0,L1270)+IF(E1277="via",MAX(0,G1277-MAX(F1277,I1277)),0))</x:f>
        <x:v>2.344</x:v>
      </x:c>
    </x:row>
    <x:row r="1278" ht="42" customHeight="1">
      <x:c r="A1278" s="12" t="str">
        <x:v>DP3-B-R2</x:v>
      </x:c>
      <x:c r="B1278" s="12" t="str">
        <x:v>U14</x:v>
      </x:c>
      <x:c r="C1278" s="12" t="str">
        <x:v>first_audio_output</x:v>
      </x:c>
      <x:c r="D1278" s="12" t="str">
        <x:v>공통 장치의 첫 음성 출력</x:v>
      </x:c>
      <x:c r="E1278" s="12" t="str">
        <x:v>via</x:v>
      </x:c>
      <x:c r="F1278" s="13" t="n">
        <x:v>2.344</x:v>
      </x:c>
      <x:c r="G1278" s="13" t="n">
        <x:v>2.384</x:v>
      </x:c>
      <x:c r="H1278" s="13" t="n">
        <x:v>0.04</x:v>
      </x:c>
      <x:c r="I1278" s="13" t="n">
        <x:v>0</x:v>
      </x:c>
      <x:c r="J1278" s="12" t="str">
        <x:v>adopt, first_chunk</x:v>
      </x:c>
      <x:c r="K1278" s="12" t="str">
        <x:v>none</x:v>
      </x:c>
      <x:c r="L1278" s="13" t="n">
        <x:f>IF(G1278&lt;=I1278,0,MAX(0,L1270,L1277)+IF(E1278="via",MAX(0,G1278-MAX(F1278,I1278)),0))</x:f>
        <x:v>2.384</x:v>
      </x:c>
    </x:row>
    <x:row r="1279" ht="42" customHeight="1">
      <x:c r="A1279" s="7" t="str">
        <x:v>DP3-B-R2</x:v>
      </x:c>
      <x:c r="B1279" s="7" t="str">
        <x:v>U14</x:v>
      </x:c>
      <x:c r="C1279" s="7" t="str">
        <x:v>next_speech_selection</x:v>
      </x:c>
      <x:c r="D1279" s="7" t="str">
        <x:v>현재 발화 재생 후 다음 응답 선택</x:v>
      </x:c>
      <x:c r="E1279" s="7" t="str">
        <x:v>external</x:v>
      </x:c>
      <x:c r="F1279" s="14" t="n">
        <x:v>2.384</x:v>
      </x:c>
      <x:c r="G1279" s="14" t="n">
        <x:v>5.384</x:v>
      </x:c>
      <x:c r="H1279" s="14" t="n">
        <x:v>3</x:v>
      </x:c>
      <x:c r="I1279" s="14" t="n">
        <x:v>0</x:v>
      </x:c>
      <x:c r="J1279" s="7" t="str">
        <x:v>first_audio_output</x:v>
      </x:c>
      <x:c r="K1279" s="7" t="str">
        <x:v>none</x:v>
      </x:c>
      <x:c r="L1279" s="14" t="n">
        <x:f>IF(G1279&lt;=I1279,0,MAX(0,L1278)+IF(E1279="via",MAX(0,G1279-MAX(F1279,I1279)),0))</x:f>
        <x:v>2.384</x:v>
      </x:c>
    </x:row>
    <x:row r="1280" ht="42" customHeight="1">
      <x:c r="A1280" s="12" t="str">
        <x:v>DP3-B-R2</x:v>
      </x:c>
      <x:c r="B1280" s="12" t="str">
        <x:v>U14</x:v>
      </x:c>
      <x:c r="C1280" s="12" t="str">
        <x:v>terminal</x:v>
      </x:c>
      <x:c r="D1280" s="12" t="str">
        <x:v>공통 목표 최종 상태와 전체 음성 준비</x:v>
      </x:c>
      <x:c r="E1280" s="12" t="str">
        <x:v>via</x:v>
      </x:c>
      <x:c r="F1280" s="13" t="n">
        <x:v>11.838</x:v>
      </x:c>
      <x:c r="G1280" s="13" t="n">
        <x:v>11.838</x:v>
      </x:c>
      <x:c r="H1280" s="13" t="n">
        <x:v>0</x:v>
      </x:c>
      <x:c r="I1280" s="13" t="n">
        <x:v>0</x:v>
      </x:c>
      <x:c r="J1280" s="12" t="str">
        <x:v>result_display, response_audio, intent_audio, first_audio_output</x:v>
      </x:c>
      <x:c r="K1280" s="12" t="str">
        <x:v>none</x:v>
      </x:c>
      <x:c r="L1280" s="13" t="n">
        <x:f>IF(G1280&lt;=I1280,0,MAX(0,L1274,L1275,L1276,L1278)+IF(E1280="via",MAX(0,G1280-MAX(F1280,I1280)),0))</x:f>
        <x:v>3.838</x:v>
      </x:c>
    </x:row>
    <x:row r="1281" ht="42" customHeight="1">
      <x:c r="A1281" s="7" t="str">
        <x:v>DP3-B-R2</x:v>
      </x:c>
      <x:c r="B1281" s="7" t="str">
        <x:v>U15</x:v>
      </x:c>
      <x:c r="C1281" s="7" t="str">
        <x:v>input_end</x:v>
      </x:c>
      <x:c r="D1281" s="7" t="str">
        <x:v>사용자 입력 종료</x:v>
      </x:c>
      <x:c r="E1281" s="7" t="str">
        <x:v>external</x:v>
      </x:c>
      <x:c r="F1281" s="14" t="n">
        <x:v>0</x:v>
      </x:c>
      <x:c r="G1281" s="14" t="n">
        <x:v>0</x:v>
      </x:c>
      <x:c r="H1281" s="14" t="n">
        <x:v>0</x:v>
      </x:c>
      <x:c r="I1281" s="14" t="n">
        <x:v>0</x:v>
      </x:c>
      <x:c r="J1281" s="7" t="str"/>
      <x:c r="K1281" s="7" t="str">
        <x:v>none</x:v>
      </x:c>
      <x:c r="L1281" s="14" t="n">
        <x:f>IF(G1281&lt;=I1281,0,MAX(0)+IF(E1281="via",MAX(0,G1281-MAX(F1281,I1281)),0))</x:f>
        <x:v>0</x:v>
      </x:c>
    </x:row>
    <x:row r="1282" ht="42" customHeight="1">
      <x:c r="A1282" s="12" t="str">
        <x:v>DP3-B-R2</x:v>
      </x:c>
      <x:c r="B1282" s="12" t="str">
        <x:v>U15</x:v>
      </x:c>
      <x:c r="C1282" s="12" t="str">
        <x:v>intake</x:v>
      </x:c>
      <x:c r="D1282" s="12" t="str">
        <x:v>입력 확정</x:v>
      </x:c>
      <x:c r="E1282" s="12" t="str">
        <x:v>via</x:v>
      </x:c>
      <x:c r="F1282" s="13" t="n">
        <x:v>0</x:v>
      </x:c>
      <x:c r="G1282" s="13" t="n">
        <x:v>0.06</x:v>
      </x:c>
      <x:c r="H1282" s="13" t="n">
        <x:v>0.06</x:v>
      </x:c>
      <x:c r="I1282" s="13" t="n">
        <x:v>0</x:v>
      </x:c>
      <x:c r="J1282" s="12" t="str">
        <x:v>input_end</x:v>
      </x:c>
      <x:c r="K1282" s="12" t="str">
        <x:v>none</x:v>
      </x:c>
      <x:c r="L1282" s="13" t="n">
        <x:f>IF(G1282&lt;=I1282,0,MAX(0,L1281)+IF(E1282="via",MAX(0,G1282-MAX(F1282,I1282)),0))</x:f>
        <x:v>0.06</x:v>
      </x:c>
    </x:row>
    <x:row r="1283" ht="42" customHeight="1">
      <x:c r="A1283" s="7" t="str">
        <x:v>DP3-B-R2</x:v>
      </x:c>
      <x:c r="B1283" s="7" t="str">
        <x:v>U15</x:v>
      </x:c>
      <x:c r="C1283" s="7" t="str">
        <x:v>read</x:v>
      </x:c>
      <x:c r="D1283" s="7" t="str">
        <x:v>공통 허용 원본 조회</x:v>
      </x:c>
      <x:c r="E1283" s="7" t="str">
        <x:v>via</x:v>
      </x:c>
      <x:c r="F1283" s="14" t="n">
        <x:v>0.06</x:v>
      </x:c>
      <x:c r="G1283" s="14" t="n">
        <x:v>0.14</x:v>
      </x:c>
      <x:c r="H1283" s="14" t="n">
        <x:v>0.08</x:v>
      </x:c>
      <x:c r="I1283" s="14" t="n">
        <x:v>0</x:v>
      </x:c>
      <x:c r="J1283" s="7" t="str">
        <x:v>intake</x:v>
      </x:c>
      <x:c r="K1283" s="7" t="str">
        <x:v>none</x:v>
      </x:c>
      <x:c r="L1283" s="14" t="n">
        <x:f>IF(G1283&lt;=I1283,0,MAX(0,L1282)+IF(E1283="via",MAX(0,G1283-MAX(F1283,I1283)),0))</x:f>
        <x:v>0.14</x:v>
      </x:c>
    </x:row>
    <x:row r="1284" ht="42" customHeight="1">
      <x:c r="A1284" s="12" t="str">
        <x:v>DP3-B-R2</x:v>
      </x:c>
      <x:c r="B1284" s="12" t="str">
        <x:v>U15</x:v>
      </x:c>
      <x:c r="C1284" s="12" t="str">
        <x:v>meaning</x:v>
      </x:c>
      <x:c r="D1284" s="12" t="str">
        <x:v>최초 요청 의미 채택 packet 생성</x:v>
      </x:c>
      <x:c r="E1284" s="12" t="str">
        <x:v>via</x:v>
      </x:c>
      <x:c r="F1284" s="13" t="n">
        <x:v>0.14</x:v>
      </x:c>
      <x:c r="G1284" s="13" t="n">
        <x:v>1.2400000000000002</x:v>
      </x:c>
      <x:c r="H1284" s="13" t="n">
        <x:v>1.1</x:v>
      </x:c>
      <x:c r="I1284" s="13" t="n">
        <x:v>0</x:v>
      </x:c>
      <x:c r="J1284" s="12" t="str">
        <x:v>read</x:v>
      </x:c>
      <x:c r="K1284" s="12" t="str">
        <x:v>semantic</x:v>
      </x:c>
      <x:c r="L1284" s="13" t="n">
        <x:f>IF(G1284&lt;=I1284,0,MAX(0,L1283)+IF(E1284="via",MAX(0,G1284-MAX(F1284,I1284)),0))</x:f>
        <x:v>1.2400000000000002</x:v>
      </x:c>
    </x:row>
    <x:row r="1285" ht="42" customHeight="1">
      <x:c r="A1285" s="7" t="str">
        <x:v>DP3-B-R2</x:v>
      </x:c>
      <x:c r="B1285" s="7" t="str">
        <x:v>U15</x:v>
      </x:c>
      <x:c r="C1285" s="7" t="str">
        <x:v>adopt</x:v>
      </x:c>
      <x:c r="D1285" s="7" t="str">
        <x:v>현재 revision과 권한 검사 및 채택</x:v>
      </x:c>
      <x:c r="E1285" s="7" t="str">
        <x:v>via</x:v>
      </x:c>
      <x:c r="F1285" s="14" t="n">
        <x:v>1.2400000000000002</x:v>
      </x:c>
      <x:c r="G1285" s="14" t="n">
        <x:v>1.2700000000000002</x:v>
      </x:c>
      <x:c r="H1285" s="14" t="n">
        <x:v>0.03</x:v>
      </x:c>
      <x:c r="I1285" s="14" t="n">
        <x:v>0</x:v>
      </x:c>
      <x:c r="J1285" s="7" t="str">
        <x:v>meaning</x:v>
      </x:c>
      <x:c r="K1285" s="7" t="str">
        <x:v>none</x:v>
      </x:c>
      <x:c r="L1285" s="14" t="n">
        <x:f>IF(G1285&lt;=I1285,0,MAX(0,L1284)+IF(E1285="via",MAX(0,G1285-MAX(F1285,I1285)),0))</x:f>
        <x:v>1.2700000000000002</x:v>
      </x:c>
    </x:row>
    <x:row r="1286" ht="42" customHeight="1">
      <x:c r="A1286" s="12" t="str">
        <x:v>DP3-B-R2</x:v>
      </x:c>
      <x:c r="B1286" s="12" t="str">
        <x:v>U15</x:v>
      </x:c>
      <x:c r="C1286" s="12" t="str">
        <x:v>first_display</x:v>
      </x:c>
      <x:c r="D1286" s="12" t="str">
        <x:v>첫 구체적 채택 내용 화면 표시</x:v>
      </x:c>
      <x:c r="E1286" s="12" t="str">
        <x:v>via</x:v>
      </x:c>
      <x:c r="F1286" s="13" t="n">
        <x:v>1.2700000000000002</x:v>
      </x:c>
      <x:c r="G1286" s="13" t="n">
        <x:v>1.3100000000000003</x:v>
      </x:c>
      <x:c r="H1286" s="13" t="n">
        <x:v>0.04</x:v>
      </x:c>
      <x:c r="I1286" s="13" t="n">
        <x:v>0</x:v>
      </x:c>
      <x:c r="J1286" s="12" t="str">
        <x:v>adopt</x:v>
      </x:c>
      <x:c r="K1286" s="12" t="str">
        <x:v>none</x:v>
      </x:c>
      <x:c r="L1286" s="13" t="n">
        <x:f>IF(G1286&lt;=I1286,0,MAX(0,L1285)+IF(E1286="via",MAX(0,G1286-MAX(F1286,I1286)),0))</x:f>
        <x:v>1.3100000000000003</x:v>
      </x:c>
    </x:row>
    <x:row r="1287" ht="42" customHeight="1">
      <x:c r="A1287" s="7" t="str">
        <x:v>DP3-B-R2</x:v>
      </x:c>
      <x:c r="B1287" s="7" t="str">
        <x:v>U15</x:v>
      </x:c>
      <x:c r="C1287" s="7" t="str">
        <x:v>agent_ingress</x:v>
      </x:c>
      <x:c r="D1287" s="7" t="str">
        <x:v>Agent 요청 전송</x:v>
      </x:c>
      <x:c r="E1287" s="7" t="str">
        <x:v>via</x:v>
      </x:c>
      <x:c r="F1287" s="14" t="n">
        <x:v>1.2700000000000002</x:v>
      </x:c>
      <x:c r="G1287" s="14" t="n">
        <x:v>1.3100000000000003</x:v>
      </x:c>
      <x:c r="H1287" s="14" t="n">
        <x:v>0.04</x:v>
      </x:c>
      <x:c r="I1287" s="14" t="n">
        <x:v>0</x:v>
      </x:c>
      <x:c r="J1287" s="7" t="str">
        <x:v>adopt</x:v>
      </x:c>
      <x:c r="K1287" s="7" t="str">
        <x:v>none</x:v>
      </x:c>
      <x:c r="L1287" s="14" t="n">
        <x:f>IF(G1287&lt;=I1287,0,MAX(0,L1285)+IF(E1287="via",MAX(0,G1287-MAX(F1287,I1287)),0))</x:f>
        <x:v>1.3100000000000003</x:v>
      </x:c>
    </x:row>
    <x:row r="1288" ht="42" customHeight="1">
      <x:c r="A1288" s="12" t="str">
        <x:v>DP3-B-R2</x:v>
      </x:c>
      <x:c r="B1288" s="12" t="str">
        <x:v>U15</x:v>
      </x:c>
      <x:c r="C1288" s="12" t="str">
        <x:v>agent_result</x:v>
      </x:c>
      <x:c r="D1288" s="12" t="str">
        <x:v>외부 Agent 업무</x:v>
      </x:c>
      <x:c r="E1288" s="12" t="str">
        <x:v>external</x:v>
      </x:c>
      <x:c r="F1288" s="13" t="n">
        <x:v>1.3100000000000003</x:v>
      </x:c>
      <x:c r="G1288" s="13" t="n">
        <x:v>9.31</x:v>
      </x:c>
      <x:c r="H1288" s="13" t="n">
        <x:v>8</x:v>
      </x:c>
      <x:c r="I1288" s="13" t="n">
        <x:v>0</x:v>
      </x:c>
      <x:c r="J1288" s="12" t="str">
        <x:v>agent_ingress</x:v>
      </x:c>
      <x:c r="K1288" s="12" t="str">
        <x:v>none</x:v>
      </x:c>
      <x:c r="L1288" s="13" t="n">
        <x:f>IF(G1288&lt;=I1288,0,MAX(0,L1287)+IF(E1288="via",MAX(0,G1288-MAX(F1288,I1288)),0))</x:f>
        <x:v>1.3100000000000003</x:v>
      </x:c>
    </x:row>
    <x:row r="1289" ht="42" customHeight="1">
      <x:c r="A1289" s="7" t="str">
        <x:v>DP3-B-R2</x:v>
      </x:c>
      <x:c r="B1289" s="7" t="str">
        <x:v>U15</x:v>
      </x:c>
      <x:c r="C1289" s="7" t="str">
        <x:v>result_display</x:v>
      </x:c>
      <x:c r="D1289" s="7" t="str">
        <x:v>최종 결과 상세 표시</x:v>
      </x:c>
      <x:c r="E1289" s="7" t="str">
        <x:v>via</x:v>
      </x:c>
      <x:c r="F1289" s="14" t="n">
        <x:v>9.31</x:v>
      </x:c>
      <x:c r="G1289" s="14" t="n">
        <x:v>9.35</x:v>
      </x:c>
      <x:c r="H1289" s="14" t="n">
        <x:v>0.04</x:v>
      </x:c>
      <x:c r="I1289" s="14" t="n">
        <x:v>0</x:v>
      </x:c>
      <x:c r="J1289" s="7" t="str">
        <x:v>agent_result</x:v>
      </x:c>
      <x:c r="K1289" s="7" t="str">
        <x:v>none</x:v>
      </x:c>
      <x:c r="L1289" s="14" t="n">
        <x:f>IF(G1289&lt;=I1289,0,MAX(0,L1288)+IF(E1289="via",MAX(0,G1289-MAX(F1289,I1289)),0))</x:f>
        <x:v>1.3499999999999994</x:v>
      </x:c>
    </x:row>
    <x:row r="1290" ht="42" customHeight="1">
      <x:c r="A1290" s="12" t="str">
        <x:v>DP3-B-R2</x:v>
      </x:c>
      <x:c r="B1290" s="12" t="str">
        <x:v>U15</x:v>
      </x:c>
      <x:c r="C1290" s="12" t="str">
        <x:v>response_audio</x:v>
      </x:c>
      <x:c r="D1290" s="12" t="str">
        <x:v>선택한 응답 음성 생성</x:v>
      </x:c>
      <x:c r="E1290" s="12" t="str">
        <x:v>via</x:v>
      </x:c>
      <x:c r="F1290" s="13" t="n">
        <x:v>9.31</x:v>
      </x:c>
      <x:c r="G1290" s="13" t="n">
        <x:v>11.198</x:v>
      </x:c>
      <x:c r="H1290" s="13" t="n">
        <x:v>1.888</x:v>
      </x:c>
      <x:c r="I1290" s="13" t="n">
        <x:v>0</x:v>
      </x:c>
      <x:c r="J1290" s="12" t="str">
        <x:v>agent_result</x:v>
      </x:c>
      <x:c r="K1290" s="12" t="str">
        <x:v>speech</x:v>
      </x:c>
      <x:c r="L1290" s="13" t="n">
        <x:f>IF(G1290&lt;=I1290,0,MAX(0,L1288)+IF(E1290="via",MAX(0,G1290-MAX(F1290,I1290)),0))</x:f>
        <x:v>3.1980000000000004</x:v>
      </x:c>
    </x:row>
    <x:row r="1291" ht="42" customHeight="1">
      <x:c r="A1291" s="7" t="str">
        <x:v>DP3-B-R2</x:v>
      </x:c>
      <x:c r="B1291" s="7" t="str">
        <x:v>U15</x:v>
      </x:c>
      <x:c r="C1291" s="7" t="str">
        <x:v>intent_audio</x:v>
      </x:c>
      <x:c r="D1291" s="7" t="str">
        <x:v>채택한 구체적 수행 의도의 짧은 음성</x:v>
      </x:c>
      <x:c r="E1291" s="7" t="str">
        <x:v>via</x:v>
      </x:c>
      <x:c r="F1291" s="14" t="n">
        <x:v>1.2700000000000002</x:v>
      </x:c>
      <x:c r="G1291" s="14" t="n">
        <x:v>2.404</x:v>
      </x:c>
      <x:c r="H1291" s="14" t="n">
        <x:v>1.134</x:v>
      </x:c>
      <x:c r="I1291" s="14" t="n">
        <x:v>0</x:v>
      </x:c>
      <x:c r="J1291" s="7" t="str">
        <x:v>adopt</x:v>
      </x:c>
      <x:c r="K1291" s="7" t="str">
        <x:v>speech</x:v>
      </x:c>
      <x:c r="L1291" s="14" t="n">
        <x:f>IF(G1291&lt;=I1291,0,MAX(0,L1285)+IF(E1291="via",MAX(0,G1291-MAX(F1291,I1291)),0))</x:f>
        <x:v>2.404</x:v>
      </x:c>
    </x:row>
    <x:row r="1292" ht="42" customHeight="1">
      <x:c r="A1292" s="12" t="str">
        <x:v>DP3-B-R2</x:v>
      </x:c>
      <x:c r="B1292" s="12" t="str">
        <x:v>U15</x:v>
      </x:c>
      <x:c r="C1292" s="12" t="str">
        <x:v>first_chunk</x:v>
      </x:c>
      <x:c r="D1292" s="12" t="str">
        <x:v>같은 생성 job의 유효 첫 chunk 관측</x:v>
      </x:c>
      <x:c r="E1292" s="12" t="str">
        <x:v>via</x:v>
      </x:c>
      <x:c r="F1292" s="13" t="n">
        <x:v>1.2700000000000002</x:v>
      </x:c>
      <x:c r="G1292" s="13" t="n">
        <x:v>1.7040000000000002</x:v>
      </x:c>
      <x:c r="H1292" s="13" t="n">
        <x:v>0.434</x:v>
      </x:c>
      <x:c r="I1292" s="13" t="n">
        <x:v>0</x:v>
      </x:c>
      <x:c r="J1292" s="12" t="str">
        <x:v>adopt</x:v>
      </x:c>
      <x:c r="K1292" s="12" t="str">
        <x:v>none</x:v>
      </x:c>
      <x:c r="L1292" s="13" t="n">
        <x:f>IF(G1292&lt;=I1292,0,MAX(0,L1285)+IF(E1292="via",MAX(0,G1292-MAX(F1292,I1292)),0))</x:f>
        <x:v>1.7040000000000002</x:v>
      </x:c>
    </x:row>
    <x:row r="1293" ht="42" customHeight="1">
      <x:c r="A1293" s="7" t="str">
        <x:v>DP3-B-R2</x:v>
      </x:c>
      <x:c r="B1293" s="7" t="str">
        <x:v>U15</x:v>
      </x:c>
      <x:c r="C1293" s="7" t="str">
        <x:v>first_audio_output</x:v>
      </x:c>
      <x:c r="D1293" s="7" t="str">
        <x:v>공통 장치의 첫 음성 출력</x:v>
      </x:c>
      <x:c r="E1293" s="7" t="str">
        <x:v>via</x:v>
      </x:c>
      <x:c r="F1293" s="14" t="n">
        <x:v>1.7040000000000002</x:v>
      </x:c>
      <x:c r="G1293" s="14" t="n">
        <x:v>1.7440000000000002</x:v>
      </x:c>
      <x:c r="H1293" s="14" t="n">
        <x:v>0.04</x:v>
      </x:c>
      <x:c r="I1293" s="14" t="n">
        <x:v>0</x:v>
      </x:c>
      <x:c r="J1293" s="7" t="str">
        <x:v>adopt, first_chunk</x:v>
      </x:c>
      <x:c r="K1293" s="7" t="str">
        <x:v>none</x:v>
      </x:c>
      <x:c r="L1293" s="14" t="n">
        <x:f>IF(G1293&lt;=I1293,0,MAX(0,L1285,L1292)+IF(E1293="via",MAX(0,G1293-MAX(F1293,I1293)),0))</x:f>
        <x:v>1.7440000000000002</x:v>
      </x:c>
    </x:row>
    <x:row r="1294" ht="42" customHeight="1">
      <x:c r="A1294" s="12" t="str">
        <x:v>DP3-B-R2</x:v>
      </x:c>
      <x:c r="B1294" s="12" t="str">
        <x:v>U15</x:v>
      </x:c>
      <x:c r="C1294" s="12" t="str">
        <x:v>next_speech_selection</x:v>
      </x:c>
      <x:c r="D1294" s="12" t="str">
        <x:v>현재 발화 재생 후 다음 응답 선택</x:v>
      </x:c>
      <x:c r="E1294" s="12" t="str">
        <x:v>external</x:v>
      </x:c>
      <x:c r="F1294" s="13" t="n">
        <x:v>1.7440000000000002</x:v>
      </x:c>
      <x:c r="G1294" s="13" t="n">
        <x:v>4.744</x:v>
      </x:c>
      <x:c r="H1294" s="13" t="n">
        <x:v>3</x:v>
      </x:c>
      <x:c r="I1294" s="13" t="n">
        <x:v>0</x:v>
      </x:c>
      <x:c r="J1294" s="12" t="str">
        <x:v>first_audio_output</x:v>
      </x:c>
      <x:c r="K1294" s="12" t="str">
        <x:v>none</x:v>
      </x:c>
      <x:c r="L1294" s="13" t="n">
        <x:f>IF(G1294&lt;=I1294,0,MAX(0,L1293)+IF(E1294="via",MAX(0,G1294-MAX(F1294,I1294)),0))</x:f>
        <x:v>1.7440000000000002</x:v>
      </x:c>
    </x:row>
    <x:row r="1295" ht="42" customHeight="1">
      <x:c r="A1295" s="7" t="str">
        <x:v>DP3-B-R2</x:v>
      </x:c>
      <x:c r="B1295" s="7" t="str">
        <x:v>U15</x:v>
      </x:c>
      <x:c r="C1295" s="7" t="str">
        <x:v>terminal</x:v>
      </x:c>
      <x:c r="D1295" s="7" t="str">
        <x:v>공통 목표 최종 상태와 전체 음성 준비</x:v>
      </x:c>
      <x:c r="E1295" s="7" t="str">
        <x:v>via</x:v>
      </x:c>
      <x:c r="F1295" s="14" t="n">
        <x:v>11.198</x:v>
      </x:c>
      <x:c r="G1295" s="14" t="n">
        <x:v>11.198</x:v>
      </x:c>
      <x:c r="H1295" s="14" t="n">
        <x:v>0</x:v>
      </x:c>
      <x:c r="I1295" s="14" t="n">
        <x:v>0</x:v>
      </x:c>
      <x:c r="J1295" s="7" t="str">
        <x:v>result_display, response_audio, intent_audio, first_audio_output</x:v>
      </x:c>
      <x:c r="K1295" s="7" t="str">
        <x:v>none</x:v>
      </x:c>
      <x:c r="L1295" s="14" t="n">
        <x:f>IF(G1295&lt;=I1295,0,MAX(0,L1289,L1290,L1291,L1293)+IF(E1295="via",MAX(0,G1295-MAX(F1295,I1295)),0))</x:f>
        <x:v>3.1980000000000004</x:v>
      </x:c>
    </x:row>
    <x:row r="1296" ht="42" customHeight="1">
      <x:c r="A1296" s="12" t="str">
        <x:v>DP3-B-R2</x:v>
      </x:c>
      <x:c r="B1296" s="12" t="str">
        <x:v>U16</x:v>
      </x:c>
      <x:c r="C1296" s="12" t="str">
        <x:v>original_work</x:v>
      </x:c>
      <x:c r="D1296" s="12" t="str">
        <x:v>원래 목표의 최초 VIA 처리</x:v>
      </x:c>
      <x:c r="E1296" s="12" t="str">
        <x:v>via</x:v>
      </x:c>
      <x:c r="F1296" s="13" t="n">
        <x:v>-6</x:v>
      </x:c>
      <x:c r="G1296" s="13" t="n">
        <x:v>-4</x:v>
      </x:c>
      <x:c r="H1296" s="13" t="n">
        <x:v>2</x:v>
      </x:c>
      <x:c r="I1296" s="13" t="n">
        <x:v>-6</x:v>
      </x:c>
      <x:c r="J1296" s="12" t="str"/>
      <x:c r="K1296" s="12" t="str">
        <x:v>none</x:v>
      </x:c>
      <x:c r="L1296" s="13" t="n">
        <x:f>IF(G1296&lt;=I1296,0,MAX(0)+IF(E1296="via",MAX(0,G1296-MAX(F1296,I1296)),0))</x:f>
        <x:v>2</x:v>
      </x:c>
    </x:row>
    <x:row r="1297" ht="42" customHeight="1">
      <x:c r="A1297" s="7" t="str">
        <x:v>DP3-B-R2</x:v>
      </x:c>
      <x:c r="B1297" s="7" t="str">
        <x:v>U16</x:v>
      </x:c>
      <x:c r="C1297" s="7" t="str">
        <x:v>input_end</x:v>
      </x:c>
      <x:c r="D1297" s="7" t="str">
        <x:v>사용자 입력 종료</x:v>
      </x:c>
      <x:c r="E1297" s="7" t="str">
        <x:v>external</x:v>
      </x:c>
      <x:c r="F1297" s="14" t="n">
        <x:v>0</x:v>
      </x:c>
      <x:c r="G1297" s="14" t="n">
        <x:v>0</x:v>
      </x:c>
      <x:c r="H1297" s="14" t="n">
        <x:v>0</x:v>
      </x:c>
      <x:c r="I1297" s="14" t="n">
        <x:v>-6</x:v>
      </x:c>
      <x:c r="J1297" s="7" t="str">
        <x:v>original_work</x:v>
      </x:c>
      <x:c r="K1297" s="7" t="str">
        <x:v>none</x:v>
      </x:c>
      <x:c r="L1297" s="14" t="n">
        <x:f>IF(G1297&lt;=I1297,0,MAX(0,L1296)+IF(E1297="via",MAX(0,G1297-MAX(F1297,I1297)),0))</x:f>
        <x:v>2</x:v>
      </x:c>
    </x:row>
    <x:row r="1298" ht="42" customHeight="1">
      <x:c r="A1298" s="12" t="str">
        <x:v>DP3-B-R2</x:v>
      </x:c>
      <x:c r="B1298" s="12" t="str">
        <x:v>U16</x:v>
      </x:c>
      <x:c r="C1298" s="12" t="str">
        <x:v>intake</x:v>
      </x:c>
      <x:c r="D1298" s="12" t="str">
        <x:v>입력 확정</x:v>
      </x:c>
      <x:c r="E1298" s="12" t="str">
        <x:v>via</x:v>
      </x:c>
      <x:c r="F1298" s="13" t="n">
        <x:v>0</x:v>
      </x:c>
      <x:c r="G1298" s="13" t="n">
        <x:v>0.3</x:v>
      </x:c>
      <x:c r="H1298" s="13" t="n">
        <x:v>0.3</x:v>
      </x:c>
      <x:c r="I1298" s="13" t="n">
        <x:v>-6</x:v>
      </x:c>
      <x:c r="J1298" s="12" t="str">
        <x:v>input_end</x:v>
      </x:c>
      <x:c r="K1298" s="12" t="str">
        <x:v>none</x:v>
      </x:c>
      <x:c r="L1298" s="13" t="n">
        <x:f>IF(G1298&lt;=I1298,0,MAX(0,L1297)+IF(E1298="via",MAX(0,G1298-MAX(F1298,I1298)),0))</x:f>
        <x:v>2.3</x:v>
      </x:c>
    </x:row>
    <x:row r="1299" ht="42" customHeight="1">
      <x:c r="A1299" s="7" t="str">
        <x:v>DP3-B-R2</x:v>
      </x:c>
      <x:c r="B1299" s="7" t="str">
        <x:v>U16</x:v>
      </x:c>
      <x:c r="C1299" s="7" t="str">
        <x:v>read</x:v>
      </x:c>
      <x:c r="D1299" s="7" t="str">
        <x:v>공통 허용 원본 조회</x:v>
      </x:c>
      <x:c r="E1299" s="7" t="str">
        <x:v>via</x:v>
      </x:c>
      <x:c r="F1299" s="14" t="n">
        <x:v>0.3</x:v>
      </x:c>
      <x:c r="G1299" s="14" t="n">
        <x:v>0.38</x:v>
      </x:c>
      <x:c r="H1299" s="14" t="n">
        <x:v>0.08</x:v>
      </x:c>
      <x:c r="I1299" s="14" t="n">
        <x:v>-6</x:v>
      </x:c>
      <x:c r="J1299" s="7" t="str">
        <x:v>intake</x:v>
      </x:c>
      <x:c r="K1299" s="7" t="str">
        <x:v>none</x:v>
      </x:c>
      <x:c r="L1299" s="14" t="n">
        <x:f>IF(G1299&lt;=I1299,0,MAX(0,L1298)+IF(E1299="via",MAX(0,G1299-MAX(F1299,I1299)),0))</x:f>
        <x:v>2.38</x:v>
      </x:c>
    </x:row>
    <x:row r="1300" ht="42" customHeight="1">
      <x:c r="A1300" s="12" t="str">
        <x:v>DP3-B-R2</x:v>
      </x:c>
      <x:c r="B1300" s="12" t="str">
        <x:v>U16</x:v>
      </x:c>
      <x:c r="C1300" s="12" t="str">
        <x:v>meaning</x:v>
      </x:c>
      <x:c r="D1300" s="12" t="str">
        <x:v>최초 요청 의미 채택 packet 생성</x:v>
      </x:c>
      <x:c r="E1300" s="12" t="str">
        <x:v>via</x:v>
      </x:c>
      <x:c r="F1300" s="13" t="n">
        <x:v>0.38</x:v>
      </x:c>
      <x:c r="G1300" s="13" t="n">
        <x:v>1.88</x:v>
      </x:c>
      <x:c r="H1300" s="13" t="n">
        <x:v>1.5</x:v>
      </x:c>
      <x:c r="I1300" s="13" t="n">
        <x:v>-6</x:v>
      </x:c>
      <x:c r="J1300" s="12" t="str">
        <x:v>read</x:v>
      </x:c>
      <x:c r="K1300" s="12" t="str">
        <x:v>semantic</x:v>
      </x:c>
      <x:c r="L1300" s="13" t="n">
        <x:f>IF(G1300&lt;=I1300,0,MAX(0,L1299)+IF(E1300="via",MAX(0,G1300-MAX(F1300,I1300)),0))</x:f>
        <x:v>3.88</x:v>
      </x:c>
    </x:row>
    <x:row r="1301" ht="42" customHeight="1">
      <x:c r="A1301" s="7" t="str">
        <x:v>DP3-B-R2</x:v>
      </x:c>
      <x:c r="B1301" s="7" t="str">
        <x:v>U16</x:v>
      </x:c>
      <x:c r="C1301" s="7" t="str">
        <x:v>adopt</x:v>
      </x:c>
      <x:c r="D1301" s="7" t="str">
        <x:v>현재 revision과 권한 검사 및 채택</x:v>
      </x:c>
      <x:c r="E1301" s="7" t="str">
        <x:v>via</x:v>
      </x:c>
      <x:c r="F1301" s="14" t="n">
        <x:v>1.88</x:v>
      </x:c>
      <x:c r="G1301" s="14" t="n">
        <x:v>1.91</x:v>
      </x:c>
      <x:c r="H1301" s="14" t="n">
        <x:v>0.03</x:v>
      </x:c>
      <x:c r="I1301" s="14" t="n">
        <x:v>-6</x:v>
      </x:c>
      <x:c r="J1301" s="7" t="str">
        <x:v>meaning</x:v>
      </x:c>
      <x:c r="K1301" s="7" t="str">
        <x:v>none</x:v>
      </x:c>
      <x:c r="L1301" s="14" t="n">
        <x:f>IF(G1301&lt;=I1301,0,MAX(0,L1300)+IF(E1301="via",MAX(0,G1301-MAX(F1301,I1301)),0))</x:f>
        <x:v>3.91</x:v>
      </x:c>
    </x:row>
    <x:row r="1302" ht="42" customHeight="1">
      <x:c r="A1302" s="12" t="str">
        <x:v>DP3-B-R2</x:v>
      </x:c>
      <x:c r="B1302" s="12" t="str">
        <x:v>U16</x:v>
      </x:c>
      <x:c r="C1302" s="12" t="str">
        <x:v>first_display</x:v>
      </x:c>
      <x:c r="D1302" s="12" t="str">
        <x:v>첫 구체적 채택 내용 화면 표시</x:v>
      </x:c>
      <x:c r="E1302" s="12" t="str">
        <x:v>via</x:v>
      </x:c>
      <x:c r="F1302" s="13" t="n">
        <x:v>1.91</x:v>
      </x:c>
      <x:c r="G1302" s="13" t="n">
        <x:v>1.95</x:v>
      </x:c>
      <x:c r="H1302" s="13" t="n">
        <x:v>0.04</x:v>
      </x:c>
      <x:c r="I1302" s="13" t="n">
        <x:v>-6</x:v>
      </x:c>
      <x:c r="J1302" s="12" t="str">
        <x:v>adopt</x:v>
      </x:c>
      <x:c r="K1302" s="12" t="str">
        <x:v>none</x:v>
      </x:c>
      <x:c r="L1302" s="13" t="n">
        <x:f>IF(G1302&lt;=I1302,0,MAX(0,L1301)+IF(E1302="via",MAX(0,G1302-MAX(F1302,I1302)),0))</x:f>
        <x:v>3.95</x:v>
      </x:c>
    </x:row>
    <x:row r="1303" ht="42" customHeight="1">
      <x:c r="A1303" s="7" t="str">
        <x:v>DP3-B-R2</x:v>
      </x:c>
      <x:c r="B1303" s="7" t="str">
        <x:v>U16</x:v>
      </x:c>
      <x:c r="C1303" s="7" t="str">
        <x:v>agent_ingress</x:v>
      </x:c>
      <x:c r="D1303" s="7" t="str">
        <x:v>Agent 요청 전송</x:v>
      </x:c>
      <x:c r="E1303" s="7" t="str">
        <x:v>via</x:v>
      </x:c>
      <x:c r="F1303" s="14" t="n">
        <x:v>1.91</x:v>
      </x:c>
      <x:c r="G1303" s="14" t="n">
        <x:v>1.95</x:v>
      </x:c>
      <x:c r="H1303" s="14" t="n">
        <x:v>0.04</x:v>
      </x:c>
      <x:c r="I1303" s="14" t="n">
        <x:v>-6</x:v>
      </x:c>
      <x:c r="J1303" s="7" t="str">
        <x:v>adopt</x:v>
      </x:c>
      <x:c r="K1303" s="7" t="str">
        <x:v>none</x:v>
      </x:c>
      <x:c r="L1303" s="14" t="n">
        <x:f>IF(G1303&lt;=I1303,0,MAX(0,L1301)+IF(E1303="via",MAX(0,G1303-MAX(F1303,I1303)),0))</x:f>
        <x:v>3.95</x:v>
      </x:c>
    </x:row>
    <x:row r="1304" ht="42" customHeight="1">
      <x:c r="A1304" s="12" t="str">
        <x:v>DP3-B-R2</x:v>
      </x:c>
      <x:c r="B1304" s="12" t="str">
        <x:v>U16</x:v>
      </x:c>
      <x:c r="C1304" s="12" t="str">
        <x:v>agent_result</x:v>
      </x:c>
      <x:c r="D1304" s="12" t="str">
        <x:v>외부 Agent 업무</x:v>
      </x:c>
      <x:c r="E1304" s="12" t="str">
        <x:v>external</x:v>
      </x:c>
      <x:c r="F1304" s="13" t="n">
        <x:v>1.95</x:v>
      </x:c>
      <x:c r="G1304" s="13" t="n">
        <x:v>9.95</x:v>
      </x:c>
      <x:c r="H1304" s="13" t="n">
        <x:v>8</x:v>
      </x:c>
      <x:c r="I1304" s="13" t="n">
        <x:v>-6</x:v>
      </x:c>
      <x:c r="J1304" s="12" t="str">
        <x:v>agent_ingress</x:v>
      </x:c>
      <x:c r="K1304" s="12" t="str">
        <x:v>none</x:v>
      </x:c>
      <x:c r="L1304" s="13" t="n">
        <x:f>IF(G1304&lt;=I1304,0,MAX(0,L1303)+IF(E1304="via",MAX(0,G1304-MAX(F1304,I1304)),0))</x:f>
        <x:v>3.95</x:v>
      </x:c>
    </x:row>
    <x:row r="1305" ht="42" customHeight="1">
      <x:c r="A1305" s="7" t="str">
        <x:v>DP3-B-R2</x:v>
      </x:c>
      <x:c r="B1305" s="7" t="str">
        <x:v>U16</x:v>
      </x:c>
      <x:c r="C1305" s="7" t="str">
        <x:v>result_display</x:v>
      </x:c>
      <x:c r="D1305" s="7" t="str">
        <x:v>최종 결과 상세 표시</x:v>
      </x:c>
      <x:c r="E1305" s="7" t="str">
        <x:v>via</x:v>
      </x:c>
      <x:c r="F1305" s="14" t="n">
        <x:v>9.95</x:v>
      </x:c>
      <x:c r="G1305" s="14" t="n">
        <x:v>9.989999999999998</x:v>
      </x:c>
      <x:c r="H1305" s="14" t="n">
        <x:v>0.04</x:v>
      </x:c>
      <x:c r="I1305" s="14" t="n">
        <x:v>-6</x:v>
      </x:c>
      <x:c r="J1305" s="7" t="str">
        <x:v>agent_result</x:v>
      </x:c>
      <x:c r="K1305" s="7" t="str">
        <x:v>none</x:v>
      </x:c>
      <x:c r="L1305" s="14" t="n">
        <x:f>IF(G1305&lt;=I1305,0,MAX(0,L1304)+IF(E1305="via",MAX(0,G1305-MAX(F1305,I1305)),0))</x:f>
        <x:v>3.9899999999999993</x:v>
      </x:c>
    </x:row>
    <x:row r="1306" ht="42" customHeight="1">
      <x:c r="A1306" s="12" t="str">
        <x:v>DP3-B-R2</x:v>
      </x:c>
      <x:c r="B1306" s="12" t="str">
        <x:v>U16</x:v>
      </x:c>
      <x:c r="C1306" s="12" t="str">
        <x:v>response_audio</x:v>
      </x:c>
      <x:c r="D1306" s="12" t="str">
        <x:v>선택한 응답 음성 생성</x:v>
      </x:c>
      <x:c r="E1306" s="12" t="str">
        <x:v>via</x:v>
      </x:c>
      <x:c r="F1306" s="13" t="n">
        <x:v>9.95</x:v>
      </x:c>
      <x:c r="G1306" s="13" t="n">
        <x:v>11.838</x:v>
      </x:c>
      <x:c r="H1306" s="13" t="n">
        <x:v>1.888</x:v>
      </x:c>
      <x:c r="I1306" s="13" t="n">
        <x:v>-6</x:v>
      </x:c>
      <x:c r="J1306" s="12" t="str">
        <x:v>agent_result</x:v>
      </x:c>
      <x:c r="K1306" s="12" t="str">
        <x:v>speech</x:v>
      </x:c>
      <x:c r="L1306" s="13" t="n">
        <x:f>IF(G1306&lt;=I1306,0,MAX(0,L1304)+IF(E1306="via",MAX(0,G1306-MAX(F1306,I1306)),0))</x:f>
        <x:v>5.838</x:v>
      </x:c>
    </x:row>
    <x:row r="1307" ht="42" customHeight="1">
      <x:c r="A1307" s="7" t="str">
        <x:v>DP3-B-R2</x:v>
      </x:c>
      <x:c r="B1307" s="7" t="str">
        <x:v>U16</x:v>
      </x:c>
      <x:c r="C1307" s="7" t="str">
        <x:v>intent_audio</x:v>
      </x:c>
      <x:c r="D1307" s="7" t="str">
        <x:v>채택한 구체적 수행 의도의 짧은 음성</x:v>
      </x:c>
      <x:c r="E1307" s="7" t="str">
        <x:v>via</x:v>
      </x:c>
      <x:c r="F1307" s="14" t="n">
        <x:v>1.91</x:v>
      </x:c>
      <x:c r="G1307" s="14" t="n">
        <x:v>3.0439999999999996</x:v>
      </x:c>
      <x:c r="H1307" s="14" t="n">
        <x:v>1.134</x:v>
      </x:c>
      <x:c r="I1307" s="14" t="n">
        <x:v>-6</x:v>
      </x:c>
      <x:c r="J1307" s="7" t="str">
        <x:v>adopt</x:v>
      </x:c>
      <x:c r="K1307" s="7" t="str">
        <x:v>speech</x:v>
      </x:c>
      <x:c r="L1307" s="14" t="n">
        <x:f>IF(G1307&lt;=I1307,0,MAX(0,L1301)+IF(E1307="via",MAX(0,G1307-MAX(F1307,I1307)),0))</x:f>
        <x:v>5.044</x:v>
      </x:c>
    </x:row>
    <x:row r="1308" ht="42" customHeight="1">
      <x:c r="A1308" s="12" t="str">
        <x:v>DP3-B-R2</x:v>
      </x:c>
      <x:c r="B1308" s="12" t="str">
        <x:v>U16</x:v>
      </x:c>
      <x:c r="C1308" s="12" t="str">
        <x:v>first_chunk</x:v>
      </x:c>
      <x:c r="D1308" s="12" t="str">
        <x:v>같은 생성 job의 유효 첫 chunk 관측</x:v>
      </x:c>
      <x:c r="E1308" s="12" t="str">
        <x:v>via</x:v>
      </x:c>
      <x:c r="F1308" s="13" t="n">
        <x:v>1.91</x:v>
      </x:c>
      <x:c r="G1308" s="13" t="n">
        <x:v>2.344</x:v>
      </x:c>
      <x:c r="H1308" s="13" t="n">
        <x:v>0.434</x:v>
      </x:c>
      <x:c r="I1308" s="13" t="n">
        <x:v>-6</x:v>
      </x:c>
      <x:c r="J1308" s="12" t="str">
        <x:v>adopt</x:v>
      </x:c>
      <x:c r="K1308" s="12" t="str">
        <x:v>none</x:v>
      </x:c>
      <x:c r="L1308" s="13" t="n">
        <x:f>IF(G1308&lt;=I1308,0,MAX(0,L1301)+IF(E1308="via",MAX(0,G1308-MAX(F1308,I1308)),0))</x:f>
        <x:v>4.344</x:v>
      </x:c>
    </x:row>
    <x:row r="1309" ht="42" customHeight="1">
      <x:c r="A1309" s="7" t="str">
        <x:v>DP3-B-R2</x:v>
      </x:c>
      <x:c r="B1309" s="7" t="str">
        <x:v>U16</x:v>
      </x:c>
      <x:c r="C1309" s="7" t="str">
        <x:v>first_audio_output</x:v>
      </x:c>
      <x:c r="D1309" s="7" t="str">
        <x:v>공통 장치의 첫 음성 출력</x:v>
      </x:c>
      <x:c r="E1309" s="7" t="str">
        <x:v>via</x:v>
      </x:c>
      <x:c r="F1309" s="14" t="n">
        <x:v>2.344</x:v>
      </x:c>
      <x:c r="G1309" s="14" t="n">
        <x:v>2.384</x:v>
      </x:c>
      <x:c r="H1309" s="14" t="n">
        <x:v>0.04</x:v>
      </x:c>
      <x:c r="I1309" s="14" t="n">
        <x:v>-6</x:v>
      </x:c>
      <x:c r="J1309" s="7" t="str">
        <x:v>adopt, first_chunk</x:v>
      </x:c>
      <x:c r="K1309" s="7" t="str">
        <x:v>none</x:v>
      </x:c>
      <x:c r="L1309" s="14" t="n">
        <x:f>IF(G1309&lt;=I1309,0,MAX(0,L1301,L1308)+IF(E1309="via",MAX(0,G1309-MAX(F1309,I1309)),0))</x:f>
        <x:v>4.384</x:v>
      </x:c>
    </x:row>
    <x:row r="1310" ht="42" customHeight="1">
      <x:c r="A1310" s="12" t="str">
        <x:v>DP3-B-R2</x:v>
      </x:c>
      <x:c r="B1310" s="12" t="str">
        <x:v>U16</x:v>
      </x:c>
      <x:c r="C1310" s="12" t="str">
        <x:v>next_speech_selection</x:v>
      </x:c>
      <x:c r="D1310" s="12" t="str">
        <x:v>현재 발화 재생 후 다음 응답 선택</x:v>
      </x:c>
      <x:c r="E1310" s="12" t="str">
        <x:v>external</x:v>
      </x:c>
      <x:c r="F1310" s="13" t="n">
        <x:v>2.384</x:v>
      </x:c>
      <x:c r="G1310" s="13" t="n">
        <x:v>5.384</x:v>
      </x:c>
      <x:c r="H1310" s="13" t="n">
        <x:v>3</x:v>
      </x:c>
      <x:c r="I1310" s="13" t="n">
        <x:v>-6</x:v>
      </x:c>
      <x:c r="J1310" s="12" t="str">
        <x:v>first_audio_output</x:v>
      </x:c>
      <x:c r="K1310" s="12" t="str">
        <x:v>none</x:v>
      </x:c>
      <x:c r="L1310" s="13" t="n">
        <x:f>IF(G1310&lt;=I1310,0,MAX(0,L1309)+IF(E1310="via",MAX(0,G1310-MAX(F1310,I1310)),0))</x:f>
        <x:v>4.384</x:v>
      </x:c>
    </x:row>
    <x:row r="1311" ht="42" customHeight="1">
      <x:c r="A1311" s="7" t="str">
        <x:v>DP3-B-R2</x:v>
      </x:c>
      <x:c r="B1311" s="7" t="str">
        <x:v>U16</x:v>
      </x:c>
      <x:c r="C1311" s="7" t="str">
        <x:v>terminal</x:v>
      </x:c>
      <x:c r="D1311" s="7" t="str">
        <x:v>공통 목표 최종 상태와 전체 음성 준비</x:v>
      </x:c>
      <x:c r="E1311" s="7" t="str">
        <x:v>via</x:v>
      </x:c>
      <x:c r="F1311" s="14" t="n">
        <x:v>11.838</x:v>
      </x:c>
      <x:c r="G1311" s="14" t="n">
        <x:v>11.838</x:v>
      </x:c>
      <x:c r="H1311" s="14" t="n">
        <x:v>0</x:v>
      </x:c>
      <x:c r="I1311" s="14" t="n">
        <x:v>-6</x:v>
      </x:c>
      <x:c r="J1311" s="7" t="str">
        <x:v>result_display, response_audio, intent_audio, first_audio_output</x:v>
      </x:c>
      <x:c r="K1311" s="7" t="str">
        <x:v>none</x:v>
      </x:c>
      <x:c r="L1311" s="14" t="n">
        <x:f>IF(G1311&lt;=I1311,0,MAX(0,L1305,L1306,L1307,L1309)+IF(E1311="via",MAX(0,G1311-MAX(F1311,I1311)),0))</x:f>
        <x:v>5.838</x:v>
      </x:c>
    </x:row>
    <x:row r="1312" ht="42" customHeight="1">
      <x:c r="A1312" s="12" t="str">
        <x:v>DP3-B-R2</x:v>
      </x:c>
      <x:c r="B1312" s="12" t="str">
        <x:v>U17</x:v>
      </x:c>
      <x:c r="C1312" s="12" t="str">
        <x:v>input_end</x:v>
      </x:c>
      <x:c r="D1312" s="12" t="str">
        <x:v>사용자 입력 종료</x:v>
      </x:c>
      <x:c r="E1312" s="12" t="str">
        <x:v>external</x:v>
      </x:c>
      <x:c r="F1312" s="13" t="n">
        <x:v>0</x:v>
      </x:c>
      <x:c r="G1312" s="13" t="n">
        <x:v>0</x:v>
      </x:c>
      <x:c r="H1312" s="13" t="n">
        <x:v>0</x:v>
      </x:c>
      <x:c r="I1312" s="13" t="n">
        <x:v>0</x:v>
      </x:c>
      <x:c r="J1312" s="12" t="str"/>
      <x:c r="K1312" s="12" t="str">
        <x:v>none</x:v>
      </x:c>
      <x:c r="L1312" s="13" t="n">
        <x:f>IF(G1312&lt;=I1312,0,MAX(0)+IF(E1312="via",MAX(0,G1312-MAX(F1312,I1312)),0))</x:f>
        <x:v>0</x:v>
      </x:c>
    </x:row>
    <x:row r="1313" ht="42" customHeight="1">
      <x:c r="A1313" s="7" t="str">
        <x:v>DP3-B-R2</x:v>
      </x:c>
      <x:c r="B1313" s="7" t="str">
        <x:v>U17</x:v>
      </x:c>
      <x:c r="C1313" s="7" t="str">
        <x:v>intake</x:v>
      </x:c>
      <x:c r="D1313" s="7" t="str">
        <x:v>입력 확정</x:v>
      </x:c>
      <x:c r="E1313" s="7" t="str">
        <x:v>via</x:v>
      </x:c>
      <x:c r="F1313" s="14" t="n">
        <x:v>0</x:v>
      </x:c>
      <x:c r="G1313" s="14" t="n">
        <x:v>0.3</x:v>
      </x:c>
      <x:c r="H1313" s="14" t="n">
        <x:v>0.3</x:v>
      </x:c>
      <x:c r="I1313" s="14" t="n">
        <x:v>0</x:v>
      </x:c>
      <x:c r="J1313" s="7" t="str">
        <x:v>input_end</x:v>
      </x:c>
      <x:c r="K1313" s="7" t="str">
        <x:v>none</x:v>
      </x:c>
      <x:c r="L1313" s="14" t="n">
        <x:f>IF(G1313&lt;=I1313,0,MAX(0,L1312)+IF(E1313="via",MAX(0,G1313-MAX(F1313,I1313)),0))</x:f>
        <x:v>0.3</x:v>
      </x:c>
    </x:row>
    <x:row r="1314" ht="42" customHeight="1">
      <x:c r="A1314" s="12" t="str">
        <x:v>DP3-B-R2</x:v>
      </x:c>
      <x:c r="B1314" s="12" t="str">
        <x:v>U17</x:v>
      </x:c>
      <x:c r="C1314" s="12" t="str">
        <x:v>read</x:v>
      </x:c>
      <x:c r="D1314" s="12" t="str">
        <x:v>공통 허용 원본 조회</x:v>
      </x:c>
      <x:c r="E1314" s="12" t="str">
        <x:v>via</x:v>
      </x:c>
      <x:c r="F1314" s="13" t="n">
        <x:v>0.3</x:v>
      </x:c>
      <x:c r="G1314" s="13" t="n">
        <x:v>0.38</x:v>
      </x:c>
      <x:c r="H1314" s="13" t="n">
        <x:v>0.08</x:v>
      </x:c>
      <x:c r="I1314" s="13" t="n">
        <x:v>0</x:v>
      </x:c>
      <x:c r="J1314" s="12" t="str">
        <x:v>intake</x:v>
      </x:c>
      <x:c r="K1314" s="12" t="str">
        <x:v>none</x:v>
      </x:c>
      <x:c r="L1314" s="13" t="n">
        <x:f>IF(G1314&lt;=I1314,0,MAX(0,L1313)+IF(E1314="via",MAX(0,G1314-MAX(F1314,I1314)),0))</x:f>
        <x:v>0.38</x:v>
      </x:c>
    </x:row>
    <x:row r="1315" ht="42" customHeight="1">
      <x:c r="A1315" s="7" t="str">
        <x:v>DP3-B-R2</x:v>
      </x:c>
      <x:c r="B1315" s="7" t="str">
        <x:v>U17</x:v>
      </x:c>
      <x:c r="C1315" s="7" t="str">
        <x:v>meaning</x:v>
      </x:c>
      <x:c r="D1315" s="7" t="str">
        <x:v>최초 요청 의미 채택 packet 생성</x:v>
      </x:c>
      <x:c r="E1315" s="7" t="str">
        <x:v>via</x:v>
      </x:c>
      <x:c r="F1315" s="14" t="n">
        <x:v>0.38</x:v>
      </x:c>
      <x:c r="G1315" s="14" t="n">
        <x:v>1.48</x:v>
      </x:c>
      <x:c r="H1315" s="14" t="n">
        <x:v>1.1</x:v>
      </x:c>
      <x:c r="I1315" s="14" t="n">
        <x:v>0</x:v>
      </x:c>
      <x:c r="J1315" s="7" t="str">
        <x:v>read</x:v>
      </x:c>
      <x:c r="K1315" s="7" t="str">
        <x:v>semantic</x:v>
      </x:c>
      <x:c r="L1315" s="14" t="n">
        <x:f>IF(G1315&lt;=I1315,0,MAX(0,L1314)+IF(E1315="via",MAX(0,G1315-MAX(F1315,I1315)),0))</x:f>
        <x:v>1.48</x:v>
      </x:c>
    </x:row>
    <x:row r="1316" ht="42" customHeight="1">
      <x:c r="A1316" s="12" t="str">
        <x:v>DP3-B-R2</x:v>
      </x:c>
      <x:c r="B1316" s="12" t="str">
        <x:v>U17</x:v>
      </x:c>
      <x:c r="C1316" s="12" t="str">
        <x:v>adopt</x:v>
      </x:c>
      <x:c r="D1316" s="12" t="str">
        <x:v>현재 revision과 권한 검사 및 채택</x:v>
      </x:c>
      <x:c r="E1316" s="12" t="str">
        <x:v>via</x:v>
      </x:c>
      <x:c r="F1316" s="13" t="n">
        <x:v>1.48</x:v>
      </x:c>
      <x:c r="G1316" s="13" t="n">
        <x:v>1.51</x:v>
      </x:c>
      <x:c r="H1316" s="13" t="n">
        <x:v>0.03</x:v>
      </x:c>
      <x:c r="I1316" s="13" t="n">
        <x:v>0</x:v>
      </x:c>
      <x:c r="J1316" s="12" t="str">
        <x:v>meaning</x:v>
      </x:c>
      <x:c r="K1316" s="12" t="str">
        <x:v>none</x:v>
      </x:c>
      <x:c r="L1316" s="13" t="n">
        <x:f>IF(G1316&lt;=I1316,0,MAX(0,L1315)+IF(E1316="via",MAX(0,G1316-MAX(F1316,I1316)),0))</x:f>
        <x:v>1.51</x:v>
      </x:c>
    </x:row>
    <x:row r="1317" ht="42" customHeight="1">
      <x:c r="A1317" s="7" t="str">
        <x:v>DP3-B-R2</x:v>
      </x:c>
      <x:c r="B1317" s="7" t="str">
        <x:v>U17</x:v>
      </x:c>
      <x:c r="C1317" s="7" t="str">
        <x:v>first_display</x:v>
      </x:c>
      <x:c r="D1317" s="7" t="str">
        <x:v>첫 구체적 채택 내용 화면 표시</x:v>
      </x:c>
      <x:c r="E1317" s="7" t="str">
        <x:v>via</x:v>
      </x:c>
      <x:c r="F1317" s="14" t="n">
        <x:v>1.51</x:v>
      </x:c>
      <x:c r="G1317" s="14" t="n">
        <x:v>1.55</x:v>
      </x:c>
      <x:c r="H1317" s="14" t="n">
        <x:v>0.04</x:v>
      </x:c>
      <x:c r="I1317" s="14" t="n">
        <x:v>0</x:v>
      </x:c>
      <x:c r="J1317" s="7" t="str">
        <x:v>adopt</x:v>
      </x:c>
      <x:c r="K1317" s="7" t="str">
        <x:v>none</x:v>
      </x:c>
      <x:c r="L1317" s="14" t="n">
        <x:f>IF(G1317&lt;=I1317,0,MAX(0,L1316)+IF(E1317="via",MAX(0,G1317-MAX(F1317,I1317)),0))</x:f>
        <x:v>1.55</x:v>
      </x:c>
    </x:row>
    <x:row r="1318" ht="42" customHeight="1">
      <x:c r="A1318" s="12" t="str">
        <x:v>DP3-B-R2</x:v>
      </x:c>
      <x:c r="B1318" s="12" t="str">
        <x:v>U17</x:v>
      </x:c>
      <x:c r="C1318" s="12" t="str">
        <x:v>question_arrival</x:v>
      </x:c>
      <x:c r="D1318" s="12" t="str">
        <x:v>Agent 질문 텍스트 도착</x:v>
      </x:c>
      <x:c r="E1318" s="12" t="str">
        <x:v>external</x:v>
      </x:c>
      <x:c r="F1318" s="13" t="n">
        <x:v>-2</x:v>
      </x:c>
      <x:c r="G1318" s="13" t="n">
        <x:v>-2</x:v>
      </x:c>
      <x:c r="H1318" s="13" t="n">
        <x:v>0</x:v>
      </x:c>
      <x:c r="I1318" s="13" t="n">
        <x:v>0</x:v>
      </x:c>
      <x:c r="J1318" s="12" t="str"/>
      <x:c r="K1318" s="12" t="str">
        <x:v>none</x:v>
      </x:c>
      <x:c r="L1318" s="13" t="n">
        <x:f>IF(G1318&lt;=I1318,0,MAX(0)+IF(E1318="via",MAX(0,G1318-MAX(F1318,I1318)),0))</x:f>
        <x:v>0</x:v>
      </x:c>
    </x:row>
    <x:row r="1319" ht="42" customHeight="1">
      <x:c r="A1319" s="7" t="str">
        <x:v>DP3-B-R2</x:v>
      </x:c>
      <x:c r="B1319" s="7" t="str">
        <x:v>U17</x:v>
      </x:c>
      <x:c r="C1319" s="7" t="str">
        <x:v>question_audio</x:v>
      </x:c>
      <x:c r="D1319" s="7" t="str">
        <x:v>선택한 응답 음성 생성</x:v>
      </x:c>
      <x:c r="E1319" s="7" t="str">
        <x:v>via</x:v>
      </x:c>
      <x:c r="F1319" s="14" t="n">
        <x:v>-2</x:v>
      </x:c>
      <x:c r="G1319" s="14" t="n">
        <x:v>0.3906666666666667</x:v>
      </x:c>
      <x:c r="H1319" s="14" t="n">
        <x:v>2.3906666666666667</x:v>
      </x:c>
      <x:c r="I1319" s="14" t="n">
        <x:v>0</x:v>
      </x:c>
      <x:c r="J1319" s="7" t="str">
        <x:v>question_arrival</x:v>
      </x:c>
      <x:c r="K1319" s="7" t="str">
        <x:v>speech</x:v>
      </x:c>
      <x:c r="L1319" s="14" t="n">
        <x:f>IF(G1319&lt;=I1319,0,MAX(0,L1318)+IF(E1319="via",MAX(0,G1319-MAX(F1319,I1319)),0))</x:f>
        <x:v>0.3906666666666667</x:v>
      </x:c>
    </x:row>
    <x:row r="1320" ht="42" customHeight="1">
      <x:c r="A1320" s="12" t="str">
        <x:v>DP3-B-R2</x:v>
      </x:c>
      <x:c r="B1320" s="12" t="str">
        <x:v>U17</x:v>
      </x:c>
      <x:c r="C1320" s="12" t="str">
        <x:v>first_chunk</x:v>
      </x:c>
      <x:c r="D1320" s="12" t="str">
        <x:v>같은 생성 job의 유효 첫 chunk 관측</x:v>
      </x:c>
      <x:c r="E1320" s="12" t="str">
        <x:v>via</x:v>
      </x:c>
      <x:c r="F1320" s="13" t="n">
        <x:v>-2</x:v>
      </x:c>
      <x:c r="G1320" s="13" t="n">
        <x:v>-1.5593333333333335</x:v>
      </x:c>
      <x:c r="H1320" s="13" t="n">
        <x:v>0.44066666666666665</x:v>
      </x:c>
      <x:c r="I1320" s="13" t="n">
        <x:v>0</x:v>
      </x:c>
      <x:c r="J1320" s="12" t="str">
        <x:v>question_arrival</x:v>
      </x:c>
      <x:c r="K1320" s="12" t="str">
        <x:v>none</x:v>
      </x:c>
      <x:c r="L1320" s="13" t="n">
        <x:f>IF(G1320&lt;=I1320,0,MAX(0,L1318)+IF(E1320="via",MAX(0,G1320-MAX(F1320,I1320)),0))</x:f>
        <x:v>0</x:v>
      </x:c>
    </x:row>
    <x:row r="1321" ht="42" customHeight="1">
      <x:c r="A1321" s="7" t="str">
        <x:v>DP3-B-R2</x:v>
      </x:c>
      <x:c r="B1321" s="7" t="str">
        <x:v>U17</x:v>
      </x:c>
      <x:c r="C1321" s="7" t="str">
        <x:v>first_audio_output</x:v>
      </x:c>
      <x:c r="D1321" s="7" t="str">
        <x:v>공통 장치의 첫 음성 출력</x:v>
      </x:c>
      <x:c r="E1321" s="7" t="str">
        <x:v>via</x:v>
      </x:c>
      <x:c r="F1321" s="14" t="n">
        <x:v>1.51</x:v>
      </x:c>
      <x:c r="G1321" s="14" t="n">
        <x:v>1.55</x:v>
      </x:c>
      <x:c r="H1321" s="14" t="n">
        <x:v>0.04</x:v>
      </x:c>
      <x:c r="I1321" s="14" t="n">
        <x:v>0</x:v>
      </x:c>
      <x:c r="J1321" s="7" t="str">
        <x:v>adopt, first_chunk</x:v>
      </x:c>
      <x:c r="K1321" s="7" t="str">
        <x:v>none</x:v>
      </x:c>
      <x:c r="L1321" s="14" t="n">
        <x:f>IF(G1321&lt;=I1321,0,MAX(0,L1316,L1320)+IF(E1321="via",MAX(0,G1321-MAX(F1321,I1321)),0))</x:f>
        <x:v>1.55</x:v>
      </x:c>
    </x:row>
    <x:row r="1322" ht="42" customHeight="1">
      <x:c r="A1322" s="12" t="str">
        <x:v>DP3-B-R2</x:v>
      </x:c>
      <x:c r="B1322" s="12" t="str">
        <x:v>U17</x:v>
      </x:c>
      <x:c r="C1322" s="12" t="str">
        <x:v>terminal</x:v>
      </x:c>
      <x:c r="D1322" s="12" t="str">
        <x:v>공통 목표 최종 상태와 전체 음성 준비</x:v>
      </x:c>
      <x:c r="E1322" s="12" t="str">
        <x:v>via</x:v>
      </x:c>
      <x:c r="F1322" s="13" t="n">
        <x:v>1.55</x:v>
      </x:c>
      <x:c r="G1322" s="13" t="n">
        <x:v>1.55</x:v>
      </x:c>
      <x:c r="H1322" s="13" t="n">
        <x:v>0</x:v>
      </x:c>
      <x:c r="I1322" s="13" t="n">
        <x:v>0</x:v>
      </x:c>
      <x:c r="J1322" s="12" t="str">
        <x:v>first_display, question_audio, first_audio_output</x:v>
      </x:c>
      <x:c r="K1322" s="12" t="str">
        <x:v>none</x:v>
      </x:c>
      <x:c r="L1322" s="13" t="n">
        <x:f>IF(G1322&lt;=I1322,0,MAX(0,L1317,L1319,L1321)+IF(E1322="via",MAX(0,G1322-MAX(F1322,I1322)),0))</x:f>
        <x:v>1.55</x:v>
      </x:c>
    </x:row>
    <x:row r="1323" ht="42" customHeight="1">
      <x:c r="A1323" s="7" t="str">
        <x:v>DP3-B-R2</x:v>
      </x:c>
      <x:c r="B1323" s="7" t="str">
        <x:v>U18</x:v>
      </x:c>
      <x:c r="C1323" s="7" t="str">
        <x:v>input_end</x:v>
      </x:c>
      <x:c r="D1323" s="7" t="str">
        <x:v>사용자 입력 종료</x:v>
      </x:c>
      <x:c r="E1323" s="7" t="str">
        <x:v>external</x:v>
      </x:c>
      <x:c r="F1323" s="14" t="n">
        <x:v>0</x:v>
      </x:c>
      <x:c r="G1323" s="14" t="n">
        <x:v>0</x:v>
      </x:c>
      <x:c r="H1323" s="14" t="n">
        <x:v>0</x:v>
      </x:c>
      <x:c r="I1323" s="14" t="n">
        <x:v>0</x:v>
      </x:c>
      <x:c r="J1323" s="7" t="str"/>
      <x:c r="K1323" s="7" t="str">
        <x:v>none</x:v>
      </x:c>
      <x:c r="L1323" s="14" t="n">
        <x:f>IF(G1323&lt;=I1323,0,MAX(0)+IF(E1323="via",MAX(0,G1323-MAX(F1323,I1323)),0))</x:f>
        <x:v>0</x:v>
      </x:c>
    </x:row>
    <x:row r="1324" ht="42" customHeight="1">
      <x:c r="A1324" s="12" t="str">
        <x:v>DP3-B-R2</x:v>
      </x:c>
      <x:c r="B1324" s="12" t="str">
        <x:v>U18</x:v>
      </x:c>
      <x:c r="C1324" s="12" t="str">
        <x:v>intake</x:v>
      </x:c>
      <x:c r="D1324" s="12" t="str">
        <x:v>입력 확정</x:v>
      </x:c>
      <x:c r="E1324" s="12" t="str">
        <x:v>via</x:v>
      </x:c>
      <x:c r="F1324" s="13" t="n">
        <x:v>0</x:v>
      </x:c>
      <x:c r="G1324" s="13" t="n">
        <x:v>0.3</x:v>
      </x:c>
      <x:c r="H1324" s="13" t="n">
        <x:v>0.3</x:v>
      </x:c>
      <x:c r="I1324" s="13" t="n">
        <x:v>0</x:v>
      </x:c>
      <x:c r="J1324" s="12" t="str">
        <x:v>input_end</x:v>
      </x:c>
      <x:c r="K1324" s="12" t="str">
        <x:v>none</x:v>
      </x:c>
      <x:c r="L1324" s="13" t="n">
        <x:f>IF(G1324&lt;=I1324,0,MAX(0,L1323)+IF(E1324="via",MAX(0,G1324-MAX(F1324,I1324)),0))</x:f>
        <x:v>0.3</x:v>
      </x:c>
    </x:row>
    <x:row r="1325" ht="42" customHeight="1">
      <x:c r="A1325" s="7" t="str">
        <x:v>DP3-B-R2</x:v>
      </x:c>
      <x:c r="B1325" s="7" t="str">
        <x:v>U18</x:v>
      </x:c>
      <x:c r="C1325" s="7" t="str">
        <x:v>read</x:v>
      </x:c>
      <x:c r="D1325" s="7" t="str">
        <x:v>공통 허용 원본 조회</x:v>
      </x:c>
      <x:c r="E1325" s="7" t="str">
        <x:v>via</x:v>
      </x:c>
      <x:c r="F1325" s="14" t="n">
        <x:v>0.3</x:v>
      </x:c>
      <x:c r="G1325" s="14" t="n">
        <x:v>0.38</x:v>
      </x:c>
      <x:c r="H1325" s="14" t="n">
        <x:v>0.08</x:v>
      </x:c>
      <x:c r="I1325" s="14" t="n">
        <x:v>0</x:v>
      </x:c>
      <x:c r="J1325" s="7" t="str">
        <x:v>intake</x:v>
      </x:c>
      <x:c r="K1325" s="7" t="str">
        <x:v>none</x:v>
      </x:c>
      <x:c r="L1325" s="14" t="n">
        <x:f>IF(G1325&lt;=I1325,0,MAX(0,L1324)+IF(E1325="via",MAX(0,G1325-MAX(F1325,I1325)),0))</x:f>
        <x:v>0.38</x:v>
      </x:c>
    </x:row>
    <x:row r="1326" ht="42" customHeight="1">
      <x:c r="A1326" s="12" t="str">
        <x:v>DP3-B-R2</x:v>
      </x:c>
      <x:c r="B1326" s="12" t="str">
        <x:v>U18</x:v>
      </x:c>
      <x:c r="C1326" s="12" t="str">
        <x:v>meaning</x:v>
      </x:c>
      <x:c r="D1326" s="12" t="str">
        <x:v>최초 요청 의미 채택 packet 생성</x:v>
      </x:c>
      <x:c r="E1326" s="12" t="str">
        <x:v>via</x:v>
      </x:c>
      <x:c r="F1326" s="13" t="n">
        <x:v>0.38</x:v>
      </x:c>
      <x:c r="G1326" s="13" t="n">
        <x:v>1.48</x:v>
      </x:c>
      <x:c r="H1326" s="13" t="n">
        <x:v>1.1</x:v>
      </x:c>
      <x:c r="I1326" s="13" t="n">
        <x:v>0</x:v>
      </x:c>
      <x:c r="J1326" s="12" t="str">
        <x:v>read</x:v>
      </x:c>
      <x:c r="K1326" s="12" t="str">
        <x:v>semantic</x:v>
      </x:c>
      <x:c r="L1326" s="13" t="n">
        <x:f>IF(G1326&lt;=I1326,0,MAX(0,L1325)+IF(E1326="via",MAX(0,G1326-MAX(F1326,I1326)),0))</x:f>
        <x:v>1.48</x:v>
      </x:c>
    </x:row>
    <x:row r="1327" ht="42" customHeight="1">
      <x:c r="A1327" s="7" t="str">
        <x:v>DP3-B-R2</x:v>
      </x:c>
      <x:c r="B1327" s="7" t="str">
        <x:v>U18</x:v>
      </x:c>
      <x:c r="C1327" s="7" t="str">
        <x:v>adopt</x:v>
      </x:c>
      <x:c r="D1327" s="7" t="str">
        <x:v>현재 revision과 권한 검사 및 채택</x:v>
      </x:c>
      <x:c r="E1327" s="7" t="str">
        <x:v>via</x:v>
      </x:c>
      <x:c r="F1327" s="14" t="n">
        <x:v>1.48</x:v>
      </x:c>
      <x:c r="G1327" s="14" t="n">
        <x:v>1.51</x:v>
      </x:c>
      <x:c r="H1327" s="14" t="n">
        <x:v>0.03</x:v>
      </x:c>
      <x:c r="I1327" s="14" t="n">
        <x:v>0</x:v>
      </x:c>
      <x:c r="J1327" s="7" t="str">
        <x:v>meaning</x:v>
      </x:c>
      <x:c r="K1327" s="7" t="str">
        <x:v>none</x:v>
      </x:c>
      <x:c r="L1327" s="14" t="n">
        <x:f>IF(G1327&lt;=I1327,0,MAX(0,L1326)+IF(E1327="via",MAX(0,G1327-MAX(F1327,I1327)),0))</x:f>
        <x:v>1.51</x:v>
      </x:c>
    </x:row>
    <x:row r="1328" ht="42" customHeight="1">
      <x:c r="A1328" s="12" t="str">
        <x:v>DP3-B-R2</x:v>
      </x:c>
      <x:c r="B1328" s="12" t="str">
        <x:v>U18</x:v>
      </x:c>
      <x:c r="C1328" s="12" t="str">
        <x:v>first_display</x:v>
      </x:c>
      <x:c r="D1328" s="12" t="str">
        <x:v>첫 구체적 채택 내용 화면 표시</x:v>
      </x:c>
      <x:c r="E1328" s="12" t="str">
        <x:v>via</x:v>
      </x:c>
      <x:c r="F1328" s="13" t="n">
        <x:v>1.51</x:v>
      </x:c>
      <x:c r="G1328" s="13" t="n">
        <x:v>1.55</x:v>
      </x:c>
      <x:c r="H1328" s="13" t="n">
        <x:v>0.04</x:v>
      </x:c>
      <x:c r="I1328" s="13" t="n">
        <x:v>0</x:v>
      </x:c>
      <x:c r="J1328" s="12" t="str">
        <x:v>adopt</x:v>
      </x:c>
      <x:c r="K1328" s="12" t="str">
        <x:v>none</x:v>
      </x:c>
      <x:c r="L1328" s="13" t="n">
        <x:f>IF(G1328&lt;=I1328,0,MAX(0,L1327)+IF(E1328="via",MAX(0,G1328-MAX(F1328,I1328)),0))</x:f>
        <x:v>1.55</x:v>
      </x:c>
    </x:row>
    <x:row r="1329" ht="42" customHeight="1">
      <x:c r="A1329" s="7" t="str">
        <x:v>DP3-B-R2</x:v>
      </x:c>
      <x:c r="B1329" s="7" t="str">
        <x:v>U18</x:v>
      </x:c>
      <x:c r="C1329" s="7" t="str">
        <x:v>question_arrival</x:v>
      </x:c>
      <x:c r="D1329" s="7" t="str">
        <x:v>Agent 질문 텍스트 도착</x:v>
      </x:c>
      <x:c r="E1329" s="7" t="str">
        <x:v>external</x:v>
      </x:c>
      <x:c r="F1329" s="14" t="n">
        <x:v>-2</x:v>
      </x:c>
      <x:c r="G1329" s="14" t="n">
        <x:v>-2</x:v>
      </x:c>
      <x:c r="H1329" s="14" t="n">
        <x:v>0</x:v>
      </x:c>
      <x:c r="I1329" s="14" t="n">
        <x:v>0</x:v>
      </x:c>
      <x:c r="J1329" s="7" t="str"/>
      <x:c r="K1329" s="7" t="str">
        <x:v>none</x:v>
      </x:c>
      <x:c r="L1329" s="14" t="n">
        <x:f>IF(G1329&lt;=I1329,0,MAX(0)+IF(E1329="via",MAX(0,G1329-MAX(F1329,I1329)),0))</x:f>
        <x:v>0</x:v>
      </x:c>
    </x:row>
    <x:row r="1330" ht="42" customHeight="1">
      <x:c r="A1330" s="12" t="str">
        <x:v>DP3-B-R2</x:v>
      </x:c>
      <x:c r="B1330" s="12" t="str">
        <x:v>U18</x:v>
      </x:c>
      <x:c r="C1330" s="12" t="str">
        <x:v>question_audio</x:v>
      </x:c>
      <x:c r="D1330" s="12" t="str">
        <x:v>선택한 응답 음성 생성</x:v>
      </x:c>
      <x:c r="E1330" s="12" t="str">
        <x:v>via</x:v>
      </x:c>
      <x:c r="F1330" s="13" t="n">
        <x:v>-2</x:v>
      </x:c>
      <x:c r="G1330" s="13" t="n">
        <x:v>0.3906666666666667</x:v>
      </x:c>
      <x:c r="H1330" s="13" t="n">
        <x:v>2.3906666666666667</x:v>
      </x:c>
      <x:c r="I1330" s="13" t="n">
        <x:v>0</x:v>
      </x:c>
      <x:c r="J1330" s="12" t="str">
        <x:v>question_arrival</x:v>
      </x:c>
      <x:c r="K1330" s="12" t="str">
        <x:v>speech</x:v>
      </x:c>
      <x:c r="L1330" s="13" t="n">
        <x:f>IF(G1330&lt;=I1330,0,MAX(0,L1329)+IF(E1330="via",MAX(0,G1330-MAX(F1330,I1330)),0))</x:f>
        <x:v>0.3906666666666667</x:v>
      </x:c>
    </x:row>
    <x:row r="1331" ht="42" customHeight="1">
      <x:c r="A1331" s="7" t="str">
        <x:v>DP3-B-R2</x:v>
      </x:c>
      <x:c r="B1331" s="7" t="str">
        <x:v>U18</x:v>
      </x:c>
      <x:c r="C1331" s="7" t="str">
        <x:v>obsolete_audio</x:v>
      </x:c>
      <x:c r="D1331" s="7" t="str">
        <x:v>철회되는 보고서의 선행 생성</x:v>
      </x:c>
      <x:c r="E1331" s="7" t="str">
        <x:v>via</x:v>
      </x:c>
      <x:c r="F1331" s="14" t="n">
        <x:v>-2</x:v>
      </x:c>
      <x:c r="G1331" s="14" t="n">
        <x:v>0.8933333333333335</x:v>
      </x:c>
      <x:c r="H1331" s="14" t="n">
        <x:v>2.8933333333333335</x:v>
      </x:c>
      <x:c r="I1331" s="14" t="n">
        <x:v>0</x:v>
      </x:c>
      <x:c r="J1331" s="7" t="str"/>
      <x:c r="K1331" s="7" t="str">
        <x:v>speech</x:v>
      </x:c>
      <x:c r="L1331" s="14" t="n">
        <x:f>IF(G1331&lt;=I1331,0,MAX(0)+IF(E1331="via",MAX(0,G1331-MAX(F1331,I1331)),0))</x:f>
        <x:v>0.8933333333333335</x:v>
      </x:c>
    </x:row>
    <x:row r="1332" ht="42" customHeight="1">
      <x:c r="A1332" s="12" t="str">
        <x:v>DP3-B-R2</x:v>
      </x:c>
      <x:c r="B1332" s="12" t="str">
        <x:v>U18</x:v>
      </x:c>
      <x:c r="C1332" s="12" t="str">
        <x:v>first_chunk</x:v>
      </x:c>
      <x:c r="D1332" s="12" t="str">
        <x:v>같은 생성 job의 유효 첫 chunk 관측</x:v>
      </x:c>
      <x:c r="E1332" s="12" t="str">
        <x:v>via</x:v>
      </x:c>
      <x:c r="F1332" s="13" t="n">
        <x:v>-2</x:v>
      </x:c>
      <x:c r="G1332" s="13" t="n">
        <x:v>-1.5593333333333335</x:v>
      </x:c>
      <x:c r="H1332" s="13" t="n">
        <x:v>0.44066666666666665</x:v>
      </x:c>
      <x:c r="I1332" s="13" t="n">
        <x:v>0</x:v>
      </x:c>
      <x:c r="J1332" s="12" t="str">
        <x:v>question_arrival</x:v>
      </x:c>
      <x:c r="K1332" s="12" t="str">
        <x:v>none</x:v>
      </x:c>
      <x:c r="L1332" s="13" t="n">
        <x:f>IF(G1332&lt;=I1332,0,MAX(0,L1329)+IF(E1332="via",MAX(0,G1332-MAX(F1332,I1332)),0))</x:f>
        <x:v>0</x:v>
      </x:c>
    </x:row>
    <x:row r="1333" ht="42" customHeight="1">
      <x:c r="A1333" s="7" t="str">
        <x:v>DP3-B-R2</x:v>
      </x:c>
      <x:c r="B1333" s="7" t="str">
        <x:v>U18</x:v>
      </x:c>
      <x:c r="C1333" s="7" t="str">
        <x:v>first_audio_output</x:v>
      </x:c>
      <x:c r="D1333" s="7" t="str">
        <x:v>공통 장치의 첫 음성 출력</x:v>
      </x:c>
      <x:c r="E1333" s="7" t="str">
        <x:v>via</x:v>
      </x:c>
      <x:c r="F1333" s="14" t="n">
        <x:v>1.51</x:v>
      </x:c>
      <x:c r="G1333" s="14" t="n">
        <x:v>1.55</x:v>
      </x:c>
      <x:c r="H1333" s="14" t="n">
        <x:v>0.04</x:v>
      </x:c>
      <x:c r="I1333" s="14" t="n">
        <x:v>0</x:v>
      </x:c>
      <x:c r="J1333" s="7" t="str">
        <x:v>adopt, first_chunk</x:v>
      </x:c>
      <x:c r="K1333" s="7" t="str">
        <x:v>none</x:v>
      </x:c>
      <x:c r="L1333" s="14" t="n">
        <x:f>IF(G1333&lt;=I1333,0,MAX(0,L1327,L1332)+IF(E1333="via",MAX(0,G1333-MAX(F1333,I1333)),0))</x:f>
        <x:v>1.55</x:v>
      </x:c>
    </x:row>
    <x:row r="1334" ht="42" customHeight="1">
      <x:c r="A1334" s="12" t="str">
        <x:v>DP3-B-R2</x:v>
      </x:c>
      <x:c r="B1334" s="12" t="str">
        <x:v>U18</x:v>
      </x:c>
      <x:c r="C1334" s="12" t="str">
        <x:v>terminal</x:v>
      </x:c>
      <x:c r="D1334" s="12" t="str">
        <x:v>공통 목표 최종 상태와 전체 음성 준비</x:v>
      </x:c>
      <x:c r="E1334" s="12" t="str">
        <x:v>via</x:v>
      </x:c>
      <x:c r="F1334" s="13" t="n">
        <x:v>1.55</x:v>
      </x:c>
      <x:c r="G1334" s="13" t="n">
        <x:v>1.55</x:v>
      </x:c>
      <x:c r="H1334" s="13" t="n">
        <x:v>0</x:v>
      </x:c>
      <x:c r="I1334" s="13" t="n">
        <x:v>0</x:v>
      </x:c>
      <x:c r="J1334" s="12" t="str">
        <x:v>first_display, question_audio, first_audio_output, obsolete_audio</x:v>
      </x:c>
      <x:c r="K1334" s="12" t="str">
        <x:v>none</x:v>
      </x:c>
      <x:c r="L1334" s="13" t="n">
        <x:f>IF(G1334&lt;=I1334,0,MAX(0,L1328,L1330,L1333,L1331)+IF(E1334="via",MAX(0,G1334-MAX(F1334,I1334)),0))</x:f>
        <x:v>1.55</x:v>
      </x:c>
    </x:row>
    <x:row r="1335" ht="42" customHeight="1">
      <x:c r="A1335" s="7" t="str">
        <x:v>DP3-B-R2</x:v>
      </x:c>
      <x:c r="B1335" s="7" t="str">
        <x:v>U19</x:v>
      </x:c>
      <x:c r="C1335" s="7" t="str">
        <x:v>input_end</x:v>
      </x:c>
      <x:c r="D1335" s="7" t="str">
        <x:v>사용자 입력 종료</x:v>
      </x:c>
      <x:c r="E1335" s="7" t="str">
        <x:v>external</x:v>
      </x:c>
      <x:c r="F1335" s="14" t="n">
        <x:v>0</x:v>
      </x:c>
      <x:c r="G1335" s="14" t="n">
        <x:v>0</x:v>
      </x:c>
      <x:c r="H1335" s="14" t="n">
        <x:v>0</x:v>
      </x:c>
      <x:c r="I1335" s="14" t="n">
        <x:v>0</x:v>
      </x:c>
      <x:c r="J1335" s="7" t="str"/>
      <x:c r="K1335" s="7" t="str">
        <x:v>none</x:v>
      </x:c>
      <x:c r="L1335" s="14" t="n">
        <x:f>IF(G1335&lt;=I1335,0,MAX(0)+IF(E1335="via",MAX(0,G1335-MAX(F1335,I1335)),0))</x:f>
        <x:v>0</x:v>
      </x:c>
    </x:row>
    <x:row r="1336" ht="42" customHeight="1">
      <x:c r="A1336" s="12" t="str">
        <x:v>DP3-B-R2</x:v>
      </x:c>
      <x:c r="B1336" s="12" t="str">
        <x:v>U19</x:v>
      </x:c>
      <x:c r="C1336" s="12" t="str">
        <x:v>intake</x:v>
      </x:c>
      <x:c r="D1336" s="12" t="str">
        <x:v>입력 확정</x:v>
      </x:c>
      <x:c r="E1336" s="12" t="str">
        <x:v>via</x:v>
      </x:c>
      <x:c r="F1336" s="13" t="n">
        <x:v>0</x:v>
      </x:c>
      <x:c r="G1336" s="13" t="n">
        <x:v>0.3</x:v>
      </x:c>
      <x:c r="H1336" s="13" t="n">
        <x:v>0.3</x:v>
      </x:c>
      <x:c r="I1336" s="13" t="n">
        <x:v>0</x:v>
      </x:c>
      <x:c r="J1336" s="12" t="str">
        <x:v>input_end</x:v>
      </x:c>
      <x:c r="K1336" s="12" t="str">
        <x:v>none</x:v>
      </x:c>
      <x:c r="L1336" s="13" t="n">
        <x:f>IF(G1336&lt;=I1336,0,MAX(0,L1335)+IF(E1336="via",MAX(0,G1336-MAX(F1336,I1336)),0))</x:f>
        <x:v>0.3</x:v>
      </x:c>
    </x:row>
    <x:row r="1337" ht="42" customHeight="1">
      <x:c r="A1337" s="7" t="str">
        <x:v>DP3-B-R2</x:v>
      </x:c>
      <x:c r="B1337" s="7" t="str">
        <x:v>U19</x:v>
      </x:c>
      <x:c r="C1337" s="7" t="str">
        <x:v>read</x:v>
      </x:c>
      <x:c r="D1337" s="7" t="str">
        <x:v>공통 허용 원본 조회</x:v>
      </x:c>
      <x:c r="E1337" s="7" t="str">
        <x:v>via</x:v>
      </x:c>
      <x:c r="F1337" s="14" t="n">
        <x:v>0.3</x:v>
      </x:c>
      <x:c r="G1337" s="14" t="n">
        <x:v>0.38</x:v>
      </x:c>
      <x:c r="H1337" s="14" t="n">
        <x:v>0.08</x:v>
      </x:c>
      <x:c r="I1337" s="14" t="n">
        <x:v>0</x:v>
      </x:c>
      <x:c r="J1337" s="7" t="str">
        <x:v>intake</x:v>
      </x:c>
      <x:c r="K1337" s="7" t="str">
        <x:v>none</x:v>
      </x:c>
      <x:c r="L1337" s="14" t="n">
        <x:f>IF(G1337&lt;=I1337,0,MAX(0,L1336)+IF(E1337="via",MAX(0,G1337-MAX(F1337,I1337)),0))</x:f>
        <x:v>0.38</x:v>
      </x:c>
    </x:row>
    <x:row r="1338" ht="42" customHeight="1">
      <x:c r="A1338" s="12" t="str">
        <x:v>DP3-B-R2</x:v>
      </x:c>
      <x:c r="B1338" s="12" t="str">
        <x:v>U19</x:v>
      </x:c>
      <x:c r="C1338" s="12" t="str">
        <x:v>meaning</x:v>
      </x:c>
      <x:c r="D1338" s="12" t="str">
        <x:v>최초 요청 의미 채택 packet 생성</x:v>
      </x:c>
      <x:c r="E1338" s="12" t="str">
        <x:v>via</x:v>
      </x:c>
      <x:c r="F1338" s="13" t="n">
        <x:v>0.38</x:v>
      </x:c>
      <x:c r="G1338" s="13" t="n">
        <x:v>1.48</x:v>
      </x:c>
      <x:c r="H1338" s="13" t="n">
        <x:v>1.1</x:v>
      </x:c>
      <x:c r="I1338" s="13" t="n">
        <x:v>0</x:v>
      </x:c>
      <x:c r="J1338" s="12" t="str">
        <x:v>read</x:v>
      </x:c>
      <x:c r="K1338" s="12" t="str">
        <x:v>semantic</x:v>
      </x:c>
      <x:c r="L1338" s="13" t="n">
        <x:f>IF(G1338&lt;=I1338,0,MAX(0,L1337)+IF(E1338="via",MAX(0,G1338-MAX(F1338,I1338)),0))</x:f>
        <x:v>1.48</x:v>
      </x:c>
    </x:row>
    <x:row r="1339" ht="42" customHeight="1">
      <x:c r="A1339" s="7" t="str">
        <x:v>DP3-B-R2</x:v>
      </x:c>
      <x:c r="B1339" s="7" t="str">
        <x:v>U19</x:v>
      </x:c>
      <x:c r="C1339" s="7" t="str">
        <x:v>adopt</x:v>
      </x:c>
      <x:c r="D1339" s="7" t="str">
        <x:v>현재 revision과 권한 검사 및 채택</x:v>
      </x:c>
      <x:c r="E1339" s="7" t="str">
        <x:v>via</x:v>
      </x:c>
      <x:c r="F1339" s="14" t="n">
        <x:v>1.48</x:v>
      </x:c>
      <x:c r="G1339" s="14" t="n">
        <x:v>1.51</x:v>
      </x:c>
      <x:c r="H1339" s="14" t="n">
        <x:v>0.03</x:v>
      </x:c>
      <x:c r="I1339" s="14" t="n">
        <x:v>0</x:v>
      </x:c>
      <x:c r="J1339" s="7" t="str">
        <x:v>meaning</x:v>
      </x:c>
      <x:c r="K1339" s="7" t="str">
        <x:v>none</x:v>
      </x:c>
      <x:c r="L1339" s="14" t="n">
        <x:f>IF(G1339&lt;=I1339,0,MAX(0,L1338)+IF(E1339="via",MAX(0,G1339-MAX(F1339,I1339)),0))</x:f>
        <x:v>1.51</x:v>
      </x:c>
    </x:row>
    <x:row r="1340" ht="42" customHeight="1">
      <x:c r="A1340" s="12" t="str">
        <x:v>DP3-B-R2</x:v>
      </x:c>
      <x:c r="B1340" s="12" t="str">
        <x:v>U19</x:v>
      </x:c>
      <x:c r="C1340" s="12" t="str">
        <x:v>first_display</x:v>
      </x:c>
      <x:c r="D1340" s="12" t="str">
        <x:v>첫 구체적 채택 내용 화면 표시</x:v>
      </x:c>
      <x:c r="E1340" s="12" t="str">
        <x:v>via</x:v>
      </x:c>
      <x:c r="F1340" s="13" t="n">
        <x:v>1.51</x:v>
      </x:c>
      <x:c r="G1340" s="13" t="n">
        <x:v>1.55</x:v>
      </x:c>
      <x:c r="H1340" s="13" t="n">
        <x:v>0.04</x:v>
      </x:c>
      <x:c r="I1340" s="13" t="n">
        <x:v>0</x:v>
      </x:c>
      <x:c r="J1340" s="12" t="str">
        <x:v>adopt</x:v>
      </x:c>
      <x:c r="K1340" s="12" t="str">
        <x:v>none</x:v>
      </x:c>
      <x:c r="L1340" s="13" t="n">
        <x:f>IF(G1340&lt;=I1340,0,MAX(0,L1339)+IF(E1340="via",MAX(0,G1340-MAX(F1340,I1340)),0))</x:f>
        <x:v>1.55</x:v>
      </x:c>
    </x:row>
    <x:row r="1341" ht="42" customHeight="1">
      <x:c r="A1341" s="7" t="str">
        <x:v>DP3-B-R2</x:v>
      </x:c>
      <x:c r="B1341" s="7" t="str">
        <x:v>U19</x:v>
      </x:c>
      <x:c r="C1341" s="7" t="str">
        <x:v>question_arrival</x:v>
      </x:c>
      <x:c r="D1341" s="7" t="str">
        <x:v>Agent 질문 텍스트 도착</x:v>
      </x:c>
      <x:c r="E1341" s="7" t="str">
        <x:v>external</x:v>
      </x:c>
      <x:c r="F1341" s="14" t="n">
        <x:v>-0.5</x:v>
      </x:c>
      <x:c r="G1341" s="14" t="n">
        <x:v>-0.5</x:v>
      </x:c>
      <x:c r="H1341" s="14" t="n">
        <x:v>0</x:v>
      </x:c>
      <x:c r="I1341" s="14" t="n">
        <x:v>0</x:v>
      </x:c>
      <x:c r="J1341" s="7" t="str"/>
      <x:c r="K1341" s="7" t="str">
        <x:v>none</x:v>
      </x:c>
      <x:c r="L1341" s="14" t="n">
        <x:f>IF(G1341&lt;=I1341,0,MAX(0)+IF(E1341="via",MAX(0,G1341-MAX(F1341,I1341)),0))</x:f>
        <x:v>0</x:v>
      </x:c>
    </x:row>
    <x:row r="1342" ht="42" customHeight="1">
      <x:c r="A1342" s="12" t="str">
        <x:v>DP3-B-R2</x:v>
      </x:c>
      <x:c r="B1342" s="12" t="str">
        <x:v>U19</x:v>
      </x:c>
      <x:c r="C1342" s="12" t="str">
        <x:v>question_audio</x:v>
      </x:c>
      <x:c r="D1342" s="12" t="str">
        <x:v>선택한 응답 음성 생성</x:v>
      </x:c>
      <x:c r="E1342" s="12" t="str">
        <x:v>via</x:v>
      </x:c>
      <x:c r="F1342" s="13" t="n">
        <x:v>-0.5</x:v>
      </x:c>
      <x:c r="G1342" s="13" t="n">
        <x:v>1.388</x:v>
      </x:c>
      <x:c r="H1342" s="13" t="n">
        <x:v>1.888</x:v>
      </x:c>
      <x:c r="I1342" s="13" t="n">
        <x:v>0</x:v>
      </x:c>
      <x:c r="J1342" s="12" t="str">
        <x:v>question_arrival</x:v>
      </x:c>
      <x:c r="K1342" s="12" t="str">
        <x:v>speech</x:v>
      </x:c>
      <x:c r="L1342" s="13" t="n">
        <x:f>IF(G1342&lt;=I1342,0,MAX(0,L1341)+IF(E1342="via",MAX(0,G1342-MAX(F1342,I1342)),0))</x:f>
        <x:v>1.388</x:v>
      </x:c>
    </x:row>
    <x:row r="1343" ht="42" customHeight="1">
      <x:c r="A1343" s="7" t="str">
        <x:v>DP3-B-R2</x:v>
      </x:c>
      <x:c r="B1343" s="7" t="str">
        <x:v>U19</x:v>
      </x:c>
      <x:c r="C1343" s="7" t="str">
        <x:v>old_audio</x:v>
      </x:c>
      <x:c r="D1343" s="7" t="str">
        <x:v>중단 전 설명 생성</x:v>
      </x:c>
      <x:c r="E1343" s="7" t="str">
        <x:v>via</x:v>
      </x:c>
      <x:c r="F1343" s="14" t="n">
        <x:v>-2</x:v>
      </x:c>
      <x:c r="G1343" s="14" t="n">
        <x:v>7.428000000000001</x:v>
      </x:c>
      <x:c r="H1343" s="14" t="n">
        <x:v>9.428</x:v>
      </x:c>
      <x:c r="I1343" s="14" t="n">
        <x:v>0</x:v>
      </x:c>
      <x:c r="J1343" s="7" t="str"/>
      <x:c r="K1343" s="7" t="str">
        <x:v>speech</x:v>
      </x:c>
      <x:c r="L1343" s="14" t="n">
        <x:f>IF(G1343&lt;=I1343,0,MAX(0)+IF(E1343="via",MAX(0,G1343-MAX(F1343,I1343)),0))</x:f>
        <x:v>7.428000000000001</x:v>
      </x:c>
    </x:row>
    <x:row r="1344" ht="42" customHeight="1">
      <x:c r="A1344" s="12" t="str">
        <x:v>DP3-B-R2</x:v>
      </x:c>
      <x:c r="B1344" s="12" t="str">
        <x:v>U19</x:v>
      </x:c>
      <x:c r="C1344" s="12" t="str">
        <x:v>first_chunk</x:v>
      </x:c>
      <x:c r="D1344" s="12" t="str">
        <x:v>같은 생성 job의 유효 첫 chunk 관측</x:v>
      </x:c>
      <x:c r="E1344" s="12" t="str">
        <x:v>via</x:v>
      </x:c>
      <x:c r="F1344" s="13" t="n">
        <x:v>-0.5</x:v>
      </x:c>
      <x:c r="G1344" s="13" t="n">
        <x:v>-0.062</x:v>
      </x:c>
      <x:c r="H1344" s="13" t="n">
        <x:v>0.438</x:v>
      </x:c>
      <x:c r="I1344" s="13" t="n">
        <x:v>0</x:v>
      </x:c>
      <x:c r="J1344" s="12" t="str">
        <x:v>question_arrival</x:v>
      </x:c>
      <x:c r="K1344" s="12" t="str">
        <x:v>none</x:v>
      </x:c>
      <x:c r="L1344" s="13" t="n">
        <x:f>IF(G1344&lt;=I1344,0,MAX(0,L1341)+IF(E1344="via",MAX(0,G1344-MAX(F1344,I1344)),0))</x:f>
        <x:v>0</x:v>
      </x:c>
    </x:row>
    <x:row r="1345" ht="42" customHeight="1">
      <x:c r="A1345" s="7" t="str">
        <x:v>DP3-B-R2</x:v>
      </x:c>
      <x:c r="B1345" s="7" t="str">
        <x:v>U19</x:v>
      </x:c>
      <x:c r="C1345" s="7" t="str">
        <x:v>first_audio_output</x:v>
      </x:c>
      <x:c r="D1345" s="7" t="str">
        <x:v>공통 장치의 첫 음성 출력</x:v>
      </x:c>
      <x:c r="E1345" s="7" t="str">
        <x:v>via</x:v>
      </x:c>
      <x:c r="F1345" s="14" t="n">
        <x:v>1.51</x:v>
      </x:c>
      <x:c r="G1345" s="14" t="n">
        <x:v>1.55</x:v>
      </x:c>
      <x:c r="H1345" s="14" t="n">
        <x:v>0.04</x:v>
      </x:c>
      <x:c r="I1345" s="14" t="n">
        <x:v>0</x:v>
      </x:c>
      <x:c r="J1345" s="7" t="str">
        <x:v>adopt, first_chunk</x:v>
      </x:c>
      <x:c r="K1345" s="7" t="str">
        <x:v>none</x:v>
      </x:c>
      <x:c r="L1345" s="14" t="n">
        <x:f>IF(G1345&lt;=I1345,0,MAX(0,L1339,L1344)+IF(E1345="via",MAX(0,G1345-MAX(F1345,I1345)),0))</x:f>
        <x:v>1.55</x:v>
      </x:c>
    </x:row>
    <x:row r="1346" ht="42" customHeight="1">
      <x:c r="A1346" s="12" t="str">
        <x:v>DP3-B-R2</x:v>
      </x:c>
      <x:c r="B1346" s="12" t="str">
        <x:v>U19</x:v>
      </x:c>
      <x:c r="C1346" s="12" t="str">
        <x:v>question_play</x:v>
      </x:c>
      <x:c r="D1346" s="12" t="str">
        <x:v>첫 출력부터 질문 순수 재생 및 차례</x:v>
      </x:c>
      <x:c r="E1346" s="12" t="str">
        <x:v>external</x:v>
      </x:c>
      <x:c r="F1346" s="13" t="n">
        <x:v>1.55</x:v>
      </x:c>
      <x:c r="G1346" s="13" t="n">
        <x:v>7.55</x:v>
      </x:c>
      <x:c r="H1346" s="13" t="n">
        <x:v>6</x:v>
      </x:c>
      <x:c r="I1346" s="13" t="n">
        <x:v>0</x:v>
      </x:c>
      <x:c r="J1346" s="12" t="str">
        <x:v>first_audio_output</x:v>
      </x:c>
      <x:c r="K1346" s="12" t="str">
        <x:v>none</x:v>
      </x:c>
      <x:c r="L1346" s="13" t="n">
        <x:f>IF(G1346&lt;=I1346,0,MAX(0,L1345)+IF(E1346="via",MAX(0,G1346-MAX(F1346,I1346)),0))</x:f>
        <x:v>1.55</x:v>
      </x:c>
    </x:row>
    <x:row r="1347" ht="42" customHeight="1">
      <x:c r="A1347" s="7" t="str">
        <x:v>DP3-B-R2</x:v>
      </x:c>
      <x:c r="B1347" s="7" t="str">
        <x:v>U19</x:v>
      </x:c>
      <x:c r="C1347" s="7" t="str">
        <x:v>terminal</x:v>
      </x:c>
      <x:c r="D1347" s="7" t="str">
        <x:v>공통 목표 최종 상태와 전체 음성 준비</x:v>
      </x:c>
      <x:c r="E1347" s="7" t="str">
        <x:v>via</x:v>
      </x:c>
      <x:c r="F1347" s="14" t="n">
        <x:v>7.55</x:v>
      </x:c>
      <x:c r="G1347" s="14" t="n">
        <x:v>7.55</x:v>
      </x:c>
      <x:c r="H1347" s="14" t="n">
        <x:v>0</x:v>
      </x:c>
      <x:c r="I1347" s="14" t="n">
        <x:v>0</x:v>
      </x:c>
      <x:c r="J1347" s="7" t="str">
        <x:v>first_display, question_audio, first_audio_output, question_play, old_audio</x:v>
      </x:c>
      <x:c r="K1347" s="7" t="str">
        <x:v>none</x:v>
      </x:c>
      <x:c r="L1347" s="14" t="n">
        <x:f>IF(G1347&lt;=I1347,0,MAX(0,L1340,L1342,L1345,L1346,L1343)+IF(E1347="via",MAX(0,G1347-MAX(F1347,I1347)),0))</x:f>
        <x:v>7.428000000000001</x:v>
      </x:c>
    </x:row>
    <x:row r="1348" ht="42" customHeight="1">
      <x:c r="A1348" s="12" t="str">
        <x:v>DP3-B-R2</x:v>
      </x:c>
      <x:c r="B1348" s="12" t="str">
        <x:v>U20</x:v>
      </x:c>
      <x:c r="C1348" s="12" t="str">
        <x:v>input_end</x:v>
      </x:c>
      <x:c r="D1348" s="12" t="str">
        <x:v>사용자 입력 종료</x:v>
      </x:c>
      <x:c r="E1348" s="12" t="str">
        <x:v>external</x:v>
      </x:c>
      <x:c r="F1348" s="13" t="n">
        <x:v>0</x:v>
      </x:c>
      <x:c r="G1348" s="13" t="n">
        <x:v>0</x:v>
      </x:c>
      <x:c r="H1348" s="13" t="n">
        <x:v>0</x:v>
      </x:c>
      <x:c r="I1348" s="13" t="n">
        <x:v>0</x:v>
      </x:c>
      <x:c r="J1348" s="12" t="str"/>
      <x:c r="K1348" s="12" t="str">
        <x:v>none</x:v>
      </x:c>
      <x:c r="L1348" s="13" t="n">
        <x:f>IF(G1348&lt;=I1348,0,MAX(0)+IF(E1348="via",MAX(0,G1348-MAX(F1348,I1348)),0))</x:f>
        <x:v>0</x:v>
      </x:c>
    </x:row>
    <x:row r="1349" ht="42" customHeight="1">
      <x:c r="A1349" s="7" t="str">
        <x:v>DP3-B-R2</x:v>
      </x:c>
      <x:c r="B1349" s="7" t="str">
        <x:v>U20</x:v>
      </x:c>
      <x:c r="C1349" s="7" t="str">
        <x:v>intake</x:v>
      </x:c>
      <x:c r="D1349" s="7" t="str">
        <x:v>입력 확정</x:v>
      </x:c>
      <x:c r="E1349" s="7" t="str">
        <x:v>via</x:v>
      </x:c>
      <x:c r="F1349" s="14" t="n">
        <x:v>0</x:v>
      </x:c>
      <x:c r="G1349" s="14" t="n">
        <x:v>0.3</x:v>
      </x:c>
      <x:c r="H1349" s="14" t="n">
        <x:v>0.3</x:v>
      </x:c>
      <x:c r="I1349" s="14" t="n">
        <x:v>0</x:v>
      </x:c>
      <x:c r="J1349" s="7" t="str">
        <x:v>input_end</x:v>
      </x:c>
      <x:c r="K1349" s="7" t="str">
        <x:v>none</x:v>
      </x:c>
      <x:c r="L1349" s="14" t="n">
        <x:f>IF(G1349&lt;=I1349,0,MAX(0,L1348)+IF(E1349="via",MAX(0,G1349-MAX(F1349,I1349)),0))</x:f>
        <x:v>0.3</x:v>
      </x:c>
    </x:row>
    <x:row r="1350" ht="42" customHeight="1">
      <x:c r="A1350" s="12" t="str">
        <x:v>DP3-B-R2</x:v>
      </x:c>
      <x:c r="B1350" s="12" t="str">
        <x:v>U20</x:v>
      </x:c>
      <x:c r="C1350" s="12" t="str">
        <x:v>read</x:v>
      </x:c>
      <x:c r="D1350" s="12" t="str">
        <x:v>공통 허용 원본 조회</x:v>
      </x:c>
      <x:c r="E1350" s="12" t="str">
        <x:v>via</x:v>
      </x:c>
      <x:c r="F1350" s="13" t="n">
        <x:v>0.3</x:v>
      </x:c>
      <x:c r="G1350" s="13" t="n">
        <x:v>0.38</x:v>
      </x:c>
      <x:c r="H1350" s="13" t="n">
        <x:v>0.08</x:v>
      </x:c>
      <x:c r="I1350" s="13" t="n">
        <x:v>0</x:v>
      </x:c>
      <x:c r="J1350" s="12" t="str">
        <x:v>intake</x:v>
      </x:c>
      <x:c r="K1350" s="12" t="str">
        <x:v>none</x:v>
      </x:c>
      <x:c r="L1350" s="13" t="n">
        <x:f>IF(G1350&lt;=I1350,0,MAX(0,L1349)+IF(E1350="via",MAX(0,G1350-MAX(F1350,I1350)),0))</x:f>
        <x:v>0.38</x:v>
      </x:c>
    </x:row>
    <x:row r="1351" ht="42" customHeight="1">
      <x:c r="A1351" s="7" t="str">
        <x:v>DP3-B-R2</x:v>
      </x:c>
      <x:c r="B1351" s="7" t="str">
        <x:v>U20</x:v>
      </x:c>
      <x:c r="C1351" s="7" t="str">
        <x:v>meaning</x:v>
      </x:c>
      <x:c r="D1351" s="7" t="str">
        <x:v>최초 요청 의미 채택 packet 생성</x:v>
      </x:c>
      <x:c r="E1351" s="7" t="str">
        <x:v>via</x:v>
      </x:c>
      <x:c r="F1351" s="14" t="n">
        <x:v>0.38</x:v>
      </x:c>
      <x:c r="G1351" s="14" t="n">
        <x:v>1.48</x:v>
      </x:c>
      <x:c r="H1351" s="14" t="n">
        <x:v>1.1</x:v>
      </x:c>
      <x:c r="I1351" s="14" t="n">
        <x:v>0</x:v>
      </x:c>
      <x:c r="J1351" s="7" t="str">
        <x:v>read</x:v>
      </x:c>
      <x:c r="K1351" s="7" t="str">
        <x:v>semantic</x:v>
      </x:c>
      <x:c r="L1351" s="14" t="n">
        <x:f>IF(G1351&lt;=I1351,0,MAX(0,L1350)+IF(E1351="via",MAX(0,G1351-MAX(F1351,I1351)),0))</x:f>
        <x:v>1.48</x:v>
      </x:c>
    </x:row>
    <x:row r="1352" ht="42" customHeight="1">
      <x:c r="A1352" s="12" t="str">
        <x:v>DP3-B-R2</x:v>
      </x:c>
      <x:c r="B1352" s="12" t="str">
        <x:v>U20</x:v>
      </x:c>
      <x:c r="C1352" s="12" t="str">
        <x:v>adopt</x:v>
      </x:c>
      <x:c r="D1352" s="12" t="str">
        <x:v>현재 revision과 권한 검사 및 채택</x:v>
      </x:c>
      <x:c r="E1352" s="12" t="str">
        <x:v>via</x:v>
      </x:c>
      <x:c r="F1352" s="13" t="n">
        <x:v>1.48</x:v>
      </x:c>
      <x:c r="G1352" s="13" t="n">
        <x:v>1.51</x:v>
      </x:c>
      <x:c r="H1352" s="13" t="n">
        <x:v>0.03</x:v>
      </x:c>
      <x:c r="I1352" s="13" t="n">
        <x:v>0</x:v>
      </x:c>
      <x:c r="J1352" s="12" t="str">
        <x:v>meaning</x:v>
      </x:c>
      <x:c r="K1352" s="12" t="str">
        <x:v>none</x:v>
      </x:c>
      <x:c r="L1352" s="13" t="n">
        <x:f>IF(G1352&lt;=I1352,0,MAX(0,L1351)+IF(E1352="via",MAX(0,G1352-MAX(F1352,I1352)),0))</x:f>
        <x:v>1.51</x:v>
      </x:c>
    </x:row>
    <x:row r="1353" ht="42" customHeight="1">
      <x:c r="A1353" s="7" t="str">
        <x:v>DP3-B-R2</x:v>
      </x:c>
      <x:c r="B1353" s="7" t="str">
        <x:v>U20</x:v>
      </x:c>
      <x:c r="C1353" s="7" t="str">
        <x:v>first_display</x:v>
      </x:c>
      <x:c r="D1353" s="7" t="str">
        <x:v>첫 구체적 채택 내용 화면 표시</x:v>
      </x:c>
      <x:c r="E1353" s="7" t="str">
        <x:v>via</x:v>
      </x:c>
      <x:c r="F1353" s="14" t="n">
        <x:v>1.51</x:v>
      </x:c>
      <x:c r="G1353" s="14" t="n">
        <x:v>1.55</x:v>
      </x:c>
      <x:c r="H1353" s="14" t="n">
        <x:v>0.04</x:v>
      </x:c>
      <x:c r="I1353" s="14" t="n">
        <x:v>0</x:v>
      </x:c>
      <x:c r="J1353" s="7" t="str">
        <x:v>adopt</x:v>
      </x:c>
      <x:c r="K1353" s="7" t="str">
        <x:v>none</x:v>
      </x:c>
      <x:c r="L1353" s="14" t="n">
        <x:f>IF(G1353&lt;=I1353,0,MAX(0,L1352)+IF(E1353="via",MAX(0,G1353-MAX(F1353,I1353)),0))</x:f>
        <x:v>1.55</x:v>
      </x:c>
    </x:row>
    <x:row r="1354" ht="42" customHeight="1">
      <x:c r="A1354" s="12" t="str">
        <x:v>DP3-B-R2</x:v>
      </x:c>
      <x:c r="B1354" s="12" t="str">
        <x:v>U20</x:v>
      </x:c>
      <x:c r="C1354" s="12" t="str">
        <x:v>existing_audio</x:v>
      </x:c>
      <x:c r="D1354" s="12" t="str">
        <x:v>공통 유효 audio 초기 상태</x:v>
      </x:c>
      <x:c r="E1354" s="12" t="str">
        <x:v>external</x:v>
      </x:c>
      <x:c r="F1354" s="13" t="n">
        <x:v>-12</x:v>
      </x:c>
      <x:c r="G1354" s="13" t="n">
        <x:v>-12</x:v>
      </x:c>
      <x:c r="H1354" s="13" t="n">
        <x:v>0</x:v>
      </x:c>
      <x:c r="I1354" s="13" t="n">
        <x:v>0</x:v>
      </x:c>
      <x:c r="J1354" s="12" t="str"/>
      <x:c r="K1354" s="12" t="str">
        <x:v>none</x:v>
      </x:c>
      <x:c r="L1354" s="13" t="n">
        <x:f>IF(G1354&lt;=I1354,0,MAX(0)+IF(E1354="via",MAX(0,G1354-MAX(F1354,I1354)),0))</x:f>
        <x:v>0</x:v>
      </x:c>
    </x:row>
    <x:row r="1355" ht="42" customHeight="1">
      <x:c r="A1355" s="7" t="str">
        <x:v>DP3-B-R2</x:v>
      </x:c>
      <x:c r="B1355" s="7" t="str">
        <x:v>U20</x:v>
      </x:c>
      <x:c r="C1355" s="7" t="str">
        <x:v>first_audio_output</x:v>
      </x:c>
      <x:c r="D1355" s="7" t="str">
        <x:v>공통 장치의 첫 음성 출력</x:v>
      </x:c>
      <x:c r="E1355" s="7" t="str">
        <x:v>via</x:v>
      </x:c>
      <x:c r="F1355" s="14" t="n">
        <x:v>1.51</x:v>
      </x:c>
      <x:c r="G1355" s="14" t="n">
        <x:v>1.55</x:v>
      </x:c>
      <x:c r="H1355" s="14" t="n">
        <x:v>0.04</x:v>
      </x:c>
      <x:c r="I1355" s="14" t="n">
        <x:v>0</x:v>
      </x:c>
      <x:c r="J1355" s="7" t="str">
        <x:v>adopt, existing_audio</x:v>
      </x:c>
      <x:c r="K1355" s="7" t="str">
        <x:v>none</x:v>
      </x:c>
      <x:c r="L1355" s="14" t="n">
        <x:f>IF(G1355&lt;=I1355,0,MAX(0,L1352,L1354)+IF(E1355="via",MAX(0,G1355-MAX(F1355,I1355)),0))</x:f>
        <x:v>1.55</x:v>
      </x:c>
    </x:row>
    <x:row r="1356" ht="42" customHeight="1">
      <x:c r="A1356" s="12" t="str">
        <x:v>DP3-B-R2</x:v>
      </x:c>
      <x:c r="B1356" s="12" t="str">
        <x:v>U20</x:v>
      </x:c>
      <x:c r="C1356" s="12" t="str">
        <x:v>terminal</x:v>
      </x:c>
      <x:c r="D1356" s="12" t="str">
        <x:v>공통 목표 최종 상태와 전체 음성 준비</x:v>
      </x:c>
      <x:c r="E1356" s="12" t="str">
        <x:v>via</x:v>
      </x:c>
      <x:c r="F1356" s="13" t="n">
        <x:v>1.55</x:v>
      </x:c>
      <x:c r="G1356" s="13" t="n">
        <x:v>1.55</x:v>
      </x:c>
      <x:c r="H1356" s="13" t="n">
        <x:v>0</x:v>
      </x:c>
      <x:c r="I1356" s="13" t="n">
        <x:v>0</x:v>
      </x:c>
      <x:c r="J1356" s="12" t="str">
        <x:v>first_display, existing_audio, first_audio_output</x:v>
      </x:c>
      <x:c r="K1356" s="12" t="str">
        <x:v>none</x:v>
      </x:c>
      <x:c r="L1356" s="13" t="n">
        <x:f>IF(G1356&lt;=I1356,0,MAX(0,L1353,L1354,L1355)+IF(E1356="via",MAX(0,G1356-MAX(F1356,I1356)),0))</x:f>
        <x:v>1.55</x:v>
      </x:c>
    </x:row>
    <x:row r="1357" ht="42" customHeight="1">
      <x:c r="A1357" s="7" t="str">
        <x:v>DP3-B-R2</x:v>
      </x:c>
      <x:c r="B1357" s="7" t="str">
        <x:v>U21</x:v>
      </x:c>
      <x:c r="C1357" s="7" t="str">
        <x:v>bg1</x:v>
      </x:c>
      <x:c r="D1357" s="7" t="str">
        <x:v>진행 중인 현재 대화의 의미 step</x:v>
      </x:c>
      <x:c r="E1357" s="7" t="str">
        <x:v>via</x:v>
      </x:c>
      <x:c r="F1357" s="14" t="n">
        <x:v>-1</x:v>
      </x:c>
      <x:c r="G1357" s="14" t="n">
        <x:v>2.4</x:v>
      </x:c>
      <x:c r="H1357" s="14" t="n">
        <x:v>3.4</x:v>
      </x:c>
      <x:c r="I1357" s="14" t="n">
        <x:v>0</x:v>
      </x:c>
      <x:c r="J1357" s="7" t="str"/>
      <x:c r="K1357" s="7" t="str">
        <x:v>semantic</x:v>
      </x:c>
      <x:c r="L1357" s="14" t="n">
        <x:f>IF(G1357&lt;=I1357,0,MAX(0)+IF(E1357="via",MAX(0,G1357-MAX(F1357,I1357)),0))</x:f>
        <x:v>2.4</x:v>
      </x:c>
    </x:row>
    <x:row r="1358" ht="42" customHeight="1">
      <x:c r="A1358" s="12" t="str">
        <x:v>DP3-B-R2</x:v>
      </x:c>
      <x:c r="B1358" s="12" t="str">
        <x:v>U21</x:v>
      </x:c>
      <x:c r="C1358" s="12" t="str">
        <x:v>input_end</x:v>
      </x:c>
      <x:c r="D1358" s="12" t="str">
        <x:v>사용자 입력 종료</x:v>
      </x:c>
      <x:c r="E1358" s="12" t="str">
        <x:v>external</x:v>
      </x:c>
      <x:c r="F1358" s="13" t="n">
        <x:v>0</x:v>
      </x:c>
      <x:c r="G1358" s="13" t="n">
        <x:v>0</x:v>
      </x:c>
      <x:c r="H1358" s="13" t="n">
        <x:v>0</x:v>
      </x:c>
      <x:c r="I1358" s="13" t="n">
        <x:v>0</x:v>
      </x:c>
      <x:c r="J1358" s="12" t="str"/>
      <x:c r="K1358" s="12" t="str">
        <x:v>none</x:v>
      </x:c>
      <x:c r="L1358" s="13" t="n">
        <x:f>IF(G1358&lt;=I1358,0,MAX(0)+IF(E1358="via",MAX(0,G1358-MAX(F1358,I1358)),0))</x:f>
        <x:v>0</x:v>
      </x:c>
    </x:row>
    <x:row r="1359" ht="42" customHeight="1">
      <x:c r="A1359" s="7" t="str">
        <x:v>DP3-B-R2</x:v>
      </x:c>
      <x:c r="B1359" s="7" t="str">
        <x:v>U21</x:v>
      </x:c>
      <x:c r="C1359" s="7" t="str">
        <x:v>intake</x:v>
      </x:c>
      <x:c r="D1359" s="7" t="str">
        <x:v>입력 확정</x:v>
      </x:c>
      <x:c r="E1359" s="7" t="str">
        <x:v>via</x:v>
      </x:c>
      <x:c r="F1359" s="14" t="n">
        <x:v>0</x:v>
      </x:c>
      <x:c r="G1359" s="14" t="n">
        <x:v>0.3</x:v>
      </x:c>
      <x:c r="H1359" s="14" t="n">
        <x:v>0.3</x:v>
      </x:c>
      <x:c r="I1359" s="14" t="n">
        <x:v>0</x:v>
      </x:c>
      <x:c r="J1359" s="7" t="str">
        <x:v>input_end</x:v>
      </x:c>
      <x:c r="K1359" s="7" t="str">
        <x:v>none</x:v>
      </x:c>
      <x:c r="L1359" s="14" t="n">
        <x:f>IF(G1359&lt;=I1359,0,MAX(0,L1358)+IF(E1359="via",MAX(0,G1359-MAX(F1359,I1359)),0))</x:f>
        <x:v>0.3</x:v>
      </x:c>
    </x:row>
    <x:row r="1360" ht="42" customHeight="1">
      <x:c r="A1360" s="12" t="str">
        <x:v>DP3-B-R2</x:v>
      </x:c>
      <x:c r="B1360" s="12" t="str">
        <x:v>U21</x:v>
      </x:c>
      <x:c r="C1360" s="12" t="str">
        <x:v>read</x:v>
      </x:c>
      <x:c r="D1360" s="12" t="str">
        <x:v>공통 허용 원본 조회</x:v>
      </x:c>
      <x:c r="E1360" s="12" t="str">
        <x:v>via</x:v>
      </x:c>
      <x:c r="F1360" s="13" t="n">
        <x:v>0.3</x:v>
      </x:c>
      <x:c r="G1360" s="13" t="n">
        <x:v>0.38</x:v>
      </x:c>
      <x:c r="H1360" s="13" t="n">
        <x:v>0.08</x:v>
      </x:c>
      <x:c r="I1360" s="13" t="n">
        <x:v>0</x:v>
      </x:c>
      <x:c r="J1360" s="12" t="str">
        <x:v>intake</x:v>
      </x:c>
      <x:c r="K1360" s="12" t="str">
        <x:v>none</x:v>
      </x:c>
      <x:c r="L1360" s="13" t="n">
        <x:f>IF(G1360&lt;=I1360,0,MAX(0,L1359)+IF(E1360="via",MAX(0,G1360-MAX(F1360,I1360)),0))</x:f>
        <x:v>0.38</x:v>
      </x:c>
    </x:row>
    <x:row r="1361" ht="42" customHeight="1">
      <x:c r="A1361" s="7" t="str">
        <x:v>DP3-B-R2</x:v>
      </x:c>
      <x:c r="B1361" s="7" t="str">
        <x:v>U21</x:v>
      </x:c>
      <x:c r="C1361" s="7" t="str">
        <x:v>now_ui_boot</x:v>
      </x:c>
      <x:c r="D1361" s="7" t="str">
        <x:v>ui runtime 시작</x:v>
      </x:c>
      <x:c r="E1361" s="7" t="str">
        <x:v>via</x:v>
      </x:c>
      <x:c r="F1361" s="14" t="n">
        <x:v>0.38</x:v>
      </x:c>
      <x:c r="G1361" s="14" t="n">
        <x:v>1.58</x:v>
      </x:c>
      <x:c r="H1361" s="14" t="n">
        <x:v>1.2</x:v>
      </x:c>
      <x:c r="I1361" s="14" t="n">
        <x:v>0</x:v>
      </x:c>
      <x:c r="J1361" s="7" t="str">
        <x:v>read</x:v>
      </x:c>
      <x:c r="K1361" s="7" t="str">
        <x:v>visual</x:v>
      </x:c>
      <x:c r="L1361" s="14" t="n">
        <x:f>IF(G1361&lt;=I1361,0,MAX(0,L1360)+IF(E1361="via",MAX(0,G1361-MAX(F1361,I1361)),0))</x:f>
        <x:v>1.58</x:v>
      </x:c>
    </x:row>
    <x:row r="1362" ht="42" customHeight="1">
      <x:c r="A1362" s="12" t="str">
        <x:v>DP3-B-R2</x:v>
      </x:c>
      <x:c r="B1362" s="12" t="str">
        <x:v>U21</x:v>
      </x:c>
      <x:c r="C1362" s="12" t="str">
        <x:v>now_ui_load</x:v>
      </x:c>
      <x:c r="D1362" s="12" t="str">
        <x:v>ui 모델 적재</x:v>
      </x:c>
      <x:c r="E1362" s="12" t="str">
        <x:v>via</x:v>
      </x:c>
      <x:c r="F1362" s="13" t="n">
        <x:v>1.58</x:v>
      </x:c>
      <x:c r="G1362" s="13" t="n">
        <x:v>2.68</x:v>
      </x:c>
      <x:c r="H1362" s="13" t="n">
        <x:v>1.1</x:v>
      </x:c>
      <x:c r="I1362" s="13" t="n">
        <x:v>0</x:v>
      </x:c>
      <x:c r="J1362" s="12" t="str">
        <x:v>read, now_ui_boot</x:v>
      </x:c>
      <x:c r="K1362" s="12" t="str">
        <x:v>visual</x:v>
      </x:c>
      <x:c r="L1362" s="13" t="n">
        <x:f>IF(G1362&lt;=I1362,0,MAX(0,L1360,L1361)+IF(E1362="via",MAX(0,G1362-MAX(F1362,I1362)),0))</x:f>
        <x:v>2.68</x:v>
      </x:c>
    </x:row>
    <x:row r="1363" ht="42" customHeight="1">
      <x:c r="A1363" s="7" t="str">
        <x:v>DP3-B-R2</x:v>
      </x:c>
      <x:c r="B1363" s="7" t="str">
        <x:v>U21</x:v>
      </x:c>
      <x:c r="C1363" s="7" t="str">
        <x:v>now_ui_infer</x:v>
      </x:c>
      <x:c r="D1363" s="7" t="str">
        <x:v>ui 후보 생산</x:v>
      </x:c>
      <x:c r="E1363" s="7" t="str">
        <x:v>via</x:v>
      </x:c>
      <x:c r="F1363" s="14" t="n">
        <x:v>2.68</x:v>
      </x:c>
      <x:c r="G1363" s="14" t="n">
        <x:v>4.28</x:v>
      </x:c>
      <x:c r="H1363" s="14" t="n">
        <x:v>1.6</x:v>
      </x:c>
      <x:c r="I1363" s="14" t="n">
        <x:v>0</x:v>
      </x:c>
      <x:c r="J1363" s="7" t="str">
        <x:v>now_ui_load</x:v>
      </x:c>
      <x:c r="K1363" s="7" t="str">
        <x:v>visual</x:v>
      </x:c>
      <x:c r="L1363" s="14" t="n">
        <x:f>IF(G1363&lt;=I1363,0,MAX(0,L1362)+IF(E1363="via",MAX(0,G1363-MAX(F1363,I1363)),0))</x:f>
        <x:v>4.28</x:v>
      </x:c>
    </x:row>
    <x:row r="1364" ht="42" customHeight="1">
      <x:c r="A1364" s="12" t="str">
        <x:v>DP3-B-R2</x:v>
      </x:c>
      <x:c r="B1364" s="12" t="str">
        <x:v>U21</x:v>
      </x:c>
      <x:c r="C1364" s="12" t="str">
        <x:v>meaning</x:v>
      </x:c>
      <x:c r="D1364" s="12" t="str">
        <x:v>최초 요청 의미 채택 packet 생성</x:v>
      </x:c>
      <x:c r="E1364" s="12" t="str">
        <x:v>via</x:v>
      </x:c>
      <x:c r="F1364" s="13" t="n">
        <x:v>4.28</x:v>
      </x:c>
      <x:c r="G1364" s="13" t="n">
        <x:v>5.866666666666667</x:v>
      </x:c>
      <x:c r="H1364" s="13" t="n">
        <x:v>1.5866666666666667</x:v>
      </x:c>
      <x:c r="I1364" s="13" t="n">
        <x:v>0</x:v>
      </x:c>
      <x:c r="J1364" s="12" t="str">
        <x:v>now_ui_infer, bg1</x:v>
      </x:c>
      <x:c r="K1364" s="12" t="str">
        <x:v>semantic</x:v>
      </x:c>
      <x:c r="L1364" s="13" t="n">
        <x:f>IF(G1364&lt;=I1364,0,MAX(0,L1363,L1357)+IF(E1364="via",MAX(0,G1364-MAX(F1364,I1364)),0))</x:f>
        <x:v>5.866666666666667</x:v>
      </x:c>
    </x:row>
    <x:row r="1365" ht="42" customHeight="1">
      <x:c r="A1365" s="7" t="str">
        <x:v>DP3-B-R2</x:v>
      </x:c>
      <x:c r="B1365" s="7" t="str">
        <x:v>U21</x:v>
      </x:c>
      <x:c r="C1365" s="7" t="str">
        <x:v>adopt</x:v>
      </x:c>
      <x:c r="D1365" s="7" t="str">
        <x:v>현재 revision과 권한 검사 및 채택</x:v>
      </x:c>
      <x:c r="E1365" s="7" t="str">
        <x:v>via</x:v>
      </x:c>
      <x:c r="F1365" s="14" t="n">
        <x:v>5.866666666666667</x:v>
      </x:c>
      <x:c r="G1365" s="14" t="n">
        <x:v>5.896666666666667</x:v>
      </x:c>
      <x:c r="H1365" s="14" t="n">
        <x:v>0.03</x:v>
      </x:c>
      <x:c r="I1365" s="14" t="n">
        <x:v>0</x:v>
      </x:c>
      <x:c r="J1365" s="7" t="str">
        <x:v>meaning</x:v>
      </x:c>
      <x:c r="K1365" s="7" t="str">
        <x:v>none</x:v>
      </x:c>
      <x:c r="L1365" s="14" t="n">
        <x:f>IF(G1365&lt;=I1365,0,MAX(0,L1364)+IF(E1365="via",MAX(0,G1365-MAX(F1365,I1365)),0))</x:f>
        <x:v>5.896666666666667</x:v>
      </x:c>
    </x:row>
    <x:row r="1366" ht="42" customHeight="1">
      <x:c r="A1366" s="12" t="str">
        <x:v>DP3-B-R2</x:v>
      </x:c>
      <x:c r="B1366" s="12" t="str">
        <x:v>U21</x:v>
      </x:c>
      <x:c r="C1366" s="12" t="str">
        <x:v>first_display</x:v>
      </x:c>
      <x:c r="D1366" s="12" t="str">
        <x:v>첫 구체적 채택 내용 화면 표시</x:v>
      </x:c>
      <x:c r="E1366" s="12" t="str">
        <x:v>via</x:v>
      </x:c>
      <x:c r="F1366" s="13" t="n">
        <x:v>5.896666666666667</x:v>
      </x:c>
      <x:c r="G1366" s="13" t="n">
        <x:v>5.936666666666667</x:v>
      </x:c>
      <x:c r="H1366" s="13" t="n">
        <x:v>0.04</x:v>
      </x:c>
      <x:c r="I1366" s="13" t="n">
        <x:v>0</x:v>
      </x:c>
      <x:c r="J1366" s="12" t="str">
        <x:v>adopt</x:v>
      </x:c>
      <x:c r="K1366" s="12" t="str">
        <x:v>none</x:v>
      </x:c>
      <x:c r="L1366" s="13" t="n">
        <x:f>IF(G1366&lt;=I1366,0,MAX(0,L1365)+IF(E1366="via",MAX(0,G1366-MAX(F1366,I1366)),0))</x:f>
        <x:v>5.936666666666667</x:v>
      </x:c>
    </x:row>
    <x:row r="1367" ht="42" customHeight="1">
      <x:c r="A1367" s="7" t="str">
        <x:v>DP3-B-R2</x:v>
      </x:c>
      <x:c r="B1367" s="7" t="str">
        <x:v>U21</x:v>
      </x:c>
      <x:c r="C1367" s="7" t="str">
        <x:v>agent_ingress</x:v>
      </x:c>
      <x:c r="D1367" s="7" t="str">
        <x:v>Agent 요청 전송</x:v>
      </x:c>
      <x:c r="E1367" s="7" t="str">
        <x:v>via</x:v>
      </x:c>
      <x:c r="F1367" s="14" t="n">
        <x:v>5.896666666666667</x:v>
      </x:c>
      <x:c r="G1367" s="14" t="n">
        <x:v>5.936666666666667</x:v>
      </x:c>
      <x:c r="H1367" s="14" t="n">
        <x:v>0.04</x:v>
      </x:c>
      <x:c r="I1367" s="14" t="n">
        <x:v>0</x:v>
      </x:c>
      <x:c r="J1367" s="7" t="str">
        <x:v>adopt</x:v>
      </x:c>
      <x:c r="K1367" s="7" t="str">
        <x:v>none</x:v>
      </x:c>
      <x:c r="L1367" s="14" t="n">
        <x:f>IF(G1367&lt;=I1367,0,MAX(0,L1365)+IF(E1367="via",MAX(0,G1367-MAX(F1367,I1367)),0))</x:f>
        <x:v>5.936666666666667</x:v>
      </x:c>
    </x:row>
    <x:row r="1368" ht="42" customHeight="1">
      <x:c r="A1368" s="12" t="str">
        <x:v>DP3-B-R2</x:v>
      </x:c>
      <x:c r="B1368" s="12" t="str">
        <x:v>U21</x:v>
      </x:c>
      <x:c r="C1368" s="12" t="str">
        <x:v>agent_result</x:v>
      </x:c>
      <x:c r="D1368" s="12" t="str">
        <x:v>외부 Agent 업무</x:v>
      </x:c>
      <x:c r="E1368" s="12" t="str">
        <x:v>external</x:v>
      </x:c>
      <x:c r="F1368" s="13" t="n">
        <x:v>5.936666666666667</x:v>
      </x:c>
      <x:c r="G1368" s="13" t="n">
        <x:v>13.936666666666667</x:v>
      </x:c>
      <x:c r="H1368" s="13" t="n">
        <x:v>8</x:v>
      </x:c>
      <x:c r="I1368" s="13" t="n">
        <x:v>0</x:v>
      </x:c>
      <x:c r="J1368" s="12" t="str">
        <x:v>agent_ingress</x:v>
      </x:c>
      <x:c r="K1368" s="12" t="str">
        <x:v>none</x:v>
      </x:c>
      <x:c r="L1368" s="13" t="n">
        <x:f>IF(G1368&lt;=I1368,0,MAX(0,L1367)+IF(E1368="via",MAX(0,G1368-MAX(F1368,I1368)),0))</x:f>
        <x:v>5.936666666666667</x:v>
      </x:c>
    </x:row>
    <x:row r="1369" ht="42" customHeight="1">
      <x:c r="A1369" s="7" t="str">
        <x:v>DP3-B-R2</x:v>
      </x:c>
      <x:c r="B1369" s="7" t="str">
        <x:v>U21</x:v>
      </x:c>
      <x:c r="C1369" s="7" t="str">
        <x:v>result_display</x:v>
      </x:c>
      <x:c r="D1369" s="7" t="str">
        <x:v>최종 결과 상세 표시</x:v>
      </x:c>
      <x:c r="E1369" s="7" t="str">
        <x:v>via</x:v>
      </x:c>
      <x:c r="F1369" s="14" t="n">
        <x:v>13.936666666666667</x:v>
      </x:c>
      <x:c r="G1369" s="14" t="n">
        <x:v>13.976666666666667</x:v>
      </x:c>
      <x:c r="H1369" s="14" t="n">
        <x:v>0.04</x:v>
      </x:c>
      <x:c r="I1369" s="14" t="n">
        <x:v>0</x:v>
      </x:c>
      <x:c r="J1369" s="7" t="str">
        <x:v>agent_result</x:v>
      </x:c>
      <x:c r="K1369" s="7" t="str">
        <x:v>none</x:v>
      </x:c>
      <x:c r="L1369" s="14" t="n">
        <x:f>IF(G1369&lt;=I1369,0,MAX(0,L1368)+IF(E1369="via",MAX(0,G1369-MAX(F1369,I1369)),0))</x:f>
        <x:v>5.976666666666667</x:v>
      </x:c>
    </x:row>
    <x:row r="1370" ht="42" customHeight="1">
      <x:c r="A1370" s="12" t="str">
        <x:v>DP3-B-R2</x:v>
      </x:c>
      <x:c r="B1370" s="12" t="str">
        <x:v>U21</x:v>
      </x:c>
      <x:c r="C1370" s="12" t="str">
        <x:v>response_audio</x:v>
      </x:c>
      <x:c r="D1370" s="12" t="str">
        <x:v>선택한 응답 음성 생성</x:v>
      </x:c>
      <x:c r="E1370" s="12" t="str">
        <x:v>via</x:v>
      </x:c>
      <x:c r="F1370" s="13" t="n">
        <x:v>13.936666666666667</x:v>
      </x:c>
      <x:c r="G1370" s="13" t="n">
        <x:v>15.824666666666667</x:v>
      </x:c>
      <x:c r="H1370" s="13" t="n">
        <x:v>1.888</x:v>
      </x:c>
      <x:c r="I1370" s="13" t="n">
        <x:v>0</x:v>
      </x:c>
      <x:c r="J1370" s="12" t="str">
        <x:v>agent_result</x:v>
      </x:c>
      <x:c r="K1370" s="12" t="str">
        <x:v>speech</x:v>
      </x:c>
      <x:c r="L1370" s="13" t="n">
        <x:f>IF(G1370&lt;=I1370,0,MAX(0,L1368)+IF(E1370="via",MAX(0,G1370-MAX(F1370,I1370)),0))</x:f>
        <x:v>7.824666666666667</x:v>
      </x:c>
    </x:row>
    <x:row r="1371" ht="42" customHeight="1">
      <x:c r="A1371" s="7" t="str">
        <x:v>DP3-B-R2</x:v>
      </x:c>
      <x:c r="B1371" s="7" t="str">
        <x:v>U21</x:v>
      </x:c>
      <x:c r="C1371" s="7" t="str">
        <x:v>intent_audio</x:v>
      </x:c>
      <x:c r="D1371" s="7" t="str">
        <x:v>채택한 구체적 수행 의도의 짧은 음성</x:v>
      </x:c>
      <x:c r="E1371" s="7" t="str">
        <x:v>via</x:v>
      </x:c>
      <x:c r="F1371" s="14" t="n">
        <x:v>5.896666666666667</x:v>
      </x:c>
      <x:c r="G1371" s="14" t="n">
        <x:v>7.030666666666667</x:v>
      </x:c>
      <x:c r="H1371" s="14" t="n">
        <x:v>1.134</x:v>
      </x:c>
      <x:c r="I1371" s="14" t="n">
        <x:v>0</x:v>
      </x:c>
      <x:c r="J1371" s="7" t="str">
        <x:v>adopt</x:v>
      </x:c>
      <x:c r="K1371" s="7" t="str">
        <x:v>speech</x:v>
      </x:c>
      <x:c r="L1371" s="14" t="n">
        <x:f>IF(G1371&lt;=I1371,0,MAX(0,L1365)+IF(E1371="via",MAX(0,G1371-MAX(F1371,I1371)),0))</x:f>
        <x:v>7.030666666666667</x:v>
      </x:c>
    </x:row>
    <x:row r="1372" ht="42" customHeight="1">
      <x:c r="A1372" s="12" t="str">
        <x:v>DP3-B-R2</x:v>
      </x:c>
      <x:c r="B1372" s="12" t="str">
        <x:v>U21</x:v>
      </x:c>
      <x:c r="C1372" s="12" t="str">
        <x:v>first_chunk</x:v>
      </x:c>
      <x:c r="D1372" s="12" t="str">
        <x:v>같은 생성 job의 유효 첫 chunk 관측</x:v>
      </x:c>
      <x:c r="E1372" s="12" t="str">
        <x:v>via</x:v>
      </x:c>
      <x:c r="F1372" s="13" t="n">
        <x:v>5.896666666666667</x:v>
      </x:c>
      <x:c r="G1372" s="13" t="n">
        <x:v>6.3306666666666676</x:v>
      </x:c>
      <x:c r="H1372" s="13" t="n">
        <x:v>0.434</x:v>
      </x:c>
      <x:c r="I1372" s="13" t="n">
        <x:v>0</x:v>
      </x:c>
      <x:c r="J1372" s="12" t="str">
        <x:v>adopt</x:v>
      </x:c>
      <x:c r="K1372" s="12" t="str">
        <x:v>none</x:v>
      </x:c>
      <x:c r="L1372" s="13" t="n">
        <x:f>IF(G1372&lt;=I1372,0,MAX(0,L1365)+IF(E1372="via",MAX(0,G1372-MAX(F1372,I1372)),0))</x:f>
        <x:v>6.3306666666666676</x:v>
      </x:c>
    </x:row>
    <x:row r="1373" ht="42" customHeight="1">
      <x:c r="A1373" s="7" t="str">
        <x:v>DP3-B-R2</x:v>
      </x:c>
      <x:c r="B1373" s="7" t="str">
        <x:v>U21</x:v>
      </x:c>
      <x:c r="C1373" s="7" t="str">
        <x:v>first_audio_output</x:v>
      </x:c>
      <x:c r="D1373" s="7" t="str">
        <x:v>공통 장치의 첫 음성 출력</x:v>
      </x:c>
      <x:c r="E1373" s="7" t="str">
        <x:v>via</x:v>
      </x:c>
      <x:c r="F1373" s="14" t="n">
        <x:v>6.3306666666666676</x:v>
      </x:c>
      <x:c r="G1373" s="14" t="n">
        <x:v>6.370666666666668</x:v>
      </x:c>
      <x:c r="H1373" s="14" t="n">
        <x:v>0.04</x:v>
      </x:c>
      <x:c r="I1373" s="14" t="n">
        <x:v>0</x:v>
      </x:c>
      <x:c r="J1373" s="7" t="str">
        <x:v>adopt, first_chunk</x:v>
      </x:c>
      <x:c r="K1373" s="7" t="str">
        <x:v>none</x:v>
      </x:c>
      <x:c r="L1373" s="14" t="n">
        <x:f>IF(G1373&lt;=I1373,0,MAX(0,L1365,L1372)+IF(E1373="via",MAX(0,G1373-MAX(F1373,I1373)),0))</x:f>
        <x:v>6.370666666666668</x:v>
      </x:c>
    </x:row>
    <x:row r="1374" ht="42" customHeight="1">
      <x:c r="A1374" s="12" t="str">
        <x:v>DP3-B-R2</x:v>
      </x:c>
      <x:c r="B1374" s="12" t="str">
        <x:v>U21</x:v>
      </x:c>
      <x:c r="C1374" s="12" t="str">
        <x:v>next_speech_selection</x:v>
      </x:c>
      <x:c r="D1374" s="12" t="str">
        <x:v>현재 발화 재생 후 다음 응답 선택</x:v>
      </x:c>
      <x:c r="E1374" s="12" t="str">
        <x:v>external</x:v>
      </x:c>
      <x:c r="F1374" s="13" t="n">
        <x:v>6.370666666666668</x:v>
      </x:c>
      <x:c r="G1374" s="13" t="n">
        <x:v>9.370666666666668</x:v>
      </x:c>
      <x:c r="H1374" s="13" t="n">
        <x:v>3</x:v>
      </x:c>
      <x:c r="I1374" s="13" t="n">
        <x:v>0</x:v>
      </x:c>
      <x:c r="J1374" s="12" t="str">
        <x:v>first_audio_output</x:v>
      </x:c>
      <x:c r="K1374" s="12" t="str">
        <x:v>none</x:v>
      </x:c>
      <x:c r="L1374" s="13" t="n">
        <x:f>IF(G1374&lt;=I1374,0,MAX(0,L1373)+IF(E1374="via",MAX(0,G1374-MAX(F1374,I1374)),0))</x:f>
        <x:v>6.370666666666668</x:v>
      </x:c>
    </x:row>
    <x:row r="1375" ht="42" customHeight="1">
      <x:c r="A1375" s="7" t="str">
        <x:v>DP3-B-R2</x:v>
      </x:c>
      <x:c r="B1375" s="7" t="str">
        <x:v>U21</x:v>
      </x:c>
      <x:c r="C1375" s="7" t="str">
        <x:v>terminal</x:v>
      </x:c>
      <x:c r="D1375" s="7" t="str">
        <x:v>공통 목표 최종 상태와 전체 음성 준비</x:v>
      </x:c>
      <x:c r="E1375" s="7" t="str">
        <x:v>via</x:v>
      </x:c>
      <x:c r="F1375" s="14" t="n">
        <x:v>15.824666666666667</x:v>
      </x:c>
      <x:c r="G1375" s="14" t="n">
        <x:v>15.824666666666667</x:v>
      </x:c>
      <x:c r="H1375" s="14" t="n">
        <x:v>0</x:v>
      </x:c>
      <x:c r="I1375" s="14" t="n">
        <x:v>0</x:v>
      </x:c>
      <x:c r="J1375" s="7" t="str">
        <x:v>result_display, response_audio, intent_audio, first_audio_output</x:v>
      </x:c>
      <x:c r="K1375" s="7" t="str">
        <x:v>none</x:v>
      </x:c>
      <x:c r="L1375" s="14" t="n">
        <x:f>IF(G1375&lt;=I1375,0,MAX(0,L1369,L1370,L1371,L1373)+IF(E1375="via",MAX(0,G1375-MAX(F1375,I1375)),0))</x:f>
        <x:v>7.824666666666667</x:v>
      </x:c>
    </x:row>
    <x:row r="1376" ht="42" customHeight="1">
      <x:c r="A1376" s="12" t="str">
        <x:v>DP3-B-R2</x:v>
      </x:c>
      <x:c r="B1376" s="12" t="str">
        <x:v>U22</x:v>
      </x:c>
      <x:c r="C1376" s="12" t="str">
        <x:v>input_end</x:v>
      </x:c>
      <x:c r="D1376" s="12" t="str">
        <x:v>사용자 입력 종료</x:v>
      </x:c>
      <x:c r="E1376" s="12" t="str">
        <x:v>external</x:v>
      </x:c>
      <x:c r="F1376" s="13" t="n">
        <x:v>0</x:v>
      </x:c>
      <x:c r="G1376" s="13" t="n">
        <x:v>0</x:v>
      </x:c>
      <x:c r="H1376" s="13" t="n">
        <x:v>0</x:v>
      </x:c>
      <x:c r="I1376" s="13" t="n">
        <x:v>0</x:v>
      </x:c>
      <x:c r="J1376" s="12" t="str"/>
      <x:c r="K1376" s="12" t="str">
        <x:v>none</x:v>
      </x:c>
      <x:c r="L1376" s="13" t="n">
        <x:f>IF(G1376&lt;=I1376,0,MAX(0)+IF(E1376="via",MAX(0,G1376-MAX(F1376,I1376)),0))</x:f>
        <x:v>0</x:v>
      </x:c>
    </x:row>
    <x:row r="1377" ht="42" customHeight="1">
      <x:c r="A1377" s="7" t="str">
        <x:v>DP3-B-R2</x:v>
      </x:c>
      <x:c r="B1377" s="7" t="str">
        <x:v>U22</x:v>
      </x:c>
      <x:c r="C1377" s="7" t="str">
        <x:v>intake</x:v>
      </x:c>
      <x:c r="D1377" s="7" t="str">
        <x:v>입력 확정</x:v>
      </x:c>
      <x:c r="E1377" s="7" t="str">
        <x:v>via</x:v>
      </x:c>
      <x:c r="F1377" s="14" t="n">
        <x:v>0</x:v>
      </x:c>
      <x:c r="G1377" s="14" t="n">
        <x:v>0.3</x:v>
      </x:c>
      <x:c r="H1377" s="14" t="n">
        <x:v>0.3</x:v>
      </x:c>
      <x:c r="I1377" s="14" t="n">
        <x:v>0</x:v>
      </x:c>
      <x:c r="J1377" s="7" t="str">
        <x:v>input_end</x:v>
      </x:c>
      <x:c r="K1377" s="7" t="str">
        <x:v>none</x:v>
      </x:c>
      <x:c r="L1377" s="14" t="n">
        <x:f>IF(G1377&lt;=I1377,0,MAX(0,L1376)+IF(E1377="via",MAX(0,G1377-MAX(F1377,I1377)),0))</x:f>
        <x:v>0.3</x:v>
      </x:c>
    </x:row>
    <x:row r="1378" ht="42" customHeight="1">
      <x:c r="A1378" s="12" t="str">
        <x:v>DP3-B-R2</x:v>
      </x:c>
      <x:c r="B1378" s="12" t="str">
        <x:v>U22</x:v>
      </x:c>
      <x:c r="C1378" s="12" t="str">
        <x:v>read</x:v>
      </x:c>
      <x:c r="D1378" s="12" t="str">
        <x:v>공통 허용 원본 조회</x:v>
      </x:c>
      <x:c r="E1378" s="12" t="str">
        <x:v>via</x:v>
      </x:c>
      <x:c r="F1378" s="13" t="n">
        <x:v>0.3</x:v>
      </x:c>
      <x:c r="G1378" s="13" t="n">
        <x:v>0.38</x:v>
      </x:c>
      <x:c r="H1378" s="13" t="n">
        <x:v>0.08</x:v>
      </x:c>
      <x:c r="I1378" s="13" t="n">
        <x:v>0</x:v>
      </x:c>
      <x:c r="J1378" s="12" t="str">
        <x:v>intake</x:v>
      </x:c>
      <x:c r="K1378" s="12" t="str">
        <x:v>none</x:v>
      </x:c>
      <x:c r="L1378" s="13" t="n">
        <x:f>IF(G1378&lt;=I1378,0,MAX(0,L1377)+IF(E1378="via",MAX(0,G1378-MAX(F1378,I1378)),0))</x:f>
        <x:v>0.38</x:v>
      </x:c>
    </x:row>
    <x:row r="1379" ht="42" customHeight="1">
      <x:c r="A1379" s="7" t="str">
        <x:v>DP3-B-R2</x:v>
      </x:c>
      <x:c r="B1379" s="7" t="str">
        <x:v>U22</x:v>
      </x:c>
      <x:c r="C1379" s="7" t="str">
        <x:v>pre_ui_boot</x:v>
      </x:c>
      <x:c r="D1379" s="7" t="str">
        <x:v>ui runtime 시작</x:v>
      </x:c>
      <x:c r="E1379" s="7" t="str">
        <x:v>via</x:v>
      </x:c>
      <x:c r="F1379" s="14" t="n">
        <x:v>-12</x:v>
      </x:c>
      <x:c r="G1379" s="14" t="n">
        <x:v>-10.8</x:v>
      </x:c>
      <x:c r="H1379" s="14" t="n">
        <x:v>1.2</x:v>
      </x:c>
      <x:c r="I1379" s="14" t="n">
        <x:v>0</x:v>
      </x:c>
      <x:c r="J1379" s="7" t="str"/>
      <x:c r="K1379" s="7" t="str">
        <x:v>visual</x:v>
      </x:c>
      <x:c r="L1379" s="14" t="n">
        <x:f>IF(G1379&lt;=I1379,0,MAX(0)+IF(E1379="via",MAX(0,G1379-MAX(F1379,I1379)),0))</x:f>
        <x:v>0</x:v>
      </x:c>
    </x:row>
    <x:row r="1380" ht="42" customHeight="1">
      <x:c r="A1380" s="12" t="str">
        <x:v>DP3-B-R2</x:v>
      </x:c>
      <x:c r="B1380" s="12" t="str">
        <x:v>U22</x:v>
      </x:c>
      <x:c r="C1380" s="12" t="str">
        <x:v>pre_ui_load</x:v>
      </x:c>
      <x:c r="D1380" s="12" t="str">
        <x:v>ui 모델 적재</x:v>
      </x:c>
      <x:c r="E1380" s="12" t="str">
        <x:v>via</x:v>
      </x:c>
      <x:c r="F1380" s="13" t="n">
        <x:v>-10.8</x:v>
      </x:c>
      <x:c r="G1380" s="13" t="n">
        <x:v>-9.700000000000001</x:v>
      </x:c>
      <x:c r="H1380" s="13" t="n">
        <x:v>1.1</x:v>
      </x:c>
      <x:c r="I1380" s="13" t="n">
        <x:v>0</x:v>
      </x:c>
      <x:c r="J1380" s="12" t="str">
        <x:v>pre_ui_boot</x:v>
      </x:c>
      <x:c r="K1380" s="12" t="str">
        <x:v>visual</x:v>
      </x:c>
      <x:c r="L1380" s="13" t="n">
        <x:f>IF(G1380&lt;=I1380,0,MAX(0,L1379)+IF(E1380="via",MAX(0,G1380-MAX(F1380,I1380)),0))</x:f>
        <x:v>0</x:v>
      </x:c>
    </x:row>
    <x:row r="1381" ht="42" customHeight="1">
      <x:c r="A1381" s="7" t="str">
        <x:v>DP3-B-R2</x:v>
      </x:c>
      <x:c r="B1381" s="7" t="str">
        <x:v>U22</x:v>
      </x:c>
      <x:c r="C1381" s="7" t="str">
        <x:v>pre_ui_infer</x:v>
      </x:c>
      <x:c r="D1381" s="7" t="str">
        <x:v>ui 후보 생산</x:v>
      </x:c>
      <x:c r="E1381" s="7" t="str">
        <x:v>via</x:v>
      </x:c>
      <x:c r="F1381" s="14" t="n">
        <x:v>-9.700000000000001</x:v>
      </x:c>
      <x:c r="G1381" s="14" t="n">
        <x:v>-8.100000000000001</x:v>
      </x:c>
      <x:c r="H1381" s="14" t="n">
        <x:v>1.6</x:v>
      </x:c>
      <x:c r="I1381" s="14" t="n">
        <x:v>0</x:v>
      </x:c>
      <x:c r="J1381" s="7" t="str">
        <x:v>pre_ui_load</x:v>
      </x:c>
      <x:c r="K1381" s="7" t="str">
        <x:v>visual</x:v>
      </x:c>
      <x:c r="L1381" s="14" t="n">
        <x:f>IF(G1381&lt;=I1381,0,MAX(0,L1380)+IF(E1381="via",MAX(0,G1381-MAX(F1381,I1381)),0))</x:f>
        <x:v>0</x:v>
      </x:c>
    </x:row>
    <x:row r="1382" ht="42" customHeight="1">
      <x:c r="A1382" s="12" t="str">
        <x:v>DP3-B-R2</x:v>
      </x:c>
      <x:c r="B1382" s="12" t="str">
        <x:v>U22</x:v>
      </x:c>
      <x:c r="C1382" s="12" t="str">
        <x:v>pre_adopt</x:v>
      </x:c>
      <x:c r="D1382" s="12" t="str">
        <x:v>선행 후보의 요청 의미 확정</x:v>
      </x:c>
      <x:c r="E1382" s="12" t="str">
        <x:v>via</x:v>
      </x:c>
      <x:c r="F1382" s="13" t="n">
        <x:v>-8.100000000000001</x:v>
      </x:c>
      <x:c r="G1382" s="13" t="n">
        <x:v>-6.913333333333335</x:v>
      </x:c>
      <x:c r="H1382" s="13" t="n">
        <x:v>1.1866666666666668</x:v>
      </x:c>
      <x:c r="I1382" s="13" t="n">
        <x:v>0</x:v>
      </x:c>
      <x:c r="J1382" s="12" t="str">
        <x:v>pre_ui_infer</x:v>
      </x:c>
      <x:c r="K1382" s="12" t="str">
        <x:v>semantic</x:v>
      </x:c>
      <x:c r="L1382" s="13" t="n">
        <x:f>IF(G1382&lt;=I1382,0,MAX(0,L1381)+IF(E1382="via",MAX(0,G1382-MAX(F1382,I1382)),0))</x:f>
        <x:v>0</x:v>
      </x:c>
    </x:row>
    <x:row r="1383" ht="42" customHeight="1">
      <x:c r="A1383" s="7" t="str">
        <x:v>DP3-B-R2</x:v>
      </x:c>
      <x:c r="B1383" s="7" t="str">
        <x:v>U22</x:v>
      </x:c>
      <x:c r="C1383" s="7" t="str">
        <x:v>now_ui_infer</x:v>
      </x:c>
      <x:c r="D1383" s="7" t="str">
        <x:v>ui 후보 생산</x:v>
      </x:c>
      <x:c r="E1383" s="7" t="str">
        <x:v>via</x:v>
      </x:c>
      <x:c r="F1383" s="14" t="n">
        <x:v>0.38</x:v>
      </x:c>
      <x:c r="G1383" s="14" t="n">
        <x:v>1.98</x:v>
      </x:c>
      <x:c r="H1383" s="14" t="n">
        <x:v>1.6</x:v>
      </x:c>
      <x:c r="I1383" s="14" t="n">
        <x:v>0</x:v>
      </x:c>
      <x:c r="J1383" s="7" t="str">
        <x:v>read, pre_adopt, pre_ui_boot</x:v>
      </x:c>
      <x:c r="K1383" s="7" t="str">
        <x:v>visual</x:v>
      </x:c>
      <x:c r="L1383" s="14" t="n">
        <x:f>IF(G1383&lt;=I1383,0,MAX(0,L1378,L1382,L1379)+IF(E1383="via",MAX(0,G1383-MAX(F1383,I1383)),0))</x:f>
        <x:v>1.98</x:v>
      </x:c>
    </x:row>
    <x:row r="1384" ht="42" customHeight="1">
      <x:c r="A1384" s="12" t="str">
        <x:v>DP3-B-R2</x:v>
      </x:c>
      <x:c r="B1384" s="12" t="str">
        <x:v>U22</x:v>
      </x:c>
      <x:c r="C1384" s="12" t="str">
        <x:v>meaning</x:v>
      </x:c>
      <x:c r="D1384" s="12" t="str">
        <x:v>최초 요청 의미 채택 packet 생성</x:v>
      </x:c>
      <x:c r="E1384" s="12" t="str">
        <x:v>via</x:v>
      </x:c>
      <x:c r="F1384" s="13" t="n">
        <x:v>1.98</x:v>
      </x:c>
      <x:c r="G1384" s="13" t="n">
        <x:v>3.166666666666667</x:v>
      </x:c>
      <x:c r="H1384" s="13" t="n">
        <x:v>1.1866666666666668</x:v>
      </x:c>
      <x:c r="I1384" s="13" t="n">
        <x:v>0</x:v>
      </x:c>
      <x:c r="J1384" s="12" t="str">
        <x:v>now_ui_infer</x:v>
      </x:c>
      <x:c r="K1384" s="12" t="str">
        <x:v>semantic</x:v>
      </x:c>
      <x:c r="L1384" s="13" t="n">
        <x:f>IF(G1384&lt;=I1384,0,MAX(0,L1383)+IF(E1384="via",MAX(0,G1384-MAX(F1384,I1384)),0))</x:f>
        <x:v>3.166666666666667</x:v>
      </x:c>
    </x:row>
    <x:row r="1385" ht="42" customHeight="1">
      <x:c r="A1385" s="7" t="str">
        <x:v>DP3-B-R2</x:v>
      </x:c>
      <x:c r="B1385" s="7" t="str">
        <x:v>U22</x:v>
      </x:c>
      <x:c r="C1385" s="7" t="str">
        <x:v>adopt</x:v>
      </x:c>
      <x:c r="D1385" s="7" t="str">
        <x:v>현재 revision과 권한 검사 및 채택</x:v>
      </x:c>
      <x:c r="E1385" s="7" t="str">
        <x:v>via</x:v>
      </x:c>
      <x:c r="F1385" s="14" t="n">
        <x:v>3.166666666666667</x:v>
      </x:c>
      <x:c r="G1385" s="14" t="n">
        <x:v>3.1966666666666668</x:v>
      </x:c>
      <x:c r="H1385" s="14" t="n">
        <x:v>0.03</x:v>
      </x:c>
      <x:c r="I1385" s="14" t="n">
        <x:v>0</x:v>
      </x:c>
      <x:c r="J1385" s="7" t="str">
        <x:v>meaning</x:v>
      </x:c>
      <x:c r="K1385" s="7" t="str">
        <x:v>none</x:v>
      </x:c>
      <x:c r="L1385" s="14" t="n">
        <x:f>IF(G1385&lt;=I1385,0,MAX(0,L1384)+IF(E1385="via",MAX(0,G1385-MAX(F1385,I1385)),0))</x:f>
        <x:v>3.1966666666666668</x:v>
      </x:c>
    </x:row>
    <x:row r="1386" ht="42" customHeight="1">
      <x:c r="A1386" s="12" t="str">
        <x:v>DP3-B-R2</x:v>
      </x:c>
      <x:c r="B1386" s="12" t="str">
        <x:v>U22</x:v>
      </x:c>
      <x:c r="C1386" s="12" t="str">
        <x:v>first_display</x:v>
      </x:c>
      <x:c r="D1386" s="12" t="str">
        <x:v>첫 구체적 채택 내용 화면 표시</x:v>
      </x:c>
      <x:c r="E1386" s="12" t="str">
        <x:v>via</x:v>
      </x:c>
      <x:c r="F1386" s="13" t="n">
        <x:v>3.1966666666666668</x:v>
      </x:c>
      <x:c r="G1386" s="13" t="n">
        <x:v>3.236666666666667</x:v>
      </x:c>
      <x:c r="H1386" s="13" t="n">
        <x:v>0.04</x:v>
      </x:c>
      <x:c r="I1386" s="13" t="n">
        <x:v>0</x:v>
      </x:c>
      <x:c r="J1386" s="12" t="str">
        <x:v>adopt</x:v>
      </x:c>
      <x:c r="K1386" s="12" t="str">
        <x:v>none</x:v>
      </x:c>
      <x:c r="L1386" s="13" t="n">
        <x:f>IF(G1386&lt;=I1386,0,MAX(0,L1385)+IF(E1386="via",MAX(0,G1386-MAX(F1386,I1386)),0))</x:f>
        <x:v>3.236666666666667</x:v>
      </x:c>
    </x:row>
    <x:row r="1387" ht="42" customHeight="1">
      <x:c r="A1387" s="7" t="str">
        <x:v>DP3-B-R2</x:v>
      </x:c>
      <x:c r="B1387" s="7" t="str">
        <x:v>U22</x:v>
      </x:c>
      <x:c r="C1387" s="7" t="str">
        <x:v>agent_ingress</x:v>
      </x:c>
      <x:c r="D1387" s="7" t="str">
        <x:v>Agent 요청 전송</x:v>
      </x:c>
      <x:c r="E1387" s="7" t="str">
        <x:v>via</x:v>
      </x:c>
      <x:c r="F1387" s="14" t="n">
        <x:v>3.1966666666666668</x:v>
      </x:c>
      <x:c r="G1387" s="14" t="n">
        <x:v>3.236666666666667</x:v>
      </x:c>
      <x:c r="H1387" s="14" t="n">
        <x:v>0.04</x:v>
      </x:c>
      <x:c r="I1387" s="14" t="n">
        <x:v>0</x:v>
      </x:c>
      <x:c r="J1387" s="7" t="str">
        <x:v>adopt</x:v>
      </x:c>
      <x:c r="K1387" s="7" t="str">
        <x:v>none</x:v>
      </x:c>
      <x:c r="L1387" s="14" t="n">
        <x:f>IF(G1387&lt;=I1387,0,MAX(0,L1385)+IF(E1387="via",MAX(0,G1387-MAX(F1387,I1387)),0))</x:f>
        <x:v>3.236666666666667</x:v>
      </x:c>
    </x:row>
    <x:row r="1388" ht="42" customHeight="1">
      <x:c r="A1388" s="12" t="str">
        <x:v>DP3-B-R2</x:v>
      </x:c>
      <x:c r="B1388" s="12" t="str">
        <x:v>U22</x:v>
      </x:c>
      <x:c r="C1388" s="12" t="str">
        <x:v>agent_result</x:v>
      </x:c>
      <x:c r="D1388" s="12" t="str">
        <x:v>외부 Agent 업무</x:v>
      </x:c>
      <x:c r="E1388" s="12" t="str">
        <x:v>external</x:v>
      </x:c>
      <x:c r="F1388" s="13" t="n">
        <x:v>3.236666666666667</x:v>
      </x:c>
      <x:c r="G1388" s="13" t="n">
        <x:v>11.236666666666666</x:v>
      </x:c>
      <x:c r="H1388" s="13" t="n">
        <x:v>8</x:v>
      </x:c>
      <x:c r="I1388" s="13" t="n">
        <x:v>0</x:v>
      </x:c>
      <x:c r="J1388" s="12" t="str">
        <x:v>agent_ingress</x:v>
      </x:c>
      <x:c r="K1388" s="12" t="str">
        <x:v>none</x:v>
      </x:c>
      <x:c r="L1388" s="13" t="n">
        <x:f>IF(G1388&lt;=I1388,0,MAX(0,L1387)+IF(E1388="via",MAX(0,G1388-MAX(F1388,I1388)),0))</x:f>
        <x:v>3.236666666666667</x:v>
      </x:c>
    </x:row>
    <x:row r="1389" ht="42" customHeight="1">
      <x:c r="A1389" s="7" t="str">
        <x:v>DP3-B-R2</x:v>
      </x:c>
      <x:c r="B1389" s="7" t="str">
        <x:v>U22</x:v>
      </x:c>
      <x:c r="C1389" s="7" t="str">
        <x:v>result_display</x:v>
      </x:c>
      <x:c r="D1389" s="7" t="str">
        <x:v>최종 결과 상세 표시</x:v>
      </x:c>
      <x:c r="E1389" s="7" t="str">
        <x:v>via</x:v>
      </x:c>
      <x:c r="F1389" s="14" t="n">
        <x:v>11.236666666666666</x:v>
      </x:c>
      <x:c r="G1389" s="14" t="n">
        <x:v>11.276666666666666</x:v>
      </x:c>
      <x:c r="H1389" s="14" t="n">
        <x:v>0.04</x:v>
      </x:c>
      <x:c r="I1389" s="14" t="n">
        <x:v>0</x:v>
      </x:c>
      <x:c r="J1389" s="7" t="str">
        <x:v>agent_result</x:v>
      </x:c>
      <x:c r="K1389" s="7" t="str">
        <x:v>none</x:v>
      </x:c>
      <x:c r="L1389" s="14" t="n">
        <x:f>IF(G1389&lt;=I1389,0,MAX(0,L1388)+IF(E1389="via",MAX(0,G1389-MAX(F1389,I1389)),0))</x:f>
        <x:v>3.276666666666666</x:v>
      </x:c>
    </x:row>
    <x:row r="1390" ht="42" customHeight="1">
      <x:c r="A1390" s="12" t="str">
        <x:v>DP3-B-R2</x:v>
      </x:c>
      <x:c r="B1390" s="12" t="str">
        <x:v>U22</x:v>
      </x:c>
      <x:c r="C1390" s="12" t="str">
        <x:v>question_arrival</x:v>
      </x:c>
      <x:c r="D1390" s="12" t="str">
        <x:v>Agent 질문 텍스트 도착</x:v>
      </x:c>
      <x:c r="E1390" s="12" t="str">
        <x:v>external</x:v>
      </x:c>
      <x:c r="F1390" s="13" t="n">
        <x:v>-2</x:v>
      </x:c>
      <x:c r="G1390" s="13" t="n">
        <x:v>-2</x:v>
      </x:c>
      <x:c r="H1390" s="13" t="n">
        <x:v>0</x:v>
      </x:c>
      <x:c r="I1390" s="13" t="n">
        <x:v>0</x:v>
      </x:c>
      <x:c r="J1390" s="12" t="str"/>
      <x:c r="K1390" s="12" t="str">
        <x:v>none</x:v>
      </x:c>
      <x:c r="L1390" s="13" t="n">
        <x:f>IF(G1390&lt;=I1390,0,MAX(0)+IF(E1390="via",MAX(0,G1390-MAX(F1390,I1390)),0))</x:f>
        <x:v>0</x:v>
      </x:c>
    </x:row>
    <x:row r="1391" ht="42" customHeight="1">
      <x:c r="A1391" s="7" t="str">
        <x:v>DP3-B-R2</x:v>
      </x:c>
      <x:c r="B1391" s="7" t="str">
        <x:v>U22</x:v>
      </x:c>
      <x:c r="C1391" s="7" t="str">
        <x:v>question_audio</x:v>
      </x:c>
      <x:c r="D1391" s="7" t="str">
        <x:v>선택한 응답 음성 생성</x:v>
      </x:c>
      <x:c r="E1391" s="7" t="str">
        <x:v>via</x:v>
      </x:c>
      <x:c r="F1391" s="14" t="n">
        <x:v>-2</x:v>
      </x:c>
      <x:c r="G1391" s="14" t="n">
        <x:v>-0.1120000000000001</x:v>
      </x:c>
      <x:c r="H1391" s="14" t="n">
        <x:v>1.888</x:v>
      </x:c>
      <x:c r="I1391" s="14" t="n">
        <x:v>0</x:v>
      </x:c>
      <x:c r="J1391" s="7" t="str">
        <x:v>question_arrival</x:v>
      </x:c>
      <x:c r="K1391" s="7" t="str">
        <x:v>speech</x:v>
      </x:c>
      <x:c r="L1391" s="14" t="n">
        <x:f>IF(G1391&lt;=I1391,0,MAX(0,L1390)+IF(E1391="via",MAX(0,G1391-MAX(F1391,I1391)),0))</x:f>
        <x:v>0</x:v>
      </x:c>
    </x:row>
    <x:row r="1392" ht="42" customHeight="1">
      <x:c r="A1392" s="12" t="str">
        <x:v>DP3-B-R2</x:v>
      </x:c>
      <x:c r="B1392" s="12" t="str">
        <x:v>U22</x:v>
      </x:c>
      <x:c r="C1392" s="12" t="str">
        <x:v>final_result_audio</x:v>
      </x:c>
      <x:c r="D1392" s="12" t="str">
        <x:v>새 업무 최종 결과 음성 준비</x:v>
      </x:c>
      <x:c r="E1392" s="12" t="str">
        <x:v>via</x:v>
      </x:c>
      <x:c r="F1392" s="13" t="n">
        <x:v>11.236666666666666</x:v>
      </x:c>
      <x:c r="G1392" s="13" t="n">
        <x:v>13.124666666666666</x:v>
      </x:c>
      <x:c r="H1392" s="13" t="n">
        <x:v>1.888</x:v>
      </x:c>
      <x:c r="I1392" s="13" t="n">
        <x:v>0</x:v>
      </x:c>
      <x:c r="J1392" s="12" t="str">
        <x:v>agent_result</x:v>
      </x:c>
      <x:c r="K1392" s="12" t="str">
        <x:v>speech</x:v>
      </x:c>
      <x:c r="L1392" s="13" t="n">
        <x:f>IF(G1392&lt;=I1392,0,MAX(0,L1388)+IF(E1392="via",MAX(0,G1392-MAX(F1392,I1392)),0))</x:f>
        <x:v>5.124666666666666</x:v>
      </x:c>
    </x:row>
    <x:row r="1393" ht="42" customHeight="1">
      <x:c r="A1393" s="7" t="str">
        <x:v>DP3-B-R2</x:v>
      </x:c>
      <x:c r="B1393" s="7" t="str">
        <x:v>U22</x:v>
      </x:c>
      <x:c r="C1393" s="7" t="str">
        <x:v>first_chunk</x:v>
      </x:c>
      <x:c r="D1393" s="7" t="str">
        <x:v>같은 생성 job의 유효 첫 chunk 관측</x:v>
      </x:c>
      <x:c r="E1393" s="7" t="str">
        <x:v>via</x:v>
      </x:c>
      <x:c r="F1393" s="14" t="n">
        <x:v>-2</x:v>
      </x:c>
      <x:c r="G1393" s="14" t="n">
        <x:v>-1.562</x:v>
      </x:c>
      <x:c r="H1393" s="14" t="n">
        <x:v>0.438</x:v>
      </x:c>
      <x:c r="I1393" s="14" t="n">
        <x:v>0</x:v>
      </x:c>
      <x:c r="J1393" s="7" t="str">
        <x:v>question_arrival</x:v>
      </x:c>
      <x:c r="K1393" s="7" t="str">
        <x:v>none</x:v>
      </x:c>
      <x:c r="L1393" s="14" t="n">
        <x:f>IF(G1393&lt;=I1393,0,MAX(0,L1390)+IF(E1393="via",MAX(0,G1393-MAX(F1393,I1393)),0))</x:f>
        <x:v>0</x:v>
      </x:c>
    </x:row>
    <x:row r="1394" ht="42" customHeight="1">
      <x:c r="A1394" s="12" t="str">
        <x:v>DP3-B-R2</x:v>
      </x:c>
      <x:c r="B1394" s="12" t="str">
        <x:v>U22</x:v>
      </x:c>
      <x:c r="C1394" s="12" t="str">
        <x:v>first_audio_output</x:v>
      </x:c>
      <x:c r="D1394" s="12" t="str">
        <x:v>공통 장치의 첫 음성 출력</x:v>
      </x:c>
      <x:c r="E1394" s="12" t="str">
        <x:v>via</x:v>
      </x:c>
      <x:c r="F1394" s="13" t="n">
        <x:v>3.1966666666666668</x:v>
      </x:c>
      <x:c r="G1394" s="13" t="n">
        <x:v>3.236666666666667</x:v>
      </x:c>
      <x:c r="H1394" s="13" t="n">
        <x:v>0.04</x:v>
      </x:c>
      <x:c r="I1394" s="13" t="n">
        <x:v>0</x:v>
      </x:c>
      <x:c r="J1394" s="12" t="str">
        <x:v>adopt, first_chunk</x:v>
      </x:c>
      <x:c r="K1394" s="12" t="str">
        <x:v>none</x:v>
      </x:c>
      <x:c r="L1394" s="13" t="n">
        <x:f>IF(G1394&lt;=I1394,0,MAX(0,L1385,L1393)+IF(E1394="via",MAX(0,G1394-MAX(F1394,I1394)),0))</x:f>
        <x:v>3.236666666666667</x:v>
      </x:c>
    </x:row>
    <x:row r="1395" ht="42" customHeight="1">
      <x:c r="A1395" s="7" t="str">
        <x:v>DP3-B-R2</x:v>
      </x:c>
      <x:c r="B1395" s="7" t="str">
        <x:v>U22</x:v>
      </x:c>
      <x:c r="C1395" s="7" t="str">
        <x:v>next_speech_selection</x:v>
      </x:c>
      <x:c r="D1395" s="7" t="str">
        <x:v>현재 발화 재생 후 다음 응답 선택</x:v>
      </x:c>
      <x:c r="E1395" s="7" t="str">
        <x:v>external</x:v>
      </x:c>
      <x:c r="F1395" s="14" t="n">
        <x:v>3.236666666666667</x:v>
      </x:c>
      <x:c r="G1395" s="14" t="n">
        <x:v>9.236666666666666</x:v>
      </x:c>
      <x:c r="H1395" s="14" t="n">
        <x:v>6</x:v>
      </x:c>
      <x:c r="I1395" s="14" t="n">
        <x:v>0</x:v>
      </x:c>
      <x:c r="J1395" s="7" t="str">
        <x:v>first_audio_output</x:v>
      </x:c>
      <x:c r="K1395" s="7" t="str">
        <x:v>none</x:v>
      </x:c>
      <x:c r="L1395" s="14" t="n">
        <x:f>IF(G1395&lt;=I1395,0,MAX(0,L1394)+IF(E1395="via",MAX(0,G1395-MAX(F1395,I1395)),0))</x:f>
        <x:v>3.236666666666667</x:v>
      </x:c>
    </x:row>
    <x:row r="1396" ht="42" customHeight="1">
      <x:c r="A1396" s="12" t="str">
        <x:v>DP3-B-R2</x:v>
      </x:c>
      <x:c r="B1396" s="12" t="str">
        <x:v>U22</x:v>
      </x:c>
      <x:c r="C1396" s="12" t="str">
        <x:v>terminal</x:v>
      </x:c>
      <x:c r="D1396" s="12" t="str">
        <x:v>공통 목표 최종 상태와 전체 음성 준비</x:v>
      </x:c>
      <x:c r="E1396" s="12" t="str">
        <x:v>via</x:v>
      </x:c>
      <x:c r="F1396" s="13" t="n">
        <x:v>13.124666666666666</x:v>
      </x:c>
      <x:c r="G1396" s="13" t="n">
        <x:v>13.124666666666666</x:v>
      </x:c>
      <x:c r="H1396" s="13" t="n">
        <x:v>0</x:v>
      </x:c>
      <x:c r="I1396" s="13" t="n">
        <x:v>0</x:v>
      </x:c>
      <x:c r="J1396" s="12" t="str">
        <x:v>result_display, question_audio, first_audio_output, final_result_audio</x:v>
      </x:c>
      <x:c r="K1396" s="12" t="str">
        <x:v>none</x:v>
      </x:c>
      <x:c r="L1396" s="13" t="n">
        <x:f>IF(G1396&lt;=I1396,0,MAX(0,L1389,L1391,L1394,L1392)+IF(E1396="via",MAX(0,G1396-MAX(F1396,I1396)),0))</x:f>
        <x:v>5.124666666666666</x:v>
      </x:c>
    </x:row>
    <x:row r="1397" ht="42" customHeight="1">
      <x:c r="A1397" s="7" t="str">
        <x:v>DP3-B-R2</x:v>
      </x:c>
      <x:c r="B1397" s="7" t="str">
        <x:v>U23</x:v>
      </x:c>
      <x:c r="C1397" s="7" t="str">
        <x:v>input_end</x:v>
      </x:c>
      <x:c r="D1397" s="7" t="str">
        <x:v>사용자 입력 종료</x:v>
      </x:c>
      <x:c r="E1397" s="7" t="str">
        <x:v>external</x:v>
      </x:c>
      <x:c r="F1397" s="14" t="n">
        <x:v>0</x:v>
      </x:c>
      <x:c r="G1397" s="14" t="n">
        <x:v>0</x:v>
      </x:c>
      <x:c r="H1397" s="14" t="n">
        <x:v>0</x:v>
      </x:c>
      <x:c r="I1397" s="14" t="n">
        <x:v>0</x:v>
      </x:c>
      <x:c r="J1397" s="7" t="str"/>
      <x:c r="K1397" s="7" t="str">
        <x:v>none</x:v>
      </x:c>
      <x:c r="L1397" s="14" t="n">
        <x:f>IF(G1397&lt;=I1397,0,MAX(0)+IF(E1397="via",MAX(0,G1397-MAX(F1397,I1397)),0))</x:f>
        <x:v>0</x:v>
      </x:c>
    </x:row>
    <x:row r="1398" ht="42" customHeight="1">
      <x:c r="A1398" s="12" t="str">
        <x:v>DP3-B-R2</x:v>
      </x:c>
      <x:c r="B1398" s="12" t="str">
        <x:v>U23</x:v>
      </x:c>
      <x:c r="C1398" s="12" t="str">
        <x:v>intake</x:v>
      </x:c>
      <x:c r="D1398" s="12" t="str">
        <x:v>입력 확정</x:v>
      </x:c>
      <x:c r="E1398" s="12" t="str">
        <x:v>via</x:v>
      </x:c>
      <x:c r="F1398" s="13" t="n">
        <x:v>0</x:v>
      </x:c>
      <x:c r="G1398" s="13" t="n">
        <x:v>0.06</x:v>
      </x:c>
      <x:c r="H1398" s="13" t="n">
        <x:v>0.06</x:v>
      </x:c>
      <x:c r="I1398" s="13" t="n">
        <x:v>0</x:v>
      </x:c>
      <x:c r="J1398" s="12" t="str">
        <x:v>input_end</x:v>
      </x:c>
      <x:c r="K1398" s="12" t="str">
        <x:v>none</x:v>
      </x:c>
      <x:c r="L1398" s="13" t="n">
        <x:f>IF(G1398&lt;=I1398,0,MAX(0,L1397)+IF(E1398="via",MAX(0,G1398-MAX(F1398,I1398)),0))</x:f>
        <x:v>0.06</x:v>
      </x:c>
    </x:row>
    <x:row r="1399" ht="42" customHeight="1">
      <x:c r="A1399" s="7" t="str">
        <x:v>DP3-B-R2</x:v>
      </x:c>
      <x:c r="B1399" s="7" t="str">
        <x:v>U23</x:v>
      </x:c>
      <x:c r="C1399" s="7" t="str">
        <x:v>read</x:v>
      </x:c>
      <x:c r="D1399" s="7" t="str">
        <x:v>공통 허용 원본 조회</x:v>
      </x:c>
      <x:c r="E1399" s="7" t="str">
        <x:v>via</x:v>
      </x:c>
      <x:c r="F1399" s="14" t="n">
        <x:v>0.06</x:v>
      </x:c>
      <x:c r="G1399" s="14" t="n">
        <x:v>0.14</x:v>
      </x:c>
      <x:c r="H1399" s="14" t="n">
        <x:v>0.08</x:v>
      </x:c>
      <x:c r="I1399" s="14" t="n">
        <x:v>0</x:v>
      </x:c>
      <x:c r="J1399" s="7" t="str">
        <x:v>intake</x:v>
      </x:c>
      <x:c r="K1399" s="7" t="str">
        <x:v>none</x:v>
      </x:c>
      <x:c r="L1399" s="14" t="n">
        <x:f>IF(G1399&lt;=I1399,0,MAX(0,L1398)+IF(E1399="via",MAX(0,G1399-MAX(F1399,I1399)),0))</x:f>
        <x:v>0.14</x:v>
      </x:c>
    </x:row>
    <x:row r="1400" ht="42" customHeight="1">
      <x:c r="A1400" s="12" t="str">
        <x:v>DP3-B-R2</x:v>
      </x:c>
      <x:c r="B1400" s="12" t="str">
        <x:v>U23</x:v>
      </x:c>
      <x:c r="C1400" s="12" t="str">
        <x:v>meaning</x:v>
      </x:c>
      <x:c r="D1400" s="12" t="str">
        <x:v>최초 요청 의미 채택 packet 생성</x:v>
      </x:c>
      <x:c r="E1400" s="12" t="str">
        <x:v>via</x:v>
      </x:c>
      <x:c r="F1400" s="13" t="n">
        <x:v>0.14</x:v>
      </x:c>
      <x:c r="G1400" s="13" t="n">
        <x:v>1.6400000000000001</x:v>
      </x:c>
      <x:c r="H1400" s="13" t="n">
        <x:v>1.5</x:v>
      </x:c>
      <x:c r="I1400" s="13" t="n">
        <x:v>0</x:v>
      </x:c>
      <x:c r="J1400" s="12" t="str">
        <x:v>read</x:v>
      </x:c>
      <x:c r="K1400" s="12" t="str">
        <x:v>semantic</x:v>
      </x:c>
      <x:c r="L1400" s="13" t="n">
        <x:f>IF(G1400&lt;=I1400,0,MAX(0,L1399)+IF(E1400="via",MAX(0,G1400-MAX(F1400,I1400)),0))</x:f>
        <x:v>1.6400000000000001</x:v>
      </x:c>
    </x:row>
    <x:row r="1401" ht="42" customHeight="1">
      <x:c r="A1401" s="7" t="str">
        <x:v>DP3-B-R2</x:v>
      </x:c>
      <x:c r="B1401" s="7" t="str">
        <x:v>U23</x:v>
      </x:c>
      <x:c r="C1401" s="7" t="str">
        <x:v>adopt</x:v>
      </x:c>
      <x:c r="D1401" s="7" t="str">
        <x:v>현재 revision과 권한 검사 및 채택</x:v>
      </x:c>
      <x:c r="E1401" s="7" t="str">
        <x:v>via</x:v>
      </x:c>
      <x:c r="F1401" s="14" t="n">
        <x:v>1.6400000000000001</x:v>
      </x:c>
      <x:c r="G1401" s="14" t="n">
        <x:v>1.6700000000000002</x:v>
      </x:c>
      <x:c r="H1401" s="14" t="n">
        <x:v>0.03</x:v>
      </x:c>
      <x:c r="I1401" s="14" t="n">
        <x:v>0</x:v>
      </x:c>
      <x:c r="J1401" s="7" t="str">
        <x:v>meaning</x:v>
      </x:c>
      <x:c r="K1401" s="7" t="str">
        <x:v>none</x:v>
      </x:c>
      <x:c r="L1401" s="14" t="n">
        <x:f>IF(G1401&lt;=I1401,0,MAX(0,L1400)+IF(E1401="via",MAX(0,G1401-MAX(F1401,I1401)),0))</x:f>
        <x:v>1.6700000000000002</x:v>
      </x:c>
    </x:row>
    <x:row r="1402" ht="42" customHeight="1">
      <x:c r="A1402" s="12" t="str">
        <x:v>DP3-B-R2</x:v>
      </x:c>
      <x:c r="B1402" s="12" t="str">
        <x:v>U23</x:v>
      </x:c>
      <x:c r="C1402" s="12" t="str">
        <x:v>first_display</x:v>
      </x:c>
      <x:c r="D1402" s="12" t="str">
        <x:v>첫 구체적 채택 내용 화면 표시</x:v>
      </x:c>
      <x:c r="E1402" s="12" t="str">
        <x:v>via</x:v>
      </x:c>
      <x:c r="F1402" s="13" t="n">
        <x:v>1.6700000000000002</x:v>
      </x:c>
      <x:c r="G1402" s="13" t="n">
        <x:v>1.7100000000000002</x:v>
      </x:c>
      <x:c r="H1402" s="13" t="n">
        <x:v>0.04</x:v>
      </x:c>
      <x:c r="I1402" s="13" t="n">
        <x:v>0</x:v>
      </x:c>
      <x:c r="J1402" s="12" t="str">
        <x:v>adopt</x:v>
      </x:c>
      <x:c r="K1402" s="12" t="str">
        <x:v>none</x:v>
      </x:c>
      <x:c r="L1402" s="13" t="n">
        <x:f>IF(G1402&lt;=I1402,0,MAX(0,L1401)+IF(E1402="via",MAX(0,G1402-MAX(F1402,I1402)),0))</x:f>
        <x:v>1.7100000000000002</x:v>
      </x:c>
    </x:row>
    <x:row r="1403" ht="42" customHeight="1">
      <x:c r="A1403" s="7" t="str">
        <x:v>DP3-B-R2</x:v>
      </x:c>
      <x:c r="B1403" s="7" t="str">
        <x:v>U23</x:v>
      </x:c>
      <x:c r="C1403" s="7" t="str">
        <x:v>agent_ingress</x:v>
      </x:c>
      <x:c r="D1403" s="7" t="str">
        <x:v>Agent 요청 전송</x:v>
      </x:c>
      <x:c r="E1403" s="7" t="str">
        <x:v>via</x:v>
      </x:c>
      <x:c r="F1403" s="14" t="n">
        <x:v>1.6700000000000002</x:v>
      </x:c>
      <x:c r="G1403" s="14" t="n">
        <x:v>1.7100000000000002</x:v>
      </x:c>
      <x:c r="H1403" s="14" t="n">
        <x:v>0.04</x:v>
      </x:c>
      <x:c r="I1403" s="14" t="n">
        <x:v>0</x:v>
      </x:c>
      <x:c r="J1403" s="7" t="str">
        <x:v>adopt</x:v>
      </x:c>
      <x:c r="K1403" s="7" t="str">
        <x:v>none</x:v>
      </x:c>
      <x:c r="L1403" s="14" t="n">
        <x:f>IF(G1403&lt;=I1403,0,MAX(0,L1401)+IF(E1403="via",MAX(0,G1403-MAX(F1403,I1403)),0))</x:f>
        <x:v>1.7100000000000002</x:v>
      </x:c>
    </x:row>
    <x:row r="1404" ht="42" customHeight="1">
      <x:c r="A1404" s="12" t="str">
        <x:v>DP3-B-R2</x:v>
      </x:c>
      <x:c r="B1404" s="12" t="str">
        <x:v>U23</x:v>
      </x:c>
      <x:c r="C1404" s="12" t="str">
        <x:v>agent_result</x:v>
      </x:c>
      <x:c r="D1404" s="12" t="str">
        <x:v>외부 Agent 업무</x:v>
      </x:c>
      <x:c r="E1404" s="12" t="str">
        <x:v>external</x:v>
      </x:c>
      <x:c r="F1404" s="13" t="n">
        <x:v>1.7100000000000002</x:v>
      </x:c>
      <x:c r="G1404" s="13" t="n">
        <x:v>9.71</x:v>
      </x:c>
      <x:c r="H1404" s="13" t="n">
        <x:v>8</x:v>
      </x:c>
      <x:c r="I1404" s="13" t="n">
        <x:v>0</x:v>
      </x:c>
      <x:c r="J1404" s="12" t="str">
        <x:v>agent_ingress</x:v>
      </x:c>
      <x:c r="K1404" s="12" t="str">
        <x:v>none</x:v>
      </x:c>
      <x:c r="L1404" s="13" t="n">
        <x:f>IF(G1404&lt;=I1404,0,MAX(0,L1403)+IF(E1404="via",MAX(0,G1404-MAX(F1404,I1404)),0))</x:f>
        <x:v>1.7100000000000002</x:v>
      </x:c>
    </x:row>
    <x:row r="1405" ht="42" customHeight="1">
      <x:c r="A1405" s="7" t="str">
        <x:v>DP3-B-R2</x:v>
      </x:c>
      <x:c r="B1405" s="7" t="str">
        <x:v>U23</x:v>
      </x:c>
      <x:c r="C1405" s="7" t="str">
        <x:v>result_display</x:v>
      </x:c>
      <x:c r="D1405" s="7" t="str">
        <x:v>최종 결과 상세 표시</x:v>
      </x:c>
      <x:c r="E1405" s="7" t="str">
        <x:v>via</x:v>
      </x:c>
      <x:c r="F1405" s="14" t="n">
        <x:v>9.71</x:v>
      </x:c>
      <x:c r="G1405" s="14" t="n">
        <x:v>9.75</x:v>
      </x:c>
      <x:c r="H1405" s="14" t="n">
        <x:v>0.04</x:v>
      </x:c>
      <x:c r="I1405" s="14" t="n">
        <x:v>0</x:v>
      </x:c>
      <x:c r="J1405" s="7" t="str">
        <x:v>agent_result</x:v>
      </x:c>
      <x:c r="K1405" s="7" t="str">
        <x:v>none</x:v>
      </x:c>
      <x:c r="L1405" s="14" t="n">
        <x:f>IF(G1405&lt;=I1405,0,MAX(0,L1404)+IF(E1405="via",MAX(0,G1405-MAX(F1405,I1405)),0))</x:f>
        <x:v>1.7499999999999993</x:v>
      </x:c>
    </x:row>
    <x:row r="1406" ht="42" customHeight="1">
      <x:c r="A1406" s="12" t="str">
        <x:v>DP3-B-R2</x:v>
      </x:c>
      <x:c r="B1406" s="12" t="str">
        <x:v>U23</x:v>
      </x:c>
      <x:c r="C1406" s="12" t="str">
        <x:v>question_arrival</x:v>
      </x:c>
      <x:c r="D1406" s="12" t="str">
        <x:v>Agent 질문 텍스트 도착</x:v>
      </x:c>
      <x:c r="E1406" s="12" t="str">
        <x:v>external</x:v>
      </x:c>
      <x:c r="F1406" s="13" t="n">
        <x:v>-2</x:v>
      </x:c>
      <x:c r="G1406" s="13" t="n">
        <x:v>-2</x:v>
      </x:c>
      <x:c r="H1406" s="13" t="n">
        <x:v>0</x:v>
      </x:c>
      <x:c r="I1406" s="13" t="n">
        <x:v>0</x:v>
      </x:c>
      <x:c r="J1406" s="12" t="str"/>
      <x:c r="K1406" s="12" t="str">
        <x:v>none</x:v>
      </x:c>
      <x:c r="L1406" s="13" t="n">
        <x:f>IF(G1406&lt;=I1406,0,MAX(0)+IF(E1406="via",MAX(0,G1406-MAX(F1406,I1406)),0))</x:f>
        <x:v>0</x:v>
      </x:c>
    </x:row>
    <x:row r="1407" ht="42" customHeight="1">
      <x:c r="A1407" s="7" t="str">
        <x:v>DP3-B-R2</x:v>
      </x:c>
      <x:c r="B1407" s="7" t="str">
        <x:v>U23</x:v>
      </x:c>
      <x:c r="C1407" s="7" t="str">
        <x:v>question_audio</x:v>
      </x:c>
      <x:c r="D1407" s="7" t="str">
        <x:v>선택한 응답 음성 생성</x:v>
      </x:c>
      <x:c r="E1407" s="7" t="str">
        <x:v>via</x:v>
      </x:c>
      <x:c r="F1407" s="14" t="n">
        <x:v>-2</x:v>
      </x:c>
      <x:c r="G1407" s="14" t="n">
        <x:v>-0.1120000000000001</x:v>
      </x:c>
      <x:c r="H1407" s="14" t="n">
        <x:v>1.888</x:v>
      </x:c>
      <x:c r="I1407" s="14" t="n">
        <x:v>0</x:v>
      </x:c>
      <x:c r="J1407" s="7" t="str">
        <x:v>question_arrival</x:v>
      </x:c>
      <x:c r="K1407" s="7" t="str">
        <x:v>speech</x:v>
      </x:c>
      <x:c r="L1407" s="14" t="n">
        <x:f>IF(G1407&lt;=I1407,0,MAX(0,L1406)+IF(E1407="via",MAX(0,G1407-MAX(F1407,I1407)),0))</x:f>
        <x:v>0</x:v>
      </x:c>
    </x:row>
    <x:row r="1408" ht="42" customHeight="1">
      <x:c r="A1408" s="12" t="str">
        <x:v>DP3-B-R2</x:v>
      </x:c>
      <x:c r="B1408" s="12" t="str">
        <x:v>U23</x:v>
      </x:c>
      <x:c r="C1408" s="12" t="str">
        <x:v>final_result_audio</x:v>
      </x:c>
      <x:c r="D1408" s="12" t="str">
        <x:v>새 업무 최종 결과 음성 준비</x:v>
      </x:c>
      <x:c r="E1408" s="12" t="str">
        <x:v>via</x:v>
      </x:c>
      <x:c r="F1408" s="13" t="n">
        <x:v>9.71</x:v>
      </x:c>
      <x:c r="G1408" s="13" t="n">
        <x:v>11.598</x:v>
      </x:c>
      <x:c r="H1408" s="13" t="n">
        <x:v>1.888</x:v>
      </x:c>
      <x:c r="I1408" s="13" t="n">
        <x:v>0</x:v>
      </x:c>
      <x:c r="J1408" s="12" t="str">
        <x:v>agent_result</x:v>
      </x:c>
      <x:c r="K1408" s="12" t="str">
        <x:v>speech</x:v>
      </x:c>
      <x:c r="L1408" s="13" t="n">
        <x:f>IF(G1408&lt;=I1408,0,MAX(0,L1404)+IF(E1408="via",MAX(0,G1408-MAX(F1408,I1408)),0))</x:f>
        <x:v>3.598</x:v>
      </x:c>
    </x:row>
    <x:row r="1409" ht="42" customHeight="1">
      <x:c r="A1409" s="7" t="str">
        <x:v>DP3-B-R2</x:v>
      </x:c>
      <x:c r="B1409" s="7" t="str">
        <x:v>U23</x:v>
      </x:c>
      <x:c r="C1409" s="7" t="str">
        <x:v>first_chunk</x:v>
      </x:c>
      <x:c r="D1409" s="7" t="str">
        <x:v>같은 생성 job의 유효 첫 chunk 관측</x:v>
      </x:c>
      <x:c r="E1409" s="7" t="str">
        <x:v>via</x:v>
      </x:c>
      <x:c r="F1409" s="14" t="n">
        <x:v>-2</x:v>
      </x:c>
      <x:c r="G1409" s="14" t="n">
        <x:v>-1.562</x:v>
      </x:c>
      <x:c r="H1409" s="14" t="n">
        <x:v>0.438</x:v>
      </x:c>
      <x:c r="I1409" s="14" t="n">
        <x:v>0</x:v>
      </x:c>
      <x:c r="J1409" s="7" t="str">
        <x:v>question_arrival</x:v>
      </x:c>
      <x:c r="K1409" s="7" t="str">
        <x:v>none</x:v>
      </x:c>
      <x:c r="L1409" s="14" t="n">
        <x:f>IF(G1409&lt;=I1409,0,MAX(0,L1406)+IF(E1409="via",MAX(0,G1409-MAX(F1409,I1409)),0))</x:f>
        <x:v>0</x:v>
      </x:c>
    </x:row>
    <x:row r="1410" ht="42" customHeight="1">
      <x:c r="A1410" s="12" t="str">
        <x:v>DP3-B-R2</x:v>
      </x:c>
      <x:c r="B1410" s="12" t="str">
        <x:v>U23</x:v>
      </x:c>
      <x:c r="C1410" s="12" t="str">
        <x:v>first_audio_output</x:v>
      </x:c>
      <x:c r="D1410" s="12" t="str">
        <x:v>공통 장치의 첫 음성 출력</x:v>
      </x:c>
      <x:c r="E1410" s="12" t="str">
        <x:v>via</x:v>
      </x:c>
      <x:c r="F1410" s="13" t="n">
        <x:v>1.6700000000000002</x:v>
      </x:c>
      <x:c r="G1410" s="13" t="n">
        <x:v>1.7100000000000002</x:v>
      </x:c>
      <x:c r="H1410" s="13" t="n">
        <x:v>0.04</x:v>
      </x:c>
      <x:c r="I1410" s="13" t="n">
        <x:v>0</x:v>
      </x:c>
      <x:c r="J1410" s="12" t="str">
        <x:v>adopt, first_chunk</x:v>
      </x:c>
      <x:c r="K1410" s="12" t="str">
        <x:v>none</x:v>
      </x:c>
      <x:c r="L1410" s="13" t="n">
        <x:f>IF(G1410&lt;=I1410,0,MAX(0,L1401,L1409)+IF(E1410="via",MAX(0,G1410-MAX(F1410,I1410)),0))</x:f>
        <x:v>1.7100000000000002</x:v>
      </x:c>
    </x:row>
    <x:row r="1411" ht="42" customHeight="1">
      <x:c r="A1411" s="7" t="str">
        <x:v>DP3-B-R2</x:v>
      </x:c>
      <x:c r="B1411" s="7" t="str">
        <x:v>U23</x:v>
      </x:c>
      <x:c r="C1411" s="7" t="str">
        <x:v>next_speech_selection</x:v>
      </x:c>
      <x:c r="D1411" s="7" t="str">
        <x:v>현재 발화 재생 후 다음 응답 선택</x:v>
      </x:c>
      <x:c r="E1411" s="7" t="str">
        <x:v>external</x:v>
      </x:c>
      <x:c r="F1411" s="14" t="n">
        <x:v>1.7100000000000002</x:v>
      </x:c>
      <x:c r="G1411" s="14" t="n">
        <x:v>7.71</x:v>
      </x:c>
      <x:c r="H1411" s="14" t="n">
        <x:v>6</x:v>
      </x:c>
      <x:c r="I1411" s="14" t="n">
        <x:v>0</x:v>
      </x:c>
      <x:c r="J1411" s="7" t="str">
        <x:v>first_audio_output</x:v>
      </x:c>
      <x:c r="K1411" s="7" t="str">
        <x:v>none</x:v>
      </x:c>
      <x:c r="L1411" s="14" t="n">
        <x:f>IF(G1411&lt;=I1411,0,MAX(0,L1410)+IF(E1411="via",MAX(0,G1411-MAX(F1411,I1411)),0))</x:f>
        <x:v>1.7100000000000002</x:v>
      </x:c>
    </x:row>
    <x:row r="1412" ht="42" customHeight="1">
      <x:c r="A1412" s="12" t="str">
        <x:v>DP3-B-R2</x:v>
      </x:c>
      <x:c r="B1412" s="12" t="str">
        <x:v>U23</x:v>
      </x:c>
      <x:c r="C1412" s="12" t="str">
        <x:v>terminal</x:v>
      </x:c>
      <x:c r="D1412" s="12" t="str">
        <x:v>공통 목표 최종 상태와 전체 음성 준비</x:v>
      </x:c>
      <x:c r="E1412" s="12" t="str">
        <x:v>via</x:v>
      </x:c>
      <x:c r="F1412" s="13" t="n">
        <x:v>11.598</x:v>
      </x:c>
      <x:c r="G1412" s="13" t="n">
        <x:v>11.598</x:v>
      </x:c>
      <x:c r="H1412" s="13" t="n">
        <x:v>0</x:v>
      </x:c>
      <x:c r="I1412" s="13" t="n">
        <x:v>0</x:v>
      </x:c>
      <x:c r="J1412" s="12" t="str">
        <x:v>result_display, question_audio, first_audio_output, final_result_audio</x:v>
      </x:c>
      <x:c r="K1412" s="12" t="str">
        <x:v>none</x:v>
      </x:c>
      <x:c r="L1412" s="13" t="n">
        <x:f>IF(G1412&lt;=I1412,0,MAX(0,L1405,L1407,L1410,L1408)+IF(E1412="via",MAX(0,G1412-MAX(F1412,I1412)),0))</x:f>
        <x:v>3.598</x:v>
      </x:c>
    </x:row>
    <x:row r="1413" ht="42" customHeight="1">
      <x:c r="A1413" s="7" t="str">
        <x:v>DP3-B-R2</x:v>
      </x:c>
      <x:c r="B1413" s="7" t="str">
        <x:v>U24</x:v>
      </x:c>
      <x:c r="C1413" s="7" t="str">
        <x:v>bg1</x:v>
      </x:c>
      <x:c r="D1413" s="7" t="str">
        <x:v>진행 중인 현재 대화의 의미 step</x:v>
      </x:c>
      <x:c r="E1413" s="7" t="str">
        <x:v>via</x:v>
      </x:c>
      <x:c r="F1413" s="14" t="n">
        <x:v>-1</x:v>
      </x:c>
      <x:c r="G1413" s="14" t="n">
        <x:v>2.4</x:v>
      </x:c>
      <x:c r="H1413" s="14" t="n">
        <x:v>3.4</x:v>
      </x:c>
      <x:c r="I1413" s="14" t="n">
        <x:v>-6</x:v>
      </x:c>
      <x:c r="J1413" s="7" t="str">
        <x:v>original_work</x:v>
      </x:c>
      <x:c r="K1413" s="7" t="str">
        <x:v>semantic</x:v>
      </x:c>
      <x:c r="L1413" s="14" t="n">
        <x:f>IF(G1413&lt;=I1413,0,MAX(0,L1414)+IF(E1413="via",MAX(0,G1413-MAX(F1413,I1413)),0))</x:f>
        <x:v>5.4</x:v>
      </x:c>
    </x:row>
    <x:row r="1414" ht="42" customHeight="1">
      <x:c r="A1414" s="12" t="str">
        <x:v>DP3-B-R2</x:v>
      </x:c>
      <x:c r="B1414" s="12" t="str">
        <x:v>U24</x:v>
      </x:c>
      <x:c r="C1414" s="12" t="str">
        <x:v>original_work</x:v>
      </x:c>
      <x:c r="D1414" s="12" t="str">
        <x:v>원래 목표의 최초 VIA 처리</x:v>
      </x:c>
      <x:c r="E1414" s="12" t="str">
        <x:v>via</x:v>
      </x:c>
      <x:c r="F1414" s="13" t="n">
        <x:v>-6</x:v>
      </x:c>
      <x:c r="G1414" s="13" t="n">
        <x:v>-4</x:v>
      </x:c>
      <x:c r="H1414" s="13" t="n">
        <x:v>2</x:v>
      </x:c>
      <x:c r="I1414" s="13" t="n">
        <x:v>-6</x:v>
      </x:c>
      <x:c r="J1414" s="12" t="str"/>
      <x:c r="K1414" s="12" t="str">
        <x:v>none</x:v>
      </x:c>
      <x:c r="L1414" s="13" t="n">
        <x:f>IF(G1414&lt;=I1414,0,MAX(0)+IF(E1414="via",MAX(0,G1414-MAX(F1414,I1414)),0))</x:f>
        <x:v>2</x:v>
      </x:c>
    </x:row>
    <x:row r="1415" ht="42" customHeight="1">
      <x:c r="A1415" s="7" t="str">
        <x:v>DP3-B-R2</x:v>
      </x:c>
      <x:c r="B1415" s="7" t="str">
        <x:v>U24</x:v>
      </x:c>
      <x:c r="C1415" s="7" t="str">
        <x:v>input_end</x:v>
      </x:c>
      <x:c r="D1415" s="7" t="str">
        <x:v>사용자 입력 종료</x:v>
      </x:c>
      <x:c r="E1415" s="7" t="str">
        <x:v>external</x:v>
      </x:c>
      <x:c r="F1415" s="14" t="n">
        <x:v>0</x:v>
      </x:c>
      <x:c r="G1415" s="14" t="n">
        <x:v>0</x:v>
      </x:c>
      <x:c r="H1415" s="14" t="n">
        <x:v>0</x:v>
      </x:c>
      <x:c r="I1415" s="14" t="n">
        <x:v>-6</x:v>
      </x:c>
      <x:c r="J1415" s="7" t="str">
        <x:v>original_work</x:v>
      </x:c>
      <x:c r="K1415" s="7" t="str">
        <x:v>none</x:v>
      </x:c>
      <x:c r="L1415" s="14" t="n">
        <x:f>IF(G1415&lt;=I1415,0,MAX(0,L1414)+IF(E1415="via",MAX(0,G1415-MAX(F1415,I1415)),0))</x:f>
        <x:v>2</x:v>
      </x:c>
    </x:row>
    <x:row r="1416" ht="42" customHeight="1">
      <x:c r="A1416" s="12" t="str">
        <x:v>DP3-B-R2</x:v>
      </x:c>
      <x:c r="B1416" s="12" t="str">
        <x:v>U24</x:v>
      </x:c>
      <x:c r="C1416" s="12" t="str">
        <x:v>intake</x:v>
      </x:c>
      <x:c r="D1416" s="12" t="str">
        <x:v>입력 확정</x:v>
      </x:c>
      <x:c r="E1416" s="12" t="str">
        <x:v>via</x:v>
      </x:c>
      <x:c r="F1416" s="13" t="n">
        <x:v>0</x:v>
      </x:c>
      <x:c r="G1416" s="13" t="n">
        <x:v>0.3</x:v>
      </x:c>
      <x:c r="H1416" s="13" t="n">
        <x:v>0.3</x:v>
      </x:c>
      <x:c r="I1416" s="13" t="n">
        <x:v>-6</x:v>
      </x:c>
      <x:c r="J1416" s="12" t="str">
        <x:v>input_end</x:v>
      </x:c>
      <x:c r="K1416" s="12" t="str">
        <x:v>none</x:v>
      </x:c>
      <x:c r="L1416" s="13" t="n">
        <x:f>IF(G1416&lt;=I1416,0,MAX(0,L1415)+IF(E1416="via",MAX(0,G1416-MAX(F1416,I1416)),0))</x:f>
        <x:v>2.3</x:v>
      </x:c>
    </x:row>
    <x:row r="1417" ht="42" customHeight="1">
      <x:c r="A1417" s="7" t="str">
        <x:v>DP3-B-R2</x:v>
      </x:c>
      <x:c r="B1417" s="7" t="str">
        <x:v>U24</x:v>
      </x:c>
      <x:c r="C1417" s="7" t="str">
        <x:v>read</x:v>
      </x:c>
      <x:c r="D1417" s="7" t="str">
        <x:v>공통 허용 원본 조회</x:v>
      </x:c>
      <x:c r="E1417" s="7" t="str">
        <x:v>via</x:v>
      </x:c>
      <x:c r="F1417" s="14" t="n">
        <x:v>0.3</x:v>
      </x:c>
      <x:c r="G1417" s="14" t="n">
        <x:v>0.38</x:v>
      </x:c>
      <x:c r="H1417" s="14" t="n">
        <x:v>0.08</x:v>
      </x:c>
      <x:c r="I1417" s="14" t="n">
        <x:v>-6</x:v>
      </x:c>
      <x:c r="J1417" s="7" t="str">
        <x:v>intake</x:v>
      </x:c>
      <x:c r="K1417" s="7" t="str">
        <x:v>none</x:v>
      </x:c>
      <x:c r="L1417" s="14" t="n">
        <x:f>IF(G1417&lt;=I1417,0,MAX(0,L1416)+IF(E1417="via",MAX(0,G1417-MAX(F1417,I1417)),0))</x:f>
        <x:v>2.38</x:v>
      </x:c>
    </x:row>
    <x:row r="1418" ht="42" customHeight="1">
      <x:c r="A1418" s="12" t="str">
        <x:v>DP3-B-R2</x:v>
      </x:c>
      <x:c r="B1418" s="12" t="str">
        <x:v>U24</x:v>
      </x:c>
      <x:c r="C1418" s="12" t="str">
        <x:v>now_ui_boot</x:v>
      </x:c>
      <x:c r="D1418" s="12" t="str">
        <x:v>ui runtime 시작</x:v>
      </x:c>
      <x:c r="E1418" s="12" t="str">
        <x:v>via</x:v>
      </x:c>
      <x:c r="F1418" s="13" t="n">
        <x:v>0.38</x:v>
      </x:c>
      <x:c r="G1418" s="13" t="n">
        <x:v>1.58</x:v>
      </x:c>
      <x:c r="H1418" s="13" t="n">
        <x:v>1.2</x:v>
      </x:c>
      <x:c r="I1418" s="13" t="n">
        <x:v>-6</x:v>
      </x:c>
      <x:c r="J1418" s="12" t="str">
        <x:v>read</x:v>
      </x:c>
      <x:c r="K1418" s="12" t="str">
        <x:v>visual</x:v>
      </x:c>
      <x:c r="L1418" s="13" t="n">
        <x:f>IF(G1418&lt;=I1418,0,MAX(0,L1417)+IF(E1418="via",MAX(0,G1418-MAX(F1418,I1418)),0))</x:f>
        <x:v>3.58</x:v>
      </x:c>
    </x:row>
    <x:row r="1419" ht="42" customHeight="1">
      <x:c r="A1419" s="7" t="str">
        <x:v>DP3-B-R2</x:v>
      </x:c>
      <x:c r="B1419" s="7" t="str">
        <x:v>U24</x:v>
      </x:c>
      <x:c r="C1419" s="7" t="str">
        <x:v>now_ui_load</x:v>
      </x:c>
      <x:c r="D1419" s="7" t="str">
        <x:v>ui 모델 적재</x:v>
      </x:c>
      <x:c r="E1419" s="7" t="str">
        <x:v>via</x:v>
      </x:c>
      <x:c r="F1419" s="14" t="n">
        <x:v>1.58</x:v>
      </x:c>
      <x:c r="G1419" s="14" t="n">
        <x:v>2.68</x:v>
      </x:c>
      <x:c r="H1419" s="14" t="n">
        <x:v>1.1</x:v>
      </x:c>
      <x:c r="I1419" s="14" t="n">
        <x:v>-6</x:v>
      </x:c>
      <x:c r="J1419" s="7" t="str">
        <x:v>read, now_ui_boot</x:v>
      </x:c>
      <x:c r="K1419" s="7" t="str">
        <x:v>visual</x:v>
      </x:c>
      <x:c r="L1419" s="14" t="n">
        <x:f>IF(G1419&lt;=I1419,0,MAX(0,L1417,L1418)+IF(E1419="via",MAX(0,G1419-MAX(F1419,I1419)),0))</x:f>
        <x:v>4.68</x:v>
      </x:c>
    </x:row>
    <x:row r="1420" ht="42" customHeight="1">
      <x:c r="A1420" s="12" t="str">
        <x:v>DP3-B-R2</x:v>
      </x:c>
      <x:c r="B1420" s="12" t="str">
        <x:v>U24</x:v>
      </x:c>
      <x:c r="C1420" s="12" t="str">
        <x:v>now_ui_infer</x:v>
      </x:c>
      <x:c r="D1420" s="12" t="str">
        <x:v>ui 후보 생산</x:v>
      </x:c>
      <x:c r="E1420" s="12" t="str">
        <x:v>via</x:v>
      </x:c>
      <x:c r="F1420" s="13" t="n">
        <x:v>2.68</x:v>
      </x:c>
      <x:c r="G1420" s="13" t="n">
        <x:v>4.28</x:v>
      </x:c>
      <x:c r="H1420" s="13" t="n">
        <x:v>1.6</x:v>
      </x:c>
      <x:c r="I1420" s="13" t="n">
        <x:v>-6</x:v>
      </x:c>
      <x:c r="J1420" s="12" t="str">
        <x:v>now_ui_load</x:v>
      </x:c>
      <x:c r="K1420" s="12" t="str">
        <x:v>visual</x:v>
      </x:c>
      <x:c r="L1420" s="13" t="n">
        <x:f>IF(G1420&lt;=I1420,0,MAX(0,L1419)+IF(E1420="via",MAX(0,G1420-MAX(F1420,I1420)),0))</x:f>
        <x:v>6.279999999999999</x:v>
      </x:c>
    </x:row>
    <x:row r="1421" ht="42" customHeight="1">
      <x:c r="A1421" s="7" t="str">
        <x:v>DP3-B-R2</x:v>
      </x:c>
      <x:c r="B1421" s="7" t="str">
        <x:v>U24</x:v>
      </x:c>
      <x:c r="C1421" s="7" t="str">
        <x:v>now_sam_load</x:v>
      </x:c>
      <x:c r="D1421" s="7" t="str">
        <x:v>sam 모델 적재</x:v>
      </x:c>
      <x:c r="E1421" s="7" t="str">
        <x:v>via</x:v>
      </x:c>
      <x:c r="F1421" s="14" t="n">
        <x:v>4.28</x:v>
      </x:c>
      <x:c r="G1421" s="14" t="n">
        <x:v>4.930000000000001</x:v>
      </x:c>
      <x:c r="H1421" s="14" t="n">
        <x:v>0.65</x:v>
      </x:c>
      <x:c r="I1421" s="14" t="n">
        <x:v>-6</x:v>
      </x:c>
      <x:c r="J1421" s="7" t="str">
        <x:v>now_ui_infer, now_ui_boot</x:v>
      </x:c>
      <x:c r="K1421" s="7" t="str">
        <x:v>visual</x:v>
      </x:c>
      <x:c r="L1421" s="14" t="n">
        <x:f>IF(G1421&lt;=I1421,0,MAX(0,L1420,L1418)+IF(E1421="via",MAX(0,G1421-MAX(F1421,I1421)),0))</x:f>
        <x:v>6.93</x:v>
      </x:c>
    </x:row>
    <x:row r="1422" ht="42" customHeight="1">
      <x:c r="A1422" s="12" t="str">
        <x:v>DP3-B-R2</x:v>
      </x:c>
      <x:c r="B1422" s="12" t="str">
        <x:v>U24</x:v>
      </x:c>
      <x:c r="C1422" s="12" t="str">
        <x:v>now_sam_infer</x:v>
      </x:c>
      <x:c r="D1422" s="12" t="str">
        <x:v>sam 후보 생산</x:v>
      </x:c>
      <x:c r="E1422" s="12" t="str">
        <x:v>via</x:v>
      </x:c>
      <x:c r="F1422" s="13" t="n">
        <x:v>4.930000000000001</x:v>
      </x:c>
      <x:c r="G1422" s="13" t="n">
        <x:v>9.030000000000001</x:v>
      </x:c>
      <x:c r="H1422" s="13" t="n">
        <x:v>4.1</x:v>
      </x:c>
      <x:c r="I1422" s="13" t="n">
        <x:v>-6</x:v>
      </x:c>
      <x:c r="J1422" s="12" t="str">
        <x:v>now_sam_load</x:v>
      </x:c>
      <x:c r="K1422" s="12" t="str">
        <x:v>visual</x:v>
      </x:c>
      <x:c r="L1422" s="13" t="n">
        <x:f>IF(G1422&lt;=I1422,0,MAX(0,L1421)+IF(E1422="via",MAX(0,G1422-MAX(F1422,I1422)),0))</x:f>
        <x:v>11.030000000000001</x:v>
      </x:c>
    </x:row>
    <x:row r="1423" ht="42" customHeight="1">
      <x:c r="A1423" s="7" t="str">
        <x:v>DP3-B-R2</x:v>
      </x:c>
      <x:c r="B1423" s="7" t="str">
        <x:v>U24</x:v>
      </x:c>
      <x:c r="C1423" s="7" t="str">
        <x:v>expand_need</x:v>
      </x:c>
      <x:c r="D1423" s="7" t="str">
        <x:v>초기 binder의 부족 판정과 ExpandNeed 생성</x:v>
      </x:c>
      <x:c r="E1423" s="7" t="str">
        <x:v>via</x:v>
      </x:c>
      <x:c r="F1423" s="14" t="n">
        <x:v>9.030000000000001</x:v>
      </x:c>
      <x:c r="G1423" s="14" t="n">
        <x:v>9.903333333333334</x:v>
      </x:c>
      <x:c r="H1423" s="14" t="n">
        <x:v>0.8733333333333333</x:v>
      </x:c>
      <x:c r="I1423" s="14" t="n">
        <x:v>-6</x:v>
      </x:c>
      <x:c r="J1423" s="7" t="str">
        <x:v>now_sam_infer</x:v>
      </x:c>
      <x:c r="K1423" s="7" t="str">
        <x:v>semantic</x:v>
      </x:c>
      <x:c r="L1423" s="14" t="n">
        <x:f>IF(G1423&lt;=I1423,0,MAX(0,L1422)+IF(E1423="via",MAX(0,G1423-MAX(F1423,I1423)),0))</x:f>
        <x:v>11.903333333333334</x:v>
      </x:c>
    </x:row>
    <x:row r="1424" ht="42" customHeight="1">
      <x:c r="A1424" s="12" t="str">
        <x:v>DP3-B-R2</x:v>
      </x:c>
      <x:c r="B1424" s="12" t="str">
        <x:v>U24</x:v>
      </x:c>
      <x:c r="C1424" s="12" t="str">
        <x:v>raw_expansion</x:v>
      </x:c>
      <x:c r="D1424" s="12" t="str">
        <x:v>ExpandNeed에 따른 원본 확장 조회</x:v>
      </x:c>
      <x:c r="E1424" s="12" t="str">
        <x:v>via</x:v>
      </x:c>
      <x:c r="F1424" s="13" t="n">
        <x:v>9.903333333333334</x:v>
      </x:c>
      <x:c r="G1424" s="13" t="n">
        <x:v>9.983333333333334</x:v>
      </x:c>
      <x:c r="H1424" s="13" t="n">
        <x:v>0.08</x:v>
      </x:c>
      <x:c r="I1424" s="13" t="n">
        <x:v>-6</x:v>
      </x:c>
      <x:c r="J1424" s="12" t="str">
        <x:v>expand_need</x:v>
      </x:c>
      <x:c r="K1424" s="12" t="str">
        <x:v>none</x:v>
      </x:c>
      <x:c r="L1424" s="13" t="n">
        <x:f>IF(G1424&lt;=I1424,0,MAX(0,L1423)+IF(E1424="via",MAX(0,G1424-MAX(F1424,I1424)),0))</x:f>
        <x:v>11.983333333333334</x:v>
      </x:c>
    </x:row>
    <x:row r="1425" ht="42" customHeight="1">
      <x:c r="A1425" s="7" t="str">
        <x:v>DP3-B-R2</x:v>
      </x:c>
      <x:c r="B1425" s="7" t="str">
        <x:v>U24</x:v>
      </x:c>
      <x:c r="C1425" s="7" t="str">
        <x:v>expand_ui_infer</x:v>
      </x:c>
      <x:c r="D1425" s="7" t="str">
        <x:v>ui 후보 생산</x:v>
      </x:c>
      <x:c r="E1425" s="7" t="str">
        <x:v>via</x:v>
      </x:c>
      <x:c r="F1425" s="14" t="n">
        <x:v>9.983333333333334</x:v>
      </x:c>
      <x:c r="G1425" s="14" t="n">
        <x:v>11.583333333333334</x:v>
      </x:c>
      <x:c r="H1425" s="14" t="n">
        <x:v>1.6</x:v>
      </x:c>
      <x:c r="I1425" s="14" t="n">
        <x:v>-6</x:v>
      </x:c>
      <x:c r="J1425" s="7" t="str">
        <x:v>raw_expansion, now_ui_boot</x:v>
      </x:c>
      <x:c r="K1425" s="7" t="str">
        <x:v>visual</x:v>
      </x:c>
      <x:c r="L1425" s="14" t="n">
        <x:f>IF(G1425&lt;=I1425,0,MAX(0,L1424,L1418)+IF(E1425="via",MAX(0,G1425-MAX(F1425,I1425)),0))</x:f>
        <x:v>13.583333333333334</x:v>
      </x:c>
    </x:row>
    <x:row r="1426" ht="42" customHeight="1">
      <x:c r="A1426" s="12" t="str">
        <x:v>DP3-B-R2</x:v>
      </x:c>
      <x:c r="B1426" s="12" t="str">
        <x:v>U24</x:v>
      </x:c>
      <x:c r="C1426" s="12" t="str">
        <x:v>expand_sam_infer</x:v>
      </x:c>
      <x:c r="D1426" s="12" t="str">
        <x:v>sam 후보 생산</x:v>
      </x:c>
      <x:c r="E1426" s="12" t="str">
        <x:v>via</x:v>
      </x:c>
      <x:c r="F1426" s="13" t="n">
        <x:v>11.583333333333334</x:v>
      </x:c>
      <x:c r="G1426" s="13" t="n">
        <x:v>13.633333333333333</x:v>
      </x:c>
      <x:c r="H1426" s="13" t="n">
        <x:v>2.05</x:v>
      </x:c>
      <x:c r="I1426" s="13" t="n">
        <x:v>-6</x:v>
      </x:c>
      <x:c r="J1426" s="12" t="str">
        <x:v>expand_ui_infer, now_ui_boot</x:v>
      </x:c>
      <x:c r="K1426" s="12" t="str">
        <x:v>visual</x:v>
      </x:c>
      <x:c r="L1426" s="13" t="n">
        <x:f>IF(G1426&lt;=I1426,0,MAX(0,L1425,L1418)+IF(E1426="via",MAX(0,G1426-MAX(F1426,I1426)),0))</x:f>
        <x:v>15.633333333333333</x:v>
      </x:c>
    </x:row>
    <x:row r="1427" ht="42" customHeight="1">
      <x:c r="A1427" s="7" t="str">
        <x:v>DP3-B-R2</x:v>
      </x:c>
      <x:c r="B1427" s="7" t="str">
        <x:v>U24</x:v>
      </x:c>
      <x:c r="C1427" s="7" t="str">
        <x:v>expanded_revision</x:v>
      </x:c>
      <x:c r="D1427" s="7" t="str">
        <x:v>확장 후보 revision 게시 및 결합 재개</x:v>
      </x:c>
      <x:c r="E1427" s="7" t="str">
        <x:v>via</x:v>
      </x:c>
      <x:c r="F1427" s="14" t="n">
        <x:v>13.633333333333333</x:v>
      </x:c>
      <x:c r="G1427" s="14" t="n">
        <x:v>13.663333333333332</x:v>
      </x:c>
      <x:c r="H1427" s="14" t="n">
        <x:v>0.03</x:v>
      </x:c>
      <x:c r="I1427" s="14" t="n">
        <x:v>-6</x:v>
      </x:c>
      <x:c r="J1427" s="7" t="str">
        <x:v>expand_sam_infer</x:v>
      </x:c>
      <x:c r="K1427" s="7" t="str">
        <x:v>none</x:v>
      </x:c>
      <x:c r="L1427" s="14" t="n">
        <x:f>IF(G1427&lt;=I1427,0,MAX(0,L1426)+IF(E1427="via",MAX(0,G1427-MAX(F1427,I1427)),0))</x:f>
        <x:v>15.663333333333332</x:v>
      </x:c>
    </x:row>
    <x:row r="1428" ht="42" customHeight="1">
      <x:c r="A1428" s="12" t="str">
        <x:v>DP3-B-R2</x:v>
      </x:c>
      <x:c r="B1428" s="12" t="str">
        <x:v>U24</x:v>
      </x:c>
      <x:c r="C1428" s="12" t="str">
        <x:v>meaning</x:v>
      </x:c>
      <x:c r="D1428" s="12" t="str">
        <x:v>최초 요청 의미 채택 packet 생성</x:v>
      </x:c>
      <x:c r="E1428" s="12" t="str">
        <x:v>via</x:v>
      </x:c>
      <x:c r="F1428" s="13" t="n">
        <x:v>13.663333333333332</x:v>
      </x:c>
      <x:c r="G1428" s="13" t="n">
        <x:v>15.486666666666666</x:v>
      </x:c>
      <x:c r="H1428" s="13" t="n">
        <x:v>1.8233333333333335</x:v>
      </x:c>
      <x:c r="I1428" s="13" t="n">
        <x:v>-6</x:v>
      </x:c>
      <x:c r="J1428" s="12" t="str">
        <x:v>expanded_revision, bg1</x:v>
      </x:c>
      <x:c r="K1428" s="12" t="str">
        <x:v>semantic</x:v>
      </x:c>
      <x:c r="L1428" s="13" t="n">
        <x:f>IF(G1428&lt;=I1428,0,MAX(0,L1427,L1413)+IF(E1428="via",MAX(0,G1428-MAX(F1428,I1428)),0))</x:f>
        <x:v>17.486666666666665</x:v>
      </x:c>
    </x:row>
    <x:row r="1429" ht="42" customHeight="1">
      <x:c r="A1429" s="7" t="str">
        <x:v>DP3-B-R2</x:v>
      </x:c>
      <x:c r="B1429" s="7" t="str">
        <x:v>U24</x:v>
      </x:c>
      <x:c r="C1429" s="7" t="str">
        <x:v>adopt</x:v>
      </x:c>
      <x:c r="D1429" s="7" t="str">
        <x:v>현재 revision과 권한 검사 및 채택</x:v>
      </x:c>
      <x:c r="E1429" s="7" t="str">
        <x:v>via</x:v>
      </x:c>
      <x:c r="F1429" s="14" t="n">
        <x:v>15.486666666666666</x:v>
      </x:c>
      <x:c r="G1429" s="14" t="n">
        <x:v>15.516666666666666</x:v>
      </x:c>
      <x:c r="H1429" s="14" t="n">
        <x:v>0.03</x:v>
      </x:c>
      <x:c r="I1429" s="14" t="n">
        <x:v>-6</x:v>
      </x:c>
      <x:c r="J1429" s="7" t="str">
        <x:v>meaning</x:v>
      </x:c>
      <x:c r="K1429" s="7" t="str">
        <x:v>none</x:v>
      </x:c>
      <x:c r="L1429" s="14" t="n">
        <x:f>IF(G1429&lt;=I1429,0,MAX(0,L1428)+IF(E1429="via",MAX(0,G1429-MAX(F1429,I1429)),0))</x:f>
        <x:v>17.516666666666666</x:v>
      </x:c>
    </x:row>
    <x:row r="1430" ht="42" customHeight="1">
      <x:c r="A1430" s="12" t="str">
        <x:v>DP3-B-R2</x:v>
      </x:c>
      <x:c r="B1430" s="12" t="str">
        <x:v>U24</x:v>
      </x:c>
      <x:c r="C1430" s="12" t="str">
        <x:v>first_display</x:v>
      </x:c>
      <x:c r="D1430" s="12" t="str">
        <x:v>첫 구체적 채택 내용 화면 표시</x:v>
      </x:c>
      <x:c r="E1430" s="12" t="str">
        <x:v>via</x:v>
      </x:c>
      <x:c r="F1430" s="13" t="n">
        <x:v>15.516666666666666</x:v>
      </x:c>
      <x:c r="G1430" s="13" t="n">
        <x:v>15.556666666666665</x:v>
      </x:c>
      <x:c r="H1430" s="13" t="n">
        <x:v>0.04</x:v>
      </x:c>
      <x:c r="I1430" s="13" t="n">
        <x:v>-6</x:v>
      </x:c>
      <x:c r="J1430" s="12" t="str">
        <x:v>adopt</x:v>
      </x:c>
      <x:c r="K1430" s="12" t="str">
        <x:v>none</x:v>
      </x:c>
      <x:c r="L1430" s="13" t="n">
        <x:f>IF(G1430&lt;=I1430,0,MAX(0,L1429)+IF(E1430="via",MAX(0,G1430-MAX(F1430,I1430)),0))</x:f>
        <x:v>17.556666666666665</x:v>
      </x:c>
    </x:row>
    <x:row r="1431" ht="42" customHeight="1">
      <x:c r="A1431" s="7" t="str">
        <x:v>DP3-B-R2</x:v>
      </x:c>
      <x:c r="B1431" s="7" t="str">
        <x:v>U24</x:v>
      </x:c>
      <x:c r="C1431" s="7" t="str">
        <x:v>agent_ingress</x:v>
      </x:c>
      <x:c r="D1431" s="7" t="str">
        <x:v>Agent 요청 전송</x:v>
      </x:c>
      <x:c r="E1431" s="7" t="str">
        <x:v>via</x:v>
      </x:c>
      <x:c r="F1431" s="14" t="n">
        <x:v>15.516666666666666</x:v>
      </x:c>
      <x:c r="G1431" s="14" t="n">
        <x:v>15.556666666666665</x:v>
      </x:c>
      <x:c r="H1431" s="14" t="n">
        <x:v>0.04</x:v>
      </x:c>
      <x:c r="I1431" s="14" t="n">
        <x:v>-6</x:v>
      </x:c>
      <x:c r="J1431" s="7" t="str">
        <x:v>adopt</x:v>
      </x:c>
      <x:c r="K1431" s="7" t="str">
        <x:v>none</x:v>
      </x:c>
      <x:c r="L1431" s="14" t="n">
        <x:f>IF(G1431&lt;=I1431,0,MAX(0,L1429)+IF(E1431="via",MAX(0,G1431-MAX(F1431,I1431)),0))</x:f>
        <x:v>17.556666666666665</x:v>
      </x:c>
    </x:row>
    <x:row r="1432" ht="42" customHeight="1">
      <x:c r="A1432" s="12" t="str">
        <x:v>DP3-B-R2</x:v>
      </x:c>
      <x:c r="B1432" s="12" t="str">
        <x:v>U24</x:v>
      </x:c>
      <x:c r="C1432" s="12" t="str">
        <x:v>agent_result</x:v>
      </x:c>
      <x:c r="D1432" s="12" t="str">
        <x:v>외부 Agent 업무</x:v>
      </x:c>
      <x:c r="E1432" s="12" t="str">
        <x:v>external</x:v>
      </x:c>
      <x:c r="F1432" s="13" t="n">
        <x:v>15.556666666666665</x:v>
      </x:c>
      <x:c r="G1432" s="13" t="n">
        <x:v>23.556666666666665</x:v>
      </x:c>
      <x:c r="H1432" s="13" t="n">
        <x:v>8</x:v>
      </x:c>
      <x:c r="I1432" s="13" t="n">
        <x:v>-6</x:v>
      </x:c>
      <x:c r="J1432" s="12" t="str">
        <x:v>agent_ingress</x:v>
      </x:c>
      <x:c r="K1432" s="12" t="str">
        <x:v>none</x:v>
      </x:c>
      <x:c r="L1432" s="13" t="n">
        <x:f>IF(G1432&lt;=I1432,0,MAX(0,L1431)+IF(E1432="via",MAX(0,G1432-MAX(F1432,I1432)),0))</x:f>
        <x:v>17.556666666666665</x:v>
      </x:c>
    </x:row>
    <x:row r="1433" ht="42" customHeight="1">
      <x:c r="A1433" s="7" t="str">
        <x:v>DP3-B-R2</x:v>
      </x:c>
      <x:c r="B1433" s="7" t="str">
        <x:v>U24</x:v>
      </x:c>
      <x:c r="C1433" s="7" t="str">
        <x:v>result_display</x:v>
      </x:c>
      <x:c r="D1433" s="7" t="str">
        <x:v>최종 결과 상세 표시</x:v>
      </x:c>
      <x:c r="E1433" s="7" t="str">
        <x:v>via</x:v>
      </x:c>
      <x:c r="F1433" s="14" t="n">
        <x:v>23.556666666666665</x:v>
      </x:c>
      <x:c r="G1433" s="14" t="n">
        <x:v>23.596666666666664</x:v>
      </x:c>
      <x:c r="H1433" s="14" t="n">
        <x:v>0.04</x:v>
      </x:c>
      <x:c r="I1433" s="14" t="n">
        <x:v>-6</x:v>
      </x:c>
      <x:c r="J1433" s="7" t="str">
        <x:v>agent_result</x:v>
      </x:c>
      <x:c r="K1433" s="7" t="str">
        <x:v>none</x:v>
      </x:c>
      <x:c r="L1433" s="14" t="n">
        <x:f>IF(G1433&lt;=I1433,0,MAX(0,L1432)+IF(E1433="via",MAX(0,G1433-MAX(F1433,I1433)),0))</x:f>
        <x:v>17.596666666666664</x:v>
      </x:c>
    </x:row>
    <x:row r="1434" ht="42" customHeight="1">
      <x:c r="A1434" s="12" t="str">
        <x:v>DP3-B-R2</x:v>
      </x:c>
      <x:c r="B1434" s="12" t="str">
        <x:v>U24</x:v>
      </x:c>
      <x:c r="C1434" s="12" t="str">
        <x:v>response_audio</x:v>
      </x:c>
      <x:c r="D1434" s="12" t="str">
        <x:v>선택한 응답 음성 생성</x:v>
      </x:c>
      <x:c r="E1434" s="12" t="str">
        <x:v>via</x:v>
      </x:c>
      <x:c r="F1434" s="13" t="n">
        <x:v>23.556666666666665</x:v>
      </x:c>
      <x:c r="G1434" s="13" t="n">
        <x:v>25.444666666666663</x:v>
      </x:c>
      <x:c r="H1434" s="13" t="n">
        <x:v>1.888</x:v>
      </x:c>
      <x:c r="I1434" s="13" t="n">
        <x:v>-6</x:v>
      </x:c>
      <x:c r="J1434" s="12" t="str">
        <x:v>agent_result</x:v>
      </x:c>
      <x:c r="K1434" s="12" t="str">
        <x:v>speech</x:v>
      </x:c>
      <x:c r="L1434" s="13" t="n">
        <x:f>IF(G1434&lt;=I1434,0,MAX(0,L1432)+IF(E1434="via",MAX(0,G1434-MAX(F1434,I1434)),0))</x:f>
        <x:v>19.444666666666663</x:v>
      </x:c>
    </x:row>
    <x:row r="1435" ht="42" customHeight="1">
      <x:c r="A1435" s="7" t="str">
        <x:v>DP3-B-R2</x:v>
      </x:c>
      <x:c r="B1435" s="7" t="str">
        <x:v>U24</x:v>
      </x:c>
      <x:c r="C1435" s="7" t="str">
        <x:v>intent_audio</x:v>
      </x:c>
      <x:c r="D1435" s="7" t="str">
        <x:v>채택한 구체적 수행 의도의 짧은 음성</x:v>
      </x:c>
      <x:c r="E1435" s="7" t="str">
        <x:v>via</x:v>
      </x:c>
      <x:c r="F1435" s="14" t="n">
        <x:v>15.516666666666666</x:v>
      </x:c>
      <x:c r="G1435" s="14" t="n">
        <x:v>16.650666666666666</x:v>
      </x:c>
      <x:c r="H1435" s="14" t="n">
        <x:v>1.134</x:v>
      </x:c>
      <x:c r="I1435" s="14" t="n">
        <x:v>-6</x:v>
      </x:c>
      <x:c r="J1435" s="7" t="str">
        <x:v>adopt</x:v>
      </x:c>
      <x:c r="K1435" s="7" t="str">
        <x:v>speech</x:v>
      </x:c>
      <x:c r="L1435" s="14" t="n">
        <x:f>IF(G1435&lt;=I1435,0,MAX(0,L1429)+IF(E1435="via",MAX(0,G1435-MAX(F1435,I1435)),0))</x:f>
        <x:v>18.650666666666666</x:v>
      </x:c>
    </x:row>
    <x:row r="1436" ht="42" customHeight="1">
      <x:c r="A1436" s="12" t="str">
        <x:v>DP3-B-R2</x:v>
      </x:c>
      <x:c r="B1436" s="12" t="str">
        <x:v>U24</x:v>
      </x:c>
      <x:c r="C1436" s="12" t="str">
        <x:v>first_chunk</x:v>
      </x:c>
      <x:c r="D1436" s="12" t="str">
        <x:v>같은 생성 job의 유효 첫 chunk 관측</x:v>
      </x:c>
      <x:c r="E1436" s="12" t="str">
        <x:v>via</x:v>
      </x:c>
      <x:c r="F1436" s="13" t="n">
        <x:v>15.516666666666666</x:v>
      </x:c>
      <x:c r="G1436" s="13" t="n">
        <x:v>15.950666666666665</x:v>
      </x:c>
      <x:c r="H1436" s="13" t="n">
        <x:v>0.434</x:v>
      </x:c>
      <x:c r="I1436" s="13" t="n">
        <x:v>-6</x:v>
      </x:c>
      <x:c r="J1436" s="12" t="str">
        <x:v>adopt</x:v>
      </x:c>
      <x:c r="K1436" s="12" t="str">
        <x:v>none</x:v>
      </x:c>
      <x:c r="L1436" s="13" t="n">
        <x:f>IF(G1436&lt;=I1436,0,MAX(0,L1429)+IF(E1436="via",MAX(0,G1436-MAX(F1436,I1436)),0))</x:f>
        <x:v>17.950666666666663</x:v>
      </x:c>
    </x:row>
    <x:row r="1437" ht="42" customHeight="1">
      <x:c r="A1437" s="7" t="str">
        <x:v>DP3-B-R2</x:v>
      </x:c>
      <x:c r="B1437" s="7" t="str">
        <x:v>U24</x:v>
      </x:c>
      <x:c r="C1437" s="7" t="str">
        <x:v>first_audio_output</x:v>
      </x:c>
      <x:c r="D1437" s="7" t="str">
        <x:v>공통 장치의 첫 음성 출력</x:v>
      </x:c>
      <x:c r="E1437" s="7" t="str">
        <x:v>via</x:v>
      </x:c>
      <x:c r="F1437" s="14" t="n">
        <x:v>15.950666666666665</x:v>
      </x:c>
      <x:c r="G1437" s="14" t="n">
        <x:v>15.990666666666664</x:v>
      </x:c>
      <x:c r="H1437" s="14" t="n">
        <x:v>0.04</x:v>
      </x:c>
      <x:c r="I1437" s="14" t="n">
        <x:v>-6</x:v>
      </x:c>
      <x:c r="J1437" s="7" t="str">
        <x:v>adopt, first_chunk</x:v>
      </x:c>
      <x:c r="K1437" s="7" t="str">
        <x:v>none</x:v>
      </x:c>
      <x:c r="L1437" s="14" t="n">
        <x:f>IF(G1437&lt;=I1437,0,MAX(0,L1429,L1436)+IF(E1437="via",MAX(0,G1437-MAX(F1437,I1437)),0))</x:f>
        <x:v>17.990666666666662</x:v>
      </x:c>
    </x:row>
    <x:row r="1438" ht="42" customHeight="1">
      <x:c r="A1438" s="12" t="str">
        <x:v>DP3-B-R2</x:v>
      </x:c>
      <x:c r="B1438" s="12" t="str">
        <x:v>U24</x:v>
      </x:c>
      <x:c r="C1438" s="12" t="str">
        <x:v>next_speech_selection</x:v>
      </x:c>
      <x:c r="D1438" s="12" t="str">
        <x:v>현재 발화 재생 후 다음 응답 선택</x:v>
      </x:c>
      <x:c r="E1438" s="12" t="str">
        <x:v>external</x:v>
      </x:c>
      <x:c r="F1438" s="13" t="n">
        <x:v>15.990666666666664</x:v>
      </x:c>
      <x:c r="G1438" s="13" t="n">
        <x:v>18.990666666666662</x:v>
      </x:c>
      <x:c r="H1438" s="13" t="n">
        <x:v>3</x:v>
      </x:c>
      <x:c r="I1438" s="13" t="n">
        <x:v>-6</x:v>
      </x:c>
      <x:c r="J1438" s="12" t="str">
        <x:v>first_audio_output</x:v>
      </x:c>
      <x:c r="K1438" s="12" t="str">
        <x:v>none</x:v>
      </x:c>
      <x:c r="L1438" s="13" t="n">
        <x:f>IF(G1438&lt;=I1438,0,MAX(0,L1437)+IF(E1438="via",MAX(0,G1438-MAX(F1438,I1438)),0))</x:f>
        <x:v>17.990666666666662</x:v>
      </x:c>
    </x:row>
    <x:row r="1439" ht="42" customHeight="1">
      <x:c r="A1439" s="7" t="str">
        <x:v>DP3-B-R2</x:v>
      </x:c>
      <x:c r="B1439" s="7" t="str">
        <x:v>U24</x:v>
      </x:c>
      <x:c r="C1439" s="7" t="str">
        <x:v>terminal</x:v>
      </x:c>
      <x:c r="D1439" s="7" t="str">
        <x:v>공통 목표 최종 상태와 전체 음성 준비</x:v>
      </x:c>
      <x:c r="E1439" s="7" t="str">
        <x:v>via</x:v>
      </x:c>
      <x:c r="F1439" s="14" t="n">
        <x:v>25.444666666666663</x:v>
      </x:c>
      <x:c r="G1439" s="14" t="n">
        <x:v>25.444666666666663</x:v>
      </x:c>
      <x:c r="H1439" s="14" t="n">
        <x:v>0</x:v>
      </x:c>
      <x:c r="I1439" s="14" t="n">
        <x:v>-6</x:v>
      </x:c>
      <x:c r="J1439" s="7" t="str">
        <x:v>result_display, response_audio, intent_audio, first_audio_output</x:v>
      </x:c>
      <x:c r="K1439" s="7" t="str">
        <x:v>none</x:v>
      </x:c>
      <x:c r="L1439" s="14" t="n">
        <x:f>IF(G1439&lt;=I1439,0,MAX(0,L1433,L1434,L1435,L1437)+IF(E1439="via",MAX(0,G1439-MAX(F1439,I1439)),0))</x:f>
        <x:v>19.444666666666663</x:v>
      </x:c>
    </x:row>
    <x:row r="1440" ht="42" customHeight="1">
      <x:c r="A1440" s="12" t="str">
        <x:v>DP3-B-R3</x:v>
      </x:c>
      <x:c r="B1440" s="12" t="str">
        <x:v>U01</x:v>
      </x:c>
      <x:c r="C1440" s="12" t="str">
        <x:v>input_end</x:v>
      </x:c>
      <x:c r="D1440" s="12" t="str">
        <x:v>사용자 입력 종료</x:v>
      </x:c>
      <x:c r="E1440" s="12" t="str">
        <x:v>external</x:v>
      </x:c>
      <x:c r="F1440" s="13" t="n">
        <x:v>0</x:v>
      </x:c>
      <x:c r="G1440" s="13" t="n">
        <x:v>0</x:v>
      </x:c>
      <x:c r="H1440" s="13" t="n">
        <x:v>0</x:v>
      </x:c>
      <x:c r="I1440" s="13" t="n">
        <x:v>0</x:v>
      </x:c>
      <x:c r="J1440" s="12" t="str"/>
      <x:c r="K1440" s="12" t="str">
        <x:v>none</x:v>
      </x:c>
      <x:c r="L1440" s="13" t="n">
        <x:f>IF(G1440&lt;=I1440,0,MAX(0)+IF(E1440="via",MAX(0,G1440-MAX(F1440,I1440)),0))</x:f>
        <x:v>0</x:v>
      </x:c>
    </x:row>
    <x:row r="1441" ht="42" customHeight="1">
      <x:c r="A1441" s="7" t="str">
        <x:v>DP3-B-R3</x:v>
      </x:c>
      <x:c r="B1441" s="7" t="str">
        <x:v>U01</x:v>
      </x:c>
      <x:c r="C1441" s="7" t="str">
        <x:v>intake</x:v>
      </x:c>
      <x:c r="D1441" s="7" t="str">
        <x:v>입력 확정</x:v>
      </x:c>
      <x:c r="E1441" s="7" t="str">
        <x:v>via</x:v>
      </x:c>
      <x:c r="F1441" s="14" t="n">
        <x:v>0</x:v>
      </x:c>
      <x:c r="G1441" s="14" t="n">
        <x:v>0.06</x:v>
      </x:c>
      <x:c r="H1441" s="14" t="n">
        <x:v>0.06</x:v>
      </x:c>
      <x:c r="I1441" s="14" t="n">
        <x:v>0</x:v>
      </x:c>
      <x:c r="J1441" s="7" t="str">
        <x:v>input_end</x:v>
      </x:c>
      <x:c r="K1441" s="7" t="str">
        <x:v>none</x:v>
      </x:c>
      <x:c r="L1441" s="14" t="n">
        <x:f>IF(G1441&lt;=I1441,0,MAX(0,L1440)+IF(E1441="via",MAX(0,G1441-MAX(F1441,I1441)),0))</x:f>
        <x:v>0.06</x:v>
      </x:c>
    </x:row>
    <x:row r="1442" ht="42" customHeight="1">
      <x:c r="A1442" s="12" t="str">
        <x:v>DP3-B-R3</x:v>
      </x:c>
      <x:c r="B1442" s="12" t="str">
        <x:v>U01</x:v>
      </x:c>
      <x:c r="C1442" s="12" t="str">
        <x:v>read</x:v>
      </x:c>
      <x:c r="D1442" s="12" t="str">
        <x:v>공통 허용 원본 조회</x:v>
      </x:c>
      <x:c r="E1442" s="12" t="str">
        <x:v>via</x:v>
      </x:c>
      <x:c r="F1442" s="13" t="n">
        <x:v>0.06</x:v>
      </x:c>
      <x:c r="G1442" s="13" t="n">
        <x:v>0.14</x:v>
      </x:c>
      <x:c r="H1442" s="13" t="n">
        <x:v>0.08</x:v>
      </x:c>
      <x:c r="I1442" s="13" t="n">
        <x:v>0</x:v>
      </x:c>
      <x:c r="J1442" s="12" t="str">
        <x:v>intake</x:v>
      </x:c>
      <x:c r="K1442" s="12" t="str">
        <x:v>none</x:v>
      </x:c>
      <x:c r="L1442" s="13" t="n">
        <x:f>IF(G1442&lt;=I1442,0,MAX(0,L1441)+IF(E1442="via",MAX(0,G1442-MAX(F1442,I1442)),0))</x:f>
        <x:v>0.14</x:v>
      </x:c>
    </x:row>
    <x:row r="1443" ht="42" customHeight="1">
      <x:c r="A1443" s="7" t="str">
        <x:v>DP3-B-R3</x:v>
      </x:c>
      <x:c r="B1443" s="7" t="str">
        <x:v>U01</x:v>
      </x:c>
      <x:c r="C1443" s="7" t="str">
        <x:v>meaning</x:v>
      </x:c>
      <x:c r="D1443" s="7" t="str">
        <x:v>최초 요청 의미 채택 packet 생성</x:v>
      </x:c>
      <x:c r="E1443" s="7" t="str">
        <x:v>via</x:v>
      </x:c>
      <x:c r="F1443" s="14" t="n">
        <x:v>0.14</x:v>
      </x:c>
      <x:c r="G1443" s="14" t="n">
        <x:v>1.2400000000000002</x:v>
      </x:c>
      <x:c r="H1443" s="14" t="n">
        <x:v>1.1</x:v>
      </x:c>
      <x:c r="I1443" s="14" t="n">
        <x:v>0</x:v>
      </x:c>
      <x:c r="J1443" s="7" t="str">
        <x:v>read</x:v>
      </x:c>
      <x:c r="K1443" s="7" t="str">
        <x:v>semantic</x:v>
      </x:c>
      <x:c r="L1443" s="14" t="n">
        <x:f>IF(G1443&lt;=I1443,0,MAX(0,L1442)+IF(E1443="via",MAX(0,G1443-MAX(F1443,I1443)),0))</x:f>
        <x:v>1.2400000000000002</x:v>
      </x:c>
    </x:row>
    <x:row r="1444" ht="42" customHeight="1">
      <x:c r="A1444" s="12" t="str">
        <x:v>DP3-B-R3</x:v>
      </x:c>
      <x:c r="B1444" s="12" t="str">
        <x:v>U01</x:v>
      </x:c>
      <x:c r="C1444" s="12" t="str">
        <x:v>adopt</x:v>
      </x:c>
      <x:c r="D1444" s="12" t="str">
        <x:v>현재 revision과 권한 검사 및 채택</x:v>
      </x:c>
      <x:c r="E1444" s="12" t="str">
        <x:v>via</x:v>
      </x:c>
      <x:c r="F1444" s="13" t="n">
        <x:v>1.2400000000000002</x:v>
      </x:c>
      <x:c r="G1444" s="13" t="n">
        <x:v>1.2700000000000002</x:v>
      </x:c>
      <x:c r="H1444" s="13" t="n">
        <x:v>0.03</x:v>
      </x:c>
      <x:c r="I1444" s="13" t="n">
        <x:v>0</x:v>
      </x:c>
      <x:c r="J1444" s="12" t="str">
        <x:v>meaning</x:v>
      </x:c>
      <x:c r="K1444" s="12" t="str">
        <x:v>none</x:v>
      </x:c>
      <x:c r="L1444" s="13" t="n">
        <x:f>IF(G1444&lt;=I1444,0,MAX(0,L1443)+IF(E1444="via",MAX(0,G1444-MAX(F1444,I1444)),0))</x:f>
        <x:v>1.2700000000000002</x:v>
      </x:c>
    </x:row>
    <x:row r="1445" ht="42" customHeight="1">
      <x:c r="A1445" s="7" t="str">
        <x:v>DP3-B-R3</x:v>
      </x:c>
      <x:c r="B1445" s="7" t="str">
        <x:v>U01</x:v>
      </x:c>
      <x:c r="C1445" s="7" t="str">
        <x:v>first_display</x:v>
      </x:c>
      <x:c r="D1445" s="7" t="str">
        <x:v>첫 구체적 채택 내용 화면 표시</x:v>
      </x:c>
      <x:c r="E1445" s="7" t="str">
        <x:v>via</x:v>
      </x:c>
      <x:c r="F1445" s="14" t="n">
        <x:v>1.2700000000000002</x:v>
      </x:c>
      <x:c r="G1445" s="14" t="n">
        <x:v>1.3100000000000003</x:v>
      </x:c>
      <x:c r="H1445" s="14" t="n">
        <x:v>0.04</x:v>
      </x:c>
      <x:c r="I1445" s="14" t="n">
        <x:v>0</x:v>
      </x:c>
      <x:c r="J1445" s="7" t="str">
        <x:v>adopt</x:v>
      </x:c>
      <x:c r="K1445" s="7" t="str">
        <x:v>none</x:v>
      </x:c>
      <x:c r="L1445" s="14" t="n">
        <x:f>IF(G1445&lt;=I1445,0,MAX(0,L1444)+IF(E1445="via",MAX(0,G1445-MAX(F1445,I1445)),0))</x:f>
        <x:v>1.3100000000000003</x:v>
      </x:c>
    </x:row>
    <x:row r="1446" ht="42" customHeight="1">
      <x:c r="A1446" s="12" t="str">
        <x:v>DP3-B-R3</x:v>
      </x:c>
      <x:c r="B1446" s="12" t="str">
        <x:v>U01</x:v>
      </x:c>
      <x:c r="C1446" s="12" t="str">
        <x:v>response_audio</x:v>
      </x:c>
      <x:c r="D1446" s="12" t="str">
        <x:v>선택한 응답 음성 생성</x:v>
      </x:c>
      <x:c r="E1446" s="12" t="str">
        <x:v>via</x:v>
      </x:c>
      <x:c r="F1446" s="13" t="n">
        <x:v>1.2700000000000002</x:v>
      </x:c>
      <x:c r="G1446" s="13" t="n">
        <x:v>3.1580000000000004</x:v>
      </x:c>
      <x:c r="H1446" s="13" t="n">
        <x:v>1.888</x:v>
      </x:c>
      <x:c r="I1446" s="13" t="n">
        <x:v>0</x:v>
      </x:c>
      <x:c r="J1446" s="12" t="str">
        <x:v>adopt</x:v>
      </x:c>
      <x:c r="K1446" s="12" t="str">
        <x:v>speech</x:v>
      </x:c>
      <x:c r="L1446" s="13" t="n">
        <x:f>IF(G1446&lt;=I1446,0,MAX(0,L1444)+IF(E1446="via",MAX(0,G1446-MAX(F1446,I1446)),0))</x:f>
        <x:v>3.1580000000000004</x:v>
      </x:c>
    </x:row>
    <x:row r="1447" ht="42" customHeight="1">
      <x:c r="A1447" s="7" t="str">
        <x:v>DP3-B-R3</x:v>
      </x:c>
      <x:c r="B1447" s="7" t="str">
        <x:v>U01</x:v>
      </x:c>
      <x:c r="C1447" s="7" t="str">
        <x:v>first_chunk</x:v>
      </x:c>
      <x:c r="D1447" s="7" t="str">
        <x:v>같은 생성 job의 유효 첫 chunk 관측</x:v>
      </x:c>
      <x:c r="E1447" s="7" t="str">
        <x:v>via</x:v>
      </x:c>
      <x:c r="F1447" s="14" t="n">
        <x:v>1.2700000000000002</x:v>
      </x:c>
      <x:c r="G1447" s="14" t="n">
        <x:v>1.7080000000000002</x:v>
      </x:c>
      <x:c r="H1447" s="14" t="n">
        <x:v>0.438</x:v>
      </x:c>
      <x:c r="I1447" s="14" t="n">
        <x:v>0</x:v>
      </x:c>
      <x:c r="J1447" s="7" t="str">
        <x:v>adopt</x:v>
      </x:c>
      <x:c r="K1447" s="7" t="str">
        <x:v>none</x:v>
      </x:c>
      <x:c r="L1447" s="14" t="n">
        <x:f>IF(G1447&lt;=I1447,0,MAX(0,L1444)+IF(E1447="via",MAX(0,G1447-MAX(F1447,I1447)),0))</x:f>
        <x:v>1.7080000000000002</x:v>
      </x:c>
    </x:row>
    <x:row r="1448" ht="42" customHeight="1">
      <x:c r="A1448" s="12" t="str">
        <x:v>DP3-B-R3</x:v>
      </x:c>
      <x:c r="B1448" s="12" t="str">
        <x:v>U01</x:v>
      </x:c>
      <x:c r="C1448" s="12" t="str">
        <x:v>first_audio_output</x:v>
      </x:c>
      <x:c r="D1448" s="12" t="str">
        <x:v>공통 장치의 첫 음성 출력</x:v>
      </x:c>
      <x:c r="E1448" s="12" t="str">
        <x:v>via</x:v>
      </x:c>
      <x:c r="F1448" s="13" t="n">
        <x:v>1.7080000000000002</x:v>
      </x:c>
      <x:c r="G1448" s="13" t="n">
        <x:v>1.7480000000000002</x:v>
      </x:c>
      <x:c r="H1448" s="13" t="n">
        <x:v>0.04</x:v>
      </x:c>
      <x:c r="I1448" s="13" t="n">
        <x:v>0</x:v>
      </x:c>
      <x:c r="J1448" s="12" t="str">
        <x:v>adopt, first_chunk</x:v>
      </x:c>
      <x:c r="K1448" s="12" t="str">
        <x:v>none</x:v>
      </x:c>
      <x:c r="L1448" s="13" t="n">
        <x:f>IF(G1448&lt;=I1448,0,MAX(0,L1444,L1447)+IF(E1448="via",MAX(0,G1448-MAX(F1448,I1448)),0))</x:f>
        <x:v>1.7480000000000002</x:v>
      </x:c>
    </x:row>
    <x:row r="1449" ht="42" customHeight="1">
      <x:c r="A1449" s="7" t="str">
        <x:v>DP3-B-R3</x:v>
      </x:c>
      <x:c r="B1449" s="7" t="str">
        <x:v>U01</x:v>
      </x:c>
      <x:c r="C1449" s="7" t="str">
        <x:v>terminal</x:v>
      </x:c>
      <x:c r="D1449" s="7" t="str">
        <x:v>공통 목표 최종 상태와 전체 음성 준비</x:v>
      </x:c>
      <x:c r="E1449" s="7" t="str">
        <x:v>via</x:v>
      </x:c>
      <x:c r="F1449" s="14" t="n">
        <x:v>3.1580000000000004</x:v>
      </x:c>
      <x:c r="G1449" s="14" t="n">
        <x:v>3.1580000000000004</x:v>
      </x:c>
      <x:c r="H1449" s="14" t="n">
        <x:v>0</x:v>
      </x:c>
      <x:c r="I1449" s="14" t="n">
        <x:v>0</x:v>
      </x:c>
      <x:c r="J1449" s="7" t="str">
        <x:v>first_display, response_audio, first_audio_output</x:v>
      </x:c>
      <x:c r="K1449" s="7" t="str">
        <x:v>none</x:v>
      </x:c>
      <x:c r="L1449" s="14" t="n">
        <x:f>IF(G1449&lt;=I1449,0,MAX(0,L1445,L1446,L1448)+IF(E1449="via",MAX(0,G1449-MAX(F1449,I1449)),0))</x:f>
        <x:v>3.1580000000000004</x:v>
      </x:c>
    </x:row>
    <x:row r="1450" ht="42" customHeight="1">
      <x:c r="A1450" s="12" t="str">
        <x:v>DP3-B-R3</x:v>
      </x:c>
      <x:c r="B1450" s="12" t="str">
        <x:v>U02</x:v>
      </x:c>
      <x:c r="C1450" s="12" t="str">
        <x:v>input_end</x:v>
      </x:c>
      <x:c r="D1450" s="12" t="str">
        <x:v>사용자 입력 종료</x:v>
      </x:c>
      <x:c r="E1450" s="12" t="str">
        <x:v>external</x:v>
      </x:c>
      <x:c r="F1450" s="13" t="n">
        <x:v>0</x:v>
      </x:c>
      <x:c r="G1450" s="13" t="n">
        <x:v>0</x:v>
      </x:c>
      <x:c r="H1450" s="13" t="n">
        <x:v>0</x:v>
      </x:c>
      <x:c r="I1450" s="13" t="n">
        <x:v>0</x:v>
      </x:c>
      <x:c r="J1450" s="12" t="str"/>
      <x:c r="K1450" s="12" t="str">
        <x:v>none</x:v>
      </x:c>
      <x:c r="L1450" s="13" t="n">
        <x:f>IF(G1450&lt;=I1450,0,MAX(0)+IF(E1450="via",MAX(0,G1450-MAX(F1450,I1450)),0))</x:f>
        <x:v>0</x:v>
      </x:c>
    </x:row>
    <x:row r="1451" ht="42" customHeight="1">
      <x:c r="A1451" s="7" t="str">
        <x:v>DP3-B-R3</x:v>
      </x:c>
      <x:c r="B1451" s="7" t="str">
        <x:v>U02</x:v>
      </x:c>
      <x:c r="C1451" s="7" t="str">
        <x:v>intake</x:v>
      </x:c>
      <x:c r="D1451" s="7" t="str">
        <x:v>입력 확정</x:v>
      </x:c>
      <x:c r="E1451" s="7" t="str">
        <x:v>via</x:v>
      </x:c>
      <x:c r="F1451" s="14" t="n">
        <x:v>0</x:v>
      </x:c>
      <x:c r="G1451" s="14" t="n">
        <x:v>0.3</x:v>
      </x:c>
      <x:c r="H1451" s="14" t="n">
        <x:v>0.3</x:v>
      </x:c>
      <x:c r="I1451" s="14" t="n">
        <x:v>0</x:v>
      </x:c>
      <x:c r="J1451" s="7" t="str">
        <x:v>input_end</x:v>
      </x:c>
      <x:c r="K1451" s="7" t="str">
        <x:v>none</x:v>
      </x:c>
      <x:c r="L1451" s="14" t="n">
        <x:f>IF(G1451&lt;=I1451,0,MAX(0,L1450)+IF(E1451="via",MAX(0,G1451-MAX(F1451,I1451)),0))</x:f>
        <x:v>0.3</x:v>
      </x:c>
    </x:row>
    <x:row r="1452" ht="42" customHeight="1">
      <x:c r="A1452" s="12" t="str">
        <x:v>DP3-B-R3</x:v>
      </x:c>
      <x:c r="B1452" s="12" t="str">
        <x:v>U02</x:v>
      </x:c>
      <x:c r="C1452" s="12" t="str">
        <x:v>read</x:v>
      </x:c>
      <x:c r="D1452" s="12" t="str">
        <x:v>공통 허용 원본 조회</x:v>
      </x:c>
      <x:c r="E1452" s="12" t="str">
        <x:v>via</x:v>
      </x:c>
      <x:c r="F1452" s="13" t="n">
        <x:v>0.3</x:v>
      </x:c>
      <x:c r="G1452" s="13" t="n">
        <x:v>0.38</x:v>
      </x:c>
      <x:c r="H1452" s="13" t="n">
        <x:v>0.08</x:v>
      </x:c>
      <x:c r="I1452" s="13" t="n">
        <x:v>0</x:v>
      </x:c>
      <x:c r="J1452" s="12" t="str">
        <x:v>intake</x:v>
      </x:c>
      <x:c r="K1452" s="12" t="str">
        <x:v>none</x:v>
      </x:c>
      <x:c r="L1452" s="13" t="n">
        <x:f>IF(G1452&lt;=I1452,0,MAX(0,L1451)+IF(E1452="via",MAX(0,G1452-MAX(F1452,I1452)),0))</x:f>
        <x:v>0.38</x:v>
      </x:c>
    </x:row>
    <x:row r="1453" ht="42" customHeight="1">
      <x:c r="A1453" s="7" t="str">
        <x:v>DP3-B-R3</x:v>
      </x:c>
      <x:c r="B1453" s="7" t="str">
        <x:v>U02</x:v>
      </x:c>
      <x:c r="C1453" s="7" t="str">
        <x:v>meaning</x:v>
      </x:c>
      <x:c r="D1453" s="7" t="str">
        <x:v>최초 요청 의미 채택 packet 생성</x:v>
      </x:c>
      <x:c r="E1453" s="7" t="str">
        <x:v>via</x:v>
      </x:c>
      <x:c r="F1453" s="14" t="n">
        <x:v>0.38</x:v>
      </x:c>
      <x:c r="G1453" s="14" t="n">
        <x:v>1.48</x:v>
      </x:c>
      <x:c r="H1453" s="14" t="n">
        <x:v>1.1</x:v>
      </x:c>
      <x:c r="I1453" s="14" t="n">
        <x:v>0</x:v>
      </x:c>
      <x:c r="J1453" s="7" t="str">
        <x:v>read</x:v>
      </x:c>
      <x:c r="K1453" s="7" t="str">
        <x:v>semantic</x:v>
      </x:c>
      <x:c r="L1453" s="14" t="n">
        <x:f>IF(G1453&lt;=I1453,0,MAX(0,L1452)+IF(E1453="via",MAX(0,G1453-MAX(F1453,I1453)),0))</x:f>
        <x:v>1.48</x:v>
      </x:c>
    </x:row>
    <x:row r="1454" ht="42" customHeight="1">
      <x:c r="A1454" s="12" t="str">
        <x:v>DP3-B-R3</x:v>
      </x:c>
      <x:c r="B1454" s="12" t="str">
        <x:v>U02</x:v>
      </x:c>
      <x:c r="C1454" s="12" t="str">
        <x:v>adopt</x:v>
      </x:c>
      <x:c r="D1454" s="12" t="str">
        <x:v>현재 revision과 권한 검사 및 채택</x:v>
      </x:c>
      <x:c r="E1454" s="12" t="str">
        <x:v>via</x:v>
      </x:c>
      <x:c r="F1454" s="13" t="n">
        <x:v>1.48</x:v>
      </x:c>
      <x:c r="G1454" s="13" t="n">
        <x:v>1.51</x:v>
      </x:c>
      <x:c r="H1454" s="13" t="n">
        <x:v>0.03</x:v>
      </x:c>
      <x:c r="I1454" s="13" t="n">
        <x:v>0</x:v>
      </x:c>
      <x:c r="J1454" s="12" t="str">
        <x:v>meaning</x:v>
      </x:c>
      <x:c r="K1454" s="12" t="str">
        <x:v>none</x:v>
      </x:c>
      <x:c r="L1454" s="13" t="n">
        <x:f>IF(G1454&lt;=I1454,0,MAX(0,L1453)+IF(E1454="via",MAX(0,G1454-MAX(F1454,I1454)),0))</x:f>
        <x:v>1.51</x:v>
      </x:c>
    </x:row>
    <x:row r="1455" ht="42" customHeight="1">
      <x:c r="A1455" s="7" t="str">
        <x:v>DP3-B-R3</x:v>
      </x:c>
      <x:c r="B1455" s="7" t="str">
        <x:v>U02</x:v>
      </x:c>
      <x:c r="C1455" s="7" t="str">
        <x:v>first_display</x:v>
      </x:c>
      <x:c r="D1455" s="7" t="str">
        <x:v>첫 구체적 채택 내용 화면 표시</x:v>
      </x:c>
      <x:c r="E1455" s="7" t="str">
        <x:v>via</x:v>
      </x:c>
      <x:c r="F1455" s="14" t="n">
        <x:v>1.51</x:v>
      </x:c>
      <x:c r="G1455" s="14" t="n">
        <x:v>1.55</x:v>
      </x:c>
      <x:c r="H1455" s="14" t="n">
        <x:v>0.04</x:v>
      </x:c>
      <x:c r="I1455" s="14" t="n">
        <x:v>0</x:v>
      </x:c>
      <x:c r="J1455" s="7" t="str">
        <x:v>adopt</x:v>
      </x:c>
      <x:c r="K1455" s="7" t="str">
        <x:v>none</x:v>
      </x:c>
      <x:c r="L1455" s="14" t="n">
        <x:f>IF(G1455&lt;=I1455,0,MAX(0,L1454)+IF(E1455="via",MAX(0,G1455-MAX(F1455,I1455)),0))</x:f>
        <x:v>1.55</x:v>
      </x:c>
    </x:row>
    <x:row r="1456" ht="42" customHeight="1">
      <x:c r="A1456" s="12" t="str">
        <x:v>DP3-B-R3</x:v>
      </x:c>
      <x:c r="B1456" s="12" t="str">
        <x:v>U02</x:v>
      </x:c>
      <x:c r="C1456" s="12" t="str">
        <x:v>response_audio</x:v>
      </x:c>
      <x:c r="D1456" s="12" t="str">
        <x:v>선택한 응답 음성 생성</x:v>
      </x:c>
      <x:c r="E1456" s="12" t="str">
        <x:v>via</x:v>
      </x:c>
      <x:c r="F1456" s="13" t="n">
        <x:v>1.51</x:v>
      </x:c>
      <x:c r="G1456" s="13" t="n">
        <x:v>2.644</x:v>
      </x:c>
      <x:c r="H1456" s="13" t="n">
        <x:v>1.134</x:v>
      </x:c>
      <x:c r="I1456" s="13" t="n">
        <x:v>0</x:v>
      </x:c>
      <x:c r="J1456" s="12" t="str">
        <x:v>adopt</x:v>
      </x:c>
      <x:c r="K1456" s="12" t="str">
        <x:v>speech</x:v>
      </x:c>
      <x:c r="L1456" s="13" t="n">
        <x:f>IF(G1456&lt;=I1456,0,MAX(0,L1454)+IF(E1456="via",MAX(0,G1456-MAX(F1456,I1456)),0))</x:f>
        <x:v>2.644</x:v>
      </x:c>
    </x:row>
    <x:row r="1457" ht="42" customHeight="1">
      <x:c r="A1457" s="7" t="str">
        <x:v>DP3-B-R3</x:v>
      </x:c>
      <x:c r="B1457" s="7" t="str">
        <x:v>U02</x:v>
      </x:c>
      <x:c r="C1457" s="7" t="str">
        <x:v>first_chunk</x:v>
      </x:c>
      <x:c r="D1457" s="7" t="str">
        <x:v>같은 생성 job의 유효 첫 chunk 관측</x:v>
      </x:c>
      <x:c r="E1457" s="7" t="str">
        <x:v>via</x:v>
      </x:c>
      <x:c r="F1457" s="14" t="n">
        <x:v>1.51</x:v>
      </x:c>
      <x:c r="G1457" s="14" t="n">
        <x:v>1.944</x:v>
      </x:c>
      <x:c r="H1457" s="14" t="n">
        <x:v>0.434</x:v>
      </x:c>
      <x:c r="I1457" s="14" t="n">
        <x:v>0</x:v>
      </x:c>
      <x:c r="J1457" s="7" t="str">
        <x:v>adopt</x:v>
      </x:c>
      <x:c r="K1457" s="7" t="str">
        <x:v>none</x:v>
      </x:c>
      <x:c r="L1457" s="14" t="n">
        <x:f>IF(G1457&lt;=I1457,0,MAX(0,L1454)+IF(E1457="via",MAX(0,G1457-MAX(F1457,I1457)),0))</x:f>
        <x:v>1.944</x:v>
      </x:c>
    </x:row>
    <x:row r="1458" ht="42" customHeight="1">
      <x:c r="A1458" s="12" t="str">
        <x:v>DP3-B-R3</x:v>
      </x:c>
      <x:c r="B1458" s="12" t="str">
        <x:v>U02</x:v>
      </x:c>
      <x:c r="C1458" s="12" t="str">
        <x:v>first_audio_output</x:v>
      </x:c>
      <x:c r="D1458" s="12" t="str">
        <x:v>공통 장치의 첫 음성 출력</x:v>
      </x:c>
      <x:c r="E1458" s="12" t="str">
        <x:v>via</x:v>
      </x:c>
      <x:c r="F1458" s="13" t="n">
        <x:v>1.944</x:v>
      </x:c>
      <x:c r="G1458" s="13" t="n">
        <x:v>1.984</x:v>
      </x:c>
      <x:c r="H1458" s="13" t="n">
        <x:v>0.04</x:v>
      </x:c>
      <x:c r="I1458" s="13" t="n">
        <x:v>0</x:v>
      </x:c>
      <x:c r="J1458" s="12" t="str">
        <x:v>adopt, first_chunk</x:v>
      </x:c>
      <x:c r="K1458" s="12" t="str">
        <x:v>none</x:v>
      </x:c>
      <x:c r="L1458" s="13" t="n">
        <x:f>IF(G1458&lt;=I1458,0,MAX(0,L1454,L1457)+IF(E1458="via",MAX(0,G1458-MAX(F1458,I1458)),0))</x:f>
        <x:v>1.984</x:v>
      </x:c>
    </x:row>
    <x:row r="1459" ht="42" customHeight="1">
      <x:c r="A1459" s="7" t="str">
        <x:v>DP3-B-R3</x:v>
      </x:c>
      <x:c r="B1459" s="7" t="str">
        <x:v>U02</x:v>
      </x:c>
      <x:c r="C1459" s="7" t="str">
        <x:v>terminal</x:v>
      </x:c>
      <x:c r="D1459" s="7" t="str">
        <x:v>공통 목표 최종 상태와 전체 음성 준비</x:v>
      </x:c>
      <x:c r="E1459" s="7" t="str">
        <x:v>via</x:v>
      </x:c>
      <x:c r="F1459" s="14" t="n">
        <x:v>2.644</x:v>
      </x:c>
      <x:c r="G1459" s="14" t="n">
        <x:v>2.644</x:v>
      </x:c>
      <x:c r="H1459" s="14" t="n">
        <x:v>0</x:v>
      </x:c>
      <x:c r="I1459" s="14" t="n">
        <x:v>0</x:v>
      </x:c>
      <x:c r="J1459" s="7" t="str">
        <x:v>first_display, response_audio, first_audio_output</x:v>
      </x:c>
      <x:c r="K1459" s="7" t="str">
        <x:v>none</x:v>
      </x:c>
      <x:c r="L1459" s="14" t="n">
        <x:f>IF(G1459&lt;=I1459,0,MAX(0,L1455,L1456,L1458)+IF(E1459="via",MAX(0,G1459-MAX(F1459,I1459)),0))</x:f>
        <x:v>2.644</x:v>
      </x:c>
    </x:row>
    <x:row r="1460" ht="42" customHeight="1">
      <x:c r="A1460" s="12" t="str">
        <x:v>DP3-B-R3</x:v>
      </x:c>
      <x:c r="B1460" s="12" t="str">
        <x:v>U03</x:v>
      </x:c>
      <x:c r="C1460" s="12" t="str">
        <x:v>input_end</x:v>
      </x:c>
      <x:c r="D1460" s="12" t="str">
        <x:v>사용자 입력 종료</x:v>
      </x:c>
      <x:c r="E1460" s="12" t="str">
        <x:v>external</x:v>
      </x:c>
      <x:c r="F1460" s="13" t="n">
        <x:v>0</x:v>
      </x:c>
      <x:c r="G1460" s="13" t="n">
        <x:v>0</x:v>
      </x:c>
      <x:c r="H1460" s="13" t="n">
        <x:v>0</x:v>
      </x:c>
      <x:c r="I1460" s="13" t="n">
        <x:v>0</x:v>
      </x:c>
      <x:c r="J1460" s="12" t="str"/>
      <x:c r="K1460" s="12" t="str">
        <x:v>none</x:v>
      </x:c>
      <x:c r="L1460" s="13" t="n">
        <x:f>IF(G1460&lt;=I1460,0,MAX(0)+IF(E1460="via",MAX(0,G1460-MAX(F1460,I1460)),0))</x:f>
        <x:v>0</x:v>
      </x:c>
    </x:row>
    <x:row r="1461" ht="42" customHeight="1">
      <x:c r="A1461" s="7" t="str">
        <x:v>DP3-B-R3</x:v>
      </x:c>
      <x:c r="B1461" s="7" t="str">
        <x:v>U03</x:v>
      </x:c>
      <x:c r="C1461" s="7" t="str">
        <x:v>intake</x:v>
      </x:c>
      <x:c r="D1461" s="7" t="str">
        <x:v>입력 확정</x:v>
      </x:c>
      <x:c r="E1461" s="7" t="str">
        <x:v>via</x:v>
      </x:c>
      <x:c r="F1461" s="14" t="n">
        <x:v>0</x:v>
      </x:c>
      <x:c r="G1461" s="14" t="n">
        <x:v>0.06</x:v>
      </x:c>
      <x:c r="H1461" s="14" t="n">
        <x:v>0.06</x:v>
      </x:c>
      <x:c r="I1461" s="14" t="n">
        <x:v>0</x:v>
      </x:c>
      <x:c r="J1461" s="7" t="str">
        <x:v>input_end</x:v>
      </x:c>
      <x:c r="K1461" s="7" t="str">
        <x:v>none</x:v>
      </x:c>
      <x:c r="L1461" s="14" t="n">
        <x:f>IF(G1461&lt;=I1461,0,MAX(0,L1460)+IF(E1461="via",MAX(0,G1461-MAX(F1461,I1461)),0))</x:f>
        <x:v>0.06</x:v>
      </x:c>
    </x:row>
    <x:row r="1462" ht="42" customHeight="1">
      <x:c r="A1462" s="12" t="str">
        <x:v>DP3-B-R3</x:v>
      </x:c>
      <x:c r="B1462" s="12" t="str">
        <x:v>U03</x:v>
      </x:c>
      <x:c r="C1462" s="12" t="str">
        <x:v>read</x:v>
      </x:c>
      <x:c r="D1462" s="12" t="str">
        <x:v>공통 허용 원본 조회</x:v>
      </x:c>
      <x:c r="E1462" s="12" t="str">
        <x:v>via</x:v>
      </x:c>
      <x:c r="F1462" s="13" t="n">
        <x:v>0.06</x:v>
      </x:c>
      <x:c r="G1462" s="13" t="n">
        <x:v>0.14</x:v>
      </x:c>
      <x:c r="H1462" s="13" t="n">
        <x:v>0.08</x:v>
      </x:c>
      <x:c r="I1462" s="13" t="n">
        <x:v>0</x:v>
      </x:c>
      <x:c r="J1462" s="12" t="str">
        <x:v>intake</x:v>
      </x:c>
      <x:c r="K1462" s="12" t="str">
        <x:v>none</x:v>
      </x:c>
      <x:c r="L1462" s="13" t="n">
        <x:f>IF(G1462&lt;=I1462,0,MAX(0,L1461)+IF(E1462="via",MAX(0,G1462-MAX(F1462,I1462)),0))</x:f>
        <x:v>0.14</x:v>
      </x:c>
    </x:row>
    <x:row r="1463" ht="42" customHeight="1">
      <x:c r="A1463" s="7" t="str">
        <x:v>DP3-B-R3</x:v>
      </x:c>
      <x:c r="B1463" s="7" t="str">
        <x:v>U03</x:v>
      </x:c>
      <x:c r="C1463" s="7" t="str">
        <x:v>meaning</x:v>
      </x:c>
      <x:c r="D1463" s="7" t="str">
        <x:v>최초 요청 의미 채택 packet 생성</x:v>
      </x:c>
      <x:c r="E1463" s="7" t="str">
        <x:v>via</x:v>
      </x:c>
      <x:c r="F1463" s="14" t="n">
        <x:v>0.14</x:v>
      </x:c>
      <x:c r="G1463" s="14" t="n">
        <x:v>1.2400000000000002</x:v>
      </x:c>
      <x:c r="H1463" s="14" t="n">
        <x:v>1.1</x:v>
      </x:c>
      <x:c r="I1463" s="14" t="n">
        <x:v>0</x:v>
      </x:c>
      <x:c r="J1463" s="7" t="str">
        <x:v>read</x:v>
      </x:c>
      <x:c r="K1463" s="7" t="str">
        <x:v>semantic</x:v>
      </x:c>
      <x:c r="L1463" s="14" t="n">
        <x:f>IF(G1463&lt;=I1463,0,MAX(0,L1462)+IF(E1463="via",MAX(0,G1463-MAX(F1463,I1463)),0))</x:f>
        <x:v>1.2400000000000002</x:v>
      </x:c>
    </x:row>
    <x:row r="1464" ht="42" customHeight="1">
      <x:c r="A1464" s="12" t="str">
        <x:v>DP3-B-R3</x:v>
      </x:c>
      <x:c r="B1464" s="12" t="str">
        <x:v>U03</x:v>
      </x:c>
      <x:c r="C1464" s="12" t="str">
        <x:v>adopt</x:v>
      </x:c>
      <x:c r="D1464" s="12" t="str">
        <x:v>현재 revision과 권한 검사 및 채택</x:v>
      </x:c>
      <x:c r="E1464" s="12" t="str">
        <x:v>via</x:v>
      </x:c>
      <x:c r="F1464" s="13" t="n">
        <x:v>1.2400000000000002</x:v>
      </x:c>
      <x:c r="G1464" s="13" t="n">
        <x:v>1.2700000000000002</x:v>
      </x:c>
      <x:c r="H1464" s="13" t="n">
        <x:v>0.03</x:v>
      </x:c>
      <x:c r="I1464" s="13" t="n">
        <x:v>0</x:v>
      </x:c>
      <x:c r="J1464" s="12" t="str">
        <x:v>meaning</x:v>
      </x:c>
      <x:c r="K1464" s="12" t="str">
        <x:v>none</x:v>
      </x:c>
      <x:c r="L1464" s="13" t="n">
        <x:f>IF(G1464&lt;=I1464,0,MAX(0,L1463)+IF(E1464="via",MAX(0,G1464-MAX(F1464,I1464)),0))</x:f>
        <x:v>1.2700000000000002</x:v>
      </x:c>
    </x:row>
    <x:row r="1465" ht="42" customHeight="1">
      <x:c r="A1465" s="7" t="str">
        <x:v>DP3-B-R3</x:v>
      </x:c>
      <x:c r="B1465" s="7" t="str">
        <x:v>U03</x:v>
      </x:c>
      <x:c r="C1465" s="7" t="str">
        <x:v>first_display</x:v>
      </x:c>
      <x:c r="D1465" s="7" t="str">
        <x:v>첫 구체적 채택 내용 화면 표시</x:v>
      </x:c>
      <x:c r="E1465" s="7" t="str">
        <x:v>via</x:v>
      </x:c>
      <x:c r="F1465" s="14" t="n">
        <x:v>1.2700000000000002</x:v>
      </x:c>
      <x:c r="G1465" s="14" t="n">
        <x:v>1.3100000000000003</x:v>
      </x:c>
      <x:c r="H1465" s="14" t="n">
        <x:v>0.04</x:v>
      </x:c>
      <x:c r="I1465" s="14" t="n">
        <x:v>0</x:v>
      </x:c>
      <x:c r="J1465" s="7" t="str">
        <x:v>adopt</x:v>
      </x:c>
      <x:c r="K1465" s="7" t="str">
        <x:v>none</x:v>
      </x:c>
      <x:c r="L1465" s="14" t="n">
        <x:f>IF(G1465&lt;=I1465,0,MAX(0,L1464)+IF(E1465="via",MAX(0,G1465-MAX(F1465,I1465)),0))</x:f>
        <x:v>1.3100000000000003</x:v>
      </x:c>
    </x:row>
    <x:row r="1466" ht="42" customHeight="1">
      <x:c r="A1466" s="12" t="str">
        <x:v>DP3-B-R3</x:v>
      </x:c>
      <x:c r="B1466" s="12" t="str">
        <x:v>U03</x:v>
      </x:c>
      <x:c r="C1466" s="12" t="str">
        <x:v>long_work</x:v>
      </x:c>
      <x:c r="D1466" s="12" t="str">
        <x:v>요청의 남은 VIA 판단</x:v>
      </x:c>
      <x:c r="E1466" s="12" t="str">
        <x:v>via</x:v>
      </x:c>
      <x:c r="F1466" s="13" t="n">
        <x:v>1.2700000000000002</x:v>
      </x:c>
      <x:c r="G1466" s="13" t="n">
        <x:v>2.87</x:v>
      </x:c>
      <x:c r="H1466" s="13" t="n">
        <x:v>1.6</x:v>
      </x:c>
      <x:c r="I1466" s="13" t="n">
        <x:v>0</x:v>
      </x:c>
      <x:c r="J1466" s="12" t="str">
        <x:v>adopt</x:v>
      </x:c>
      <x:c r="K1466" s="12" t="str">
        <x:v>semantic</x:v>
      </x:c>
      <x:c r="L1466" s="13" t="n">
        <x:f>IF(G1466&lt;=I1466,0,MAX(0,L1464)+IF(E1466="via",MAX(0,G1466-MAX(F1466,I1466)),0))</x:f>
        <x:v>2.87</x:v>
      </x:c>
    </x:row>
    <x:row r="1467" ht="42" customHeight="1">
      <x:c r="A1467" s="7" t="str">
        <x:v>DP3-B-R3</x:v>
      </x:c>
      <x:c r="B1467" s="7" t="str">
        <x:v>U03</x:v>
      </x:c>
      <x:c r="C1467" s="7" t="str">
        <x:v>result_display</x:v>
      </x:c>
      <x:c r="D1467" s="7" t="str">
        <x:v>최종 설명 상세 표시</x:v>
      </x:c>
      <x:c r="E1467" s="7" t="str">
        <x:v>via</x:v>
      </x:c>
      <x:c r="F1467" s="14" t="n">
        <x:v>2.87</x:v>
      </x:c>
      <x:c r="G1467" s="14" t="n">
        <x:v>2.91</x:v>
      </x:c>
      <x:c r="H1467" s="14" t="n">
        <x:v>0.04</x:v>
      </x:c>
      <x:c r="I1467" s="14" t="n">
        <x:v>0</x:v>
      </x:c>
      <x:c r="J1467" s="7" t="str">
        <x:v>long_work</x:v>
      </x:c>
      <x:c r="K1467" s="7" t="str">
        <x:v>none</x:v>
      </x:c>
      <x:c r="L1467" s="14" t="n">
        <x:f>IF(G1467&lt;=I1467,0,MAX(0,L1466)+IF(E1467="via",MAX(0,G1467-MAX(F1467,I1467)),0))</x:f>
        <x:v>2.91</x:v>
      </x:c>
    </x:row>
    <x:row r="1468" ht="42" customHeight="1">
      <x:c r="A1468" s="12" t="str">
        <x:v>DP3-B-R3</x:v>
      </x:c>
      <x:c r="B1468" s="12" t="str">
        <x:v>U03</x:v>
      </x:c>
      <x:c r="C1468" s="12" t="str">
        <x:v>response_audio</x:v>
      </x:c>
      <x:c r="D1468" s="12" t="str">
        <x:v>선택한 응답 음성 생성</x:v>
      </x:c>
      <x:c r="E1468" s="12" t="str">
        <x:v>via</x:v>
      </x:c>
      <x:c r="F1468" s="13" t="n">
        <x:v>2.87</x:v>
      </x:c>
      <x:c r="G1468" s="13" t="n">
        <x:v>4.758</x:v>
      </x:c>
      <x:c r="H1468" s="13" t="n">
        <x:v>1.888</x:v>
      </x:c>
      <x:c r="I1468" s="13" t="n">
        <x:v>0</x:v>
      </x:c>
      <x:c r="J1468" s="12" t="str">
        <x:v>long_work</x:v>
      </x:c>
      <x:c r="K1468" s="12" t="str">
        <x:v>speech</x:v>
      </x:c>
      <x:c r="L1468" s="13" t="n">
        <x:f>IF(G1468&lt;=I1468,0,MAX(0,L1466)+IF(E1468="via",MAX(0,G1468-MAX(F1468,I1468)),0))</x:f>
        <x:v>4.758</x:v>
      </x:c>
    </x:row>
    <x:row r="1469" ht="42" customHeight="1">
      <x:c r="A1469" s="7" t="str">
        <x:v>DP3-B-R3</x:v>
      </x:c>
      <x:c r="B1469" s="7" t="str">
        <x:v>U03</x:v>
      </x:c>
      <x:c r="C1469" s="7" t="str">
        <x:v>intent_audio</x:v>
      </x:c>
      <x:c r="D1469" s="7" t="str">
        <x:v>채택한 구체적 수행 의도의 짧은 음성</x:v>
      </x:c>
      <x:c r="E1469" s="7" t="str">
        <x:v>via</x:v>
      </x:c>
      <x:c r="F1469" s="14" t="n">
        <x:v>1.2700000000000002</x:v>
      </x:c>
      <x:c r="G1469" s="14" t="n">
        <x:v>2.404</x:v>
      </x:c>
      <x:c r="H1469" s="14" t="n">
        <x:v>1.134</x:v>
      </x:c>
      <x:c r="I1469" s="14" t="n">
        <x:v>0</x:v>
      </x:c>
      <x:c r="J1469" s="7" t="str">
        <x:v>adopt</x:v>
      </x:c>
      <x:c r="K1469" s="7" t="str">
        <x:v>speech</x:v>
      </x:c>
      <x:c r="L1469" s="14" t="n">
        <x:f>IF(G1469&lt;=I1469,0,MAX(0,L1464)+IF(E1469="via",MAX(0,G1469-MAX(F1469,I1469)),0))</x:f>
        <x:v>2.404</x:v>
      </x:c>
    </x:row>
    <x:row r="1470" ht="42" customHeight="1">
      <x:c r="A1470" s="12" t="str">
        <x:v>DP3-B-R3</x:v>
      </x:c>
      <x:c r="B1470" s="12" t="str">
        <x:v>U03</x:v>
      </x:c>
      <x:c r="C1470" s="12" t="str">
        <x:v>first_chunk</x:v>
      </x:c>
      <x:c r="D1470" s="12" t="str">
        <x:v>같은 생성 job의 유효 첫 chunk 관측</x:v>
      </x:c>
      <x:c r="E1470" s="12" t="str">
        <x:v>via</x:v>
      </x:c>
      <x:c r="F1470" s="13" t="n">
        <x:v>1.2700000000000002</x:v>
      </x:c>
      <x:c r="G1470" s="13" t="n">
        <x:v>1.7040000000000002</x:v>
      </x:c>
      <x:c r="H1470" s="13" t="n">
        <x:v>0.434</x:v>
      </x:c>
      <x:c r="I1470" s="13" t="n">
        <x:v>0</x:v>
      </x:c>
      <x:c r="J1470" s="12" t="str">
        <x:v>adopt</x:v>
      </x:c>
      <x:c r="K1470" s="12" t="str">
        <x:v>none</x:v>
      </x:c>
      <x:c r="L1470" s="13" t="n">
        <x:f>IF(G1470&lt;=I1470,0,MAX(0,L1464)+IF(E1470="via",MAX(0,G1470-MAX(F1470,I1470)),0))</x:f>
        <x:v>1.7040000000000002</x:v>
      </x:c>
    </x:row>
    <x:row r="1471" ht="42" customHeight="1">
      <x:c r="A1471" s="7" t="str">
        <x:v>DP3-B-R3</x:v>
      </x:c>
      <x:c r="B1471" s="7" t="str">
        <x:v>U03</x:v>
      </x:c>
      <x:c r="C1471" s="7" t="str">
        <x:v>first_audio_output</x:v>
      </x:c>
      <x:c r="D1471" s="7" t="str">
        <x:v>공통 장치의 첫 음성 출력</x:v>
      </x:c>
      <x:c r="E1471" s="7" t="str">
        <x:v>via</x:v>
      </x:c>
      <x:c r="F1471" s="14" t="n">
        <x:v>1.7040000000000002</x:v>
      </x:c>
      <x:c r="G1471" s="14" t="n">
        <x:v>1.7440000000000002</x:v>
      </x:c>
      <x:c r="H1471" s="14" t="n">
        <x:v>0.04</x:v>
      </x:c>
      <x:c r="I1471" s="14" t="n">
        <x:v>0</x:v>
      </x:c>
      <x:c r="J1471" s="7" t="str">
        <x:v>adopt, first_chunk</x:v>
      </x:c>
      <x:c r="K1471" s="7" t="str">
        <x:v>none</x:v>
      </x:c>
      <x:c r="L1471" s="14" t="n">
        <x:f>IF(G1471&lt;=I1471,0,MAX(0,L1464,L1470)+IF(E1471="via",MAX(0,G1471-MAX(F1471,I1471)),0))</x:f>
        <x:v>1.7440000000000002</x:v>
      </x:c>
    </x:row>
    <x:row r="1472" ht="42" customHeight="1">
      <x:c r="A1472" s="12" t="str">
        <x:v>DP3-B-R3</x:v>
      </x:c>
      <x:c r="B1472" s="12" t="str">
        <x:v>U03</x:v>
      </x:c>
      <x:c r="C1472" s="12" t="str">
        <x:v>next_speech_selection</x:v>
      </x:c>
      <x:c r="D1472" s="12" t="str">
        <x:v>현재 발화 재생 후 다음 응답 선택</x:v>
      </x:c>
      <x:c r="E1472" s="12" t="str">
        <x:v>external</x:v>
      </x:c>
      <x:c r="F1472" s="13" t="n">
        <x:v>1.7440000000000002</x:v>
      </x:c>
      <x:c r="G1472" s="13" t="n">
        <x:v>4.744</x:v>
      </x:c>
      <x:c r="H1472" s="13" t="n">
        <x:v>3</x:v>
      </x:c>
      <x:c r="I1472" s="13" t="n">
        <x:v>0</x:v>
      </x:c>
      <x:c r="J1472" s="12" t="str">
        <x:v>first_audio_output</x:v>
      </x:c>
      <x:c r="K1472" s="12" t="str">
        <x:v>none</x:v>
      </x:c>
      <x:c r="L1472" s="13" t="n">
        <x:f>IF(G1472&lt;=I1472,0,MAX(0,L1471)+IF(E1472="via",MAX(0,G1472-MAX(F1472,I1472)),0))</x:f>
        <x:v>1.7440000000000002</x:v>
      </x:c>
    </x:row>
    <x:row r="1473" ht="42" customHeight="1">
      <x:c r="A1473" s="7" t="str">
        <x:v>DP3-B-R3</x:v>
      </x:c>
      <x:c r="B1473" s="7" t="str">
        <x:v>U03</x:v>
      </x:c>
      <x:c r="C1473" s="7" t="str">
        <x:v>terminal</x:v>
      </x:c>
      <x:c r="D1473" s="7" t="str">
        <x:v>공통 목표 최종 상태와 전체 음성 준비</x:v>
      </x:c>
      <x:c r="E1473" s="7" t="str">
        <x:v>via</x:v>
      </x:c>
      <x:c r="F1473" s="14" t="n">
        <x:v>4.758</x:v>
      </x:c>
      <x:c r="G1473" s="14" t="n">
        <x:v>4.758</x:v>
      </x:c>
      <x:c r="H1473" s="14" t="n">
        <x:v>0</x:v>
      </x:c>
      <x:c r="I1473" s="14" t="n">
        <x:v>0</x:v>
      </x:c>
      <x:c r="J1473" s="7" t="str">
        <x:v>result_display, response_audio, intent_audio, first_audio_output</x:v>
      </x:c>
      <x:c r="K1473" s="7" t="str">
        <x:v>none</x:v>
      </x:c>
      <x:c r="L1473" s="14" t="n">
        <x:f>IF(G1473&lt;=I1473,0,MAX(0,L1467,L1468,L1469,L1471)+IF(E1473="via",MAX(0,G1473-MAX(F1473,I1473)),0))</x:f>
        <x:v>4.758</x:v>
      </x:c>
    </x:row>
    <x:row r="1474" ht="42" customHeight="1">
      <x:c r="A1474" s="12" t="str">
        <x:v>DP3-B-R3</x:v>
      </x:c>
      <x:c r="B1474" s="12" t="str">
        <x:v>U04</x:v>
      </x:c>
      <x:c r="C1474" s="12" t="str">
        <x:v>input_end</x:v>
      </x:c>
      <x:c r="D1474" s="12" t="str">
        <x:v>사용자 입력 종료</x:v>
      </x:c>
      <x:c r="E1474" s="12" t="str">
        <x:v>external</x:v>
      </x:c>
      <x:c r="F1474" s="13" t="n">
        <x:v>0</x:v>
      </x:c>
      <x:c r="G1474" s="13" t="n">
        <x:v>0</x:v>
      </x:c>
      <x:c r="H1474" s="13" t="n">
        <x:v>0</x:v>
      </x:c>
      <x:c r="I1474" s="13" t="n">
        <x:v>0</x:v>
      </x:c>
      <x:c r="J1474" s="12" t="str"/>
      <x:c r="K1474" s="12" t="str">
        <x:v>none</x:v>
      </x:c>
      <x:c r="L1474" s="13" t="n">
        <x:f>IF(G1474&lt;=I1474,0,MAX(0)+IF(E1474="via",MAX(0,G1474-MAX(F1474,I1474)),0))</x:f>
        <x:v>0</x:v>
      </x:c>
    </x:row>
    <x:row r="1475" ht="42" customHeight="1">
      <x:c r="A1475" s="7" t="str">
        <x:v>DP3-B-R3</x:v>
      </x:c>
      <x:c r="B1475" s="7" t="str">
        <x:v>U04</x:v>
      </x:c>
      <x:c r="C1475" s="7" t="str">
        <x:v>intake</x:v>
      </x:c>
      <x:c r="D1475" s="7" t="str">
        <x:v>입력 확정</x:v>
      </x:c>
      <x:c r="E1475" s="7" t="str">
        <x:v>via</x:v>
      </x:c>
      <x:c r="F1475" s="14" t="n">
        <x:v>0</x:v>
      </x:c>
      <x:c r="G1475" s="14" t="n">
        <x:v>0.3</x:v>
      </x:c>
      <x:c r="H1475" s="14" t="n">
        <x:v>0.3</x:v>
      </x:c>
      <x:c r="I1475" s="14" t="n">
        <x:v>0</x:v>
      </x:c>
      <x:c r="J1475" s="7" t="str">
        <x:v>input_end</x:v>
      </x:c>
      <x:c r="K1475" s="7" t="str">
        <x:v>none</x:v>
      </x:c>
      <x:c r="L1475" s="14" t="n">
        <x:f>IF(G1475&lt;=I1475,0,MAX(0,L1474)+IF(E1475="via",MAX(0,G1475-MAX(F1475,I1475)),0))</x:f>
        <x:v>0.3</x:v>
      </x:c>
    </x:row>
    <x:row r="1476" ht="42" customHeight="1">
      <x:c r="A1476" s="12" t="str">
        <x:v>DP3-B-R3</x:v>
      </x:c>
      <x:c r="B1476" s="12" t="str">
        <x:v>U04</x:v>
      </x:c>
      <x:c r="C1476" s="12" t="str">
        <x:v>read</x:v>
      </x:c>
      <x:c r="D1476" s="12" t="str">
        <x:v>공통 허용 원본 조회</x:v>
      </x:c>
      <x:c r="E1476" s="12" t="str">
        <x:v>via</x:v>
      </x:c>
      <x:c r="F1476" s="13" t="n">
        <x:v>0.3</x:v>
      </x:c>
      <x:c r="G1476" s="13" t="n">
        <x:v>0.38</x:v>
      </x:c>
      <x:c r="H1476" s="13" t="n">
        <x:v>0.08</x:v>
      </x:c>
      <x:c r="I1476" s="13" t="n">
        <x:v>0</x:v>
      </x:c>
      <x:c r="J1476" s="12" t="str">
        <x:v>intake</x:v>
      </x:c>
      <x:c r="K1476" s="12" t="str">
        <x:v>none</x:v>
      </x:c>
      <x:c r="L1476" s="13" t="n">
        <x:f>IF(G1476&lt;=I1476,0,MAX(0,L1475)+IF(E1476="via",MAX(0,G1476-MAX(F1476,I1476)),0))</x:f>
        <x:v>0.38</x:v>
      </x:c>
    </x:row>
    <x:row r="1477" ht="42" customHeight="1">
      <x:c r="A1477" s="7" t="str">
        <x:v>DP3-B-R3</x:v>
      </x:c>
      <x:c r="B1477" s="7" t="str">
        <x:v>U04</x:v>
      </x:c>
      <x:c r="C1477" s="7" t="str">
        <x:v>meaning</x:v>
      </x:c>
      <x:c r="D1477" s="7" t="str">
        <x:v>최초 요청 의미 채택 packet 생성</x:v>
      </x:c>
      <x:c r="E1477" s="7" t="str">
        <x:v>via</x:v>
      </x:c>
      <x:c r="F1477" s="14" t="n">
        <x:v>0.38</x:v>
      </x:c>
      <x:c r="G1477" s="14" t="n">
        <x:v>1.48</x:v>
      </x:c>
      <x:c r="H1477" s="14" t="n">
        <x:v>1.1</x:v>
      </x:c>
      <x:c r="I1477" s="14" t="n">
        <x:v>0</x:v>
      </x:c>
      <x:c r="J1477" s="7" t="str">
        <x:v>read</x:v>
      </x:c>
      <x:c r="K1477" s="7" t="str">
        <x:v>semantic</x:v>
      </x:c>
      <x:c r="L1477" s="14" t="n">
        <x:f>IF(G1477&lt;=I1477,0,MAX(0,L1476)+IF(E1477="via",MAX(0,G1477-MAX(F1477,I1477)),0))</x:f>
        <x:v>1.48</x:v>
      </x:c>
    </x:row>
    <x:row r="1478" ht="42" customHeight="1">
      <x:c r="A1478" s="12" t="str">
        <x:v>DP3-B-R3</x:v>
      </x:c>
      <x:c r="B1478" s="12" t="str">
        <x:v>U04</x:v>
      </x:c>
      <x:c r="C1478" s="12" t="str">
        <x:v>adopt</x:v>
      </x:c>
      <x:c r="D1478" s="12" t="str">
        <x:v>현재 revision과 권한 검사 및 채택</x:v>
      </x:c>
      <x:c r="E1478" s="12" t="str">
        <x:v>via</x:v>
      </x:c>
      <x:c r="F1478" s="13" t="n">
        <x:v>1.48</x:v>
      </x:c>
      <x:c r="G1478" s="13" t="n">
        <x:v>1.51</x:v>
      </x:c>
      <x:c r="H1478" s="13" t="n">
        <x:v>0.03</x:v>
      </x:c>
      <x:c r="I1478" s="13" t="n">
        <x:v>0</x:v>
      </x:c>
      <x:c r="J1478" s="12" t="str">
        <x:v>meaning</x:v>
      </x:c>
      <x:c r="K1478" s="12" t="str">
        <x:v>none</x:v>
      </x:c>
      <x:c r="L1478" s="13" t="n">
        <x:f>IF(G1478&lt;=I1478,0,MAX(0,L1477)+IF(E1478="via",MAX(0,G1478-MAX(F1478,I1478)),0))</x:f>
        <x:v>1.51</x:v>
      </x:c>
    </x:row>
    <x:row r="1479" ht="42" customHeight="1">
      <x:c r="A1479" s="7" t="str">
        <x:v>DP3-B-R3</x:v>
      </x:c>
      <x:c r="B1479" s="7" t="str">
        <x:v>U04</x:v>
      </x:c>
      <x:c r="C1479" s="7" t="str">
        <x:v>first_display</x:v>
      </x:c>
      <x:c r="D1479" s="7" t="str">
        <x:v>첫 구체적 채택 내용 화면 표시</x:v>
      </x:c>
      <x:c r="E1479" s="7" t="str">
        <x:v>via</x:v>
      </x:c>
      <x:c r="F1479" s="14" t="n">
        <x:v>1.51</x:v>
      </x:c>
      <x:c r="G1479" s="14" t="n">
        <x:v>1.55</x:v>
      </x:c>
      <x:c r="H1479" s="14" t="n">
        <x:v>0.04</x:v>
      </x:c>
      <x:c r="I1479" s="14" t="n">
        <x:v>0</x:v>
      </x:c>
      <x:c r="J1479" s="7" t="str">
        <x:v>adopt</x:v>
      </x:c>
      <x:c r="K1479" s="7" t="str">
        <x:v>none</x:v>
      </x:c>
      <x:c r="L1479" s="14" t="n">
        <x:f>IF(G1479&lt;=I1479,0,MAX(0,L1478)+IF(E1479="via",MAX(0,G1479-MAX(F1479,I1479)),0))</x:f>
        <x:v>1.55</x:v>
      </x:c>
    </x:row>
    <x:row r="1480" ht="42" customHeight="1">
      <x:c r="A1480" s="12" t="str">
        <x:v>DP3-B-R3</x:v>
      </x:c>
      <x:c r="B1480" s="12" t="str">
        <x:v>U04</x:v>
      </x:c>
      <x:c r="C1480" s="12" t="str">
        <x:v>response_audio</x:v>
      </x:c>
      <x:c r="D1480" s="12" t="str">
        <x:v>선택한 응답 음성 생성</x:v>
      </x:c>
      <x:c r="E1480" s="12" t="str">
        <x:v>via</x:v>
      </x:c>
      <x:c r="F1480" s="13" t="n">
        <x:v>1.51</x:v>
      </x:c>
      <x:c r="G1480" s="13" t="n">
        <x:v>3.3979999999999997</x:v>
      </x:c>
      <x:c r="H1480" s="13" t="n">
        <x:v>1.888</x:v>
      </x:c>
      <x:c r="I1480" s="13" t="n">
        <x:v>0</x:v>
      </x:c>
      <x:c r="J1480" s="12" t="str">
        <x:v>adopt</x:v>
      </x:c>
      <x:c r="K1480" s="12" t="str">
        <x:v>speech</x:v>
      </x:c>
      <x:c r="L1480" s="13" t="n">
        <x:f>IF(G1480&lt;=I1480,0,MAX(0,L1478)+IF(E1480="via",MAX(0,G1480-MAX(F1480,I1480)),0))</x:f>
        <x:v>3.3979999999999997</x:v>
      </x:c>
    </x:row>
    <x:row r="1481" ht="42" customHeight="1">
      <x:c r="A1481" s="7" t="str">
        <x:v>DP3-B-R3</x:v>
      </x:c>
      <x:c r="B1481" s="7" t="str">
        <x:v>U04</x:v>
      </x:c>
      <x:c r="C1481" s="7" t="str">
        <x:v>first_chunk</x:v>
      </x:c>
      <x:c r="D1481" s="7" t="str">
        <x:v>같은 생성 job의 유효 첫 chunk 관측</x:v>
      </x:c>
      <x:c r="E1481" s="7" t="str">
        <x:v>via</x:v>
      </x:c>
      <x:c r="F1481" s="14" t="n">
        <x:v>1.51</x:v>
      </x:c>
      <x:c r="G1481" s="14" t="n">
        <x:v>1.948</x:v>
      </x:c>
      <x:c r="H1481" s="14" t="n">
        <x:v>0.438</x:v>
      </x:c>
      <x:c r="I1481" s="14" t="n">
        <x:v>0</x:v>
      </x:c>
      <x:c r="J1481" s="7" t="str">
        <x:v>adopt</x:v>
      </x:c>
      <x:c r="K1481" s="7" t="str">
        <x:v>none</x:v>
      </x:c>
      <x:c r="L1481" s="14" t="n">
        <x:f>IF(G1481&lt;=I1481,0,MAX(0,L1478)+IF(E1481="via",MAX(0,G1481-MAX(F1481,I1481)),0))</x:f>
        <x:v>1.948</x:v>
      </x:c>
    </x:row>
    <x:row r="1482" ht="42" customHeight="1">
      <x:c r="A1482" s="12" t="str">
        <x:v>DP3-B-R3</x:v>
      </x:c>
      <x:c r="B1482" s="12" t="str">
        <x:v>U04</x:v>
      </x:c>
      <x:c r="C1482" s="12" t="str">
        <x:v>first_audio_output</x:v>
      </x:c>
      <x:c r="D1482" s="12" t="str">
        <x:v>공통 장치의 첫 음성 출력</x:v>
      </x:c>
      <x:c r="E1482" s="12" t="str">
        <x:v>via</x:v>
      </x:c>
      <x:c r="F1482" s="13" t="n">
        <x:v>1.948</x:v>
      </x:c>
      <x:c r="G1482" s="13" t="n">
        <x:v>1.988</x:v>
      </x:c>
      <x:c r="H1482" s="13" t="n">
        <x:v>0.04</x:v>
      </x:c>
      <x:c r="I1482" s="13" t="n">
        <x:v>0</x:v>
      </x:c>
      <x:c r="J1482" s="12" t="str">
        <x:v>adopt, first_chunk</x:v>
      </x:c>
      <x:c r="K1482" s="12" t="str">
        <x:v>none</x:v>
      </x:c>
      <x:c r="L1482" s="13" t="n">
        <x:f>IF(G1482&lt;=I1482,0,MAX(0,L1478,L1481)+IF(E1482="via",MAX(0,G1482-MAX(F1482,I1482)),0))</x:f>
        <x:v>1.988</x:v>
      </x:c>
    </x:row>
    <x:row r="1483" ht="42" customHeight="1">
      <x:c r="A1483" s="7" t="str">
        <x:v>DP3-B-R3</x:v>
      </x:c>
      <x:c r="B1483" s="7" t="str">
        <x:v>U04</x:v>
      </x:c>
      <x:c r="C1483" s="7" t="str">
        <x:v>terminal</x:v>
      </x:c>
      <x:c r="D1483" s="7" t="str">
        <x:v>공통 목표 최종 상태와 전체 음성 준비</x:v>
      </x:c>
      <x:c r="E1483" s="7" t="str">
        <x:v>via</x:v>
      </x:c>
      <x:c r="F1483" s="14" t="n">
        <x:v>3.3979999999999997</x:v>
      </x:c>
      <x:c r="G1483" s="14" t="n">
        <x:v>3.3979999999999997</x:v>
      </x:c>
      <x:c r="H1483" s="14" t="n">
        <x:v>0</x:v>
      </x:c>
      <x:c r="I1483" s="14" t="n">
        <x:v>0</x:v>
      </x:c>
      <x:c r="J1483" s="7" t="str">
        <x:v>first_display, response_audio, first_audio_output</x:v>
      </x:c>
      <x:c r="K1483" s="7" t="str">
        <x:v>none</x:v>
      </x:c>
      <x:c r="L1483" s="14" t="n">
        <x:f>IF(G1483&lt;=I1483,0,MAX(0,L1479,L1480,L1482)+IF(E1483="via",MAX(0,G1483-MAX(F1483,I1483)),0))</x:f>
        <x:v>3.3979999999999997</x:v>
      </x:c>
    </x:row>
    <x:row r="1484" ht="42" customHeight="1">
      <x:c r="A1484" s="12" t="str">
        <x:v>DP3-B-R3</x:v>
      </x:c>
      <x:c r="B1484" s="12" t="str">
        <x:v>U05</x:v>
      </x:c>
      <x:c r="C1484" s="12" t="str">
        <x:v>bg1</x:v>
      </x:c>
      <x:c r="D1484" s="12" t="str">
        <x:v>진행 중인 현재 대화의 의미 step</x:v>
      </x:c>
      <x:c r="E1484" s="12" t="str">
        <x:v>via</x:v>
      </x:c>
      <x:c r="F1484" s="13" t="n">
        <x:v>-1</x:v>
      </x:c>
      <x:c r="G1484" s="13" t="n">
        <x:v>2.4</x:v>
      </x:c>
      <x:c r="H1484" s="13" t="n">
        <x:v>3.4</x:v>
      </x:c>
      <x:c r="I1484" s="13" t="n">
        <x:v>0</x:v>
      </x:c>
      <x:c r="J1484" s="12" t="str"/>
      <x:c r="K1484" s="12" t="str">
        <x:v>semantic</x:v>
      </x:c>
      <x:c r="L1484" s="13" t="n">
        <x:f>IF(G1484&lt;=I1484,0,MAX(0)+IF(E1484="via",MAX(0,G1484-MAX(F1484,I1484)),0))</x:f>
        <x:v>2.4</x:v>
      </x:c>
    </x:row>
    <x:row r="1485" ht="42" customHeight="1">
      <x:c r="A1485" s="7" t="str">
        <x:v>DP3-B-R3</x:v>
      </x:c>
      <x:c r="B1485" s="7" t="str">
        <x:v>U05</x:v>
      </x:c>
      <x:c r="C1485" s="7" t="str">
        <x:v>input_end</x:v>
      </x:c>
      <x:c r="D1485" s="7" t="str">
        <x:v>사용자 입력 종료</x:v>
      </x:c>
      <x:c r="E1485" s="7" t="str">
        <x:v>external</x:v>
      </x:c>
      <x:c r="F1485" s="14" t="n">
        <x:v>0</x:v>
      </x:c>
      <x:c r="G1485" s="14" t="n">
        <x:v>0</x:v>
      </x:c>
      <x:c r="H1485" s="14" t="n">
        <x:v>0</x:v>
      </x:c>
      <x:c r="I1485" s="14" t="n">
        <x:v>0</x:v>
      </x:c>
      <x:c r="J1485" s="7" t="str"/>
      <x:c r="K1485" s="7" t="str">
        <x:v>none</x:v>
      </x:c>
      <x:c r="L1485" s="14" t="n">
        <x:f>IF(G1485&lt;=I1485,0,MAX(0)+IF(E1485="via",MAX(0,G1485-MAX(F1485,I1485)),0))</x:f>
        <x:v>0</x:v>
      </x:c>
    </x:row>
    <x:row r="1486" ht="42" customHeight="1">
      <x:c r="A1486" s="12" t="str">
        <x:v>DP3-B-R3</x:v>
      </x:c>
      <x:c r="B1486" s="12" t="str">
        <x:v>U05</x:v>
      </x:c>
      <x:c r="C1486" s="12" t="str">
        <x:v>intake</x:v>
      </x:c>
      <x:c r="D1486" s="12" t="str">
        <x:v>입력 확정</x:v>
      </x:c>
      <x:c r="E1486" s="12" t="str">
        <x:v>via</x:v>
      </x:c>
      <x:c r="F1486" s="13" t="n">
        <x:v>0</x:v>
      </x:c>
      <x:c r="G1486" s="13" t="n">
        <x:v>0.3</x:v>
      </x:c>
      <x:c r="H1486" s="13" t="n">
        <x:v>0.3</x:v>
      </x:c>
      <x:c r="I1486" s="13" t="n">
        <x:v>0</x:v>
      </x:c>
      <x:c r="J1486" s="12" t="str">
        <x:v>input_end</x:v>
      </x:c>
      <x:c r="K1486" s="12" t="str">
        <x:v>none</x:v>
      </x:c>
      <x:c r="L1486" s="13" t="n">
        <x:f>IF(G1486&lt;=I1486,0,MAX(0,L1485)+IF(E1486="via",MAX(0,G1486-MAX(F1486,I1486)),0))</x:f>
        <x:v>0.3</x:v>
      </x:c>
    </x:row>
    <x:row r="1487" ht="42" customHeight="1">
      <x:c r="A1487" s="7" t="str">
        <x:v>DP3-B-R3</x:v>
      </x:c>
      <x:c r="B1487" s="7" t="str">
        <x:v>U05</x:v>
      </x:c>
      <x:c r="C1487" s="7" t="str">
        <x:v>read</x:v>
      </x:c>
      <x:c r="D1487" s="7" t="str">
        <x:v>공통 허용 원본 조회</x:v>
      </x:c>
      <x:c r="E1487" s="7" t="str">
        <x:v>via</x:v>
      </x:c>
      <x:c r="F1487" s="14" t="n">
        <x:v>0.3</x:v>
      </x:c>
      <x:c r="G1487" s="14" t="n">
        <x:v>0.38</x:v>
      </x:c>
      <x:c r="H1487" s="14" t="n">
        <x:v>0.08</x:v>
      </x:c>
      <x:c r="I1487" s="14" t="n">
        <x:v>0</x:v>
      </x:c>
      <x:c r="J1487" s="7" t="str">
        <x:v>intake</x:v>
      </x:c>
      <x:c r="K1487" s="7" t="str">
        <x:v>none</x:v>
      </x:c>
      <x:c r="L1487" s="14" t="n">
        <x:f>IF(G1487&lt;=I1487,0,MAX(0,L1486)+IF(E1487="via",MAX(0,G1487-MAX(F1487,I1487)),0))</x:f>
        <x:v>0.38</x:v>
      </x:c>
    </x:row>
    <x:row r="1488" ht="42" customHeight="1">
      <x:c r="A1488" s="12" t="str">
        <x:v>DP3-B-R3</x:v>
      </x:c>
      <x:c r="B1488" s="12" t="str">
        <x:v>U05</x:v>
      </x:c>
      <x:c r="C1488" s="12" t="str">
        <x:v>meaning</x:v>
      </x:c>
      <x:c r="D1488" s="12" t="str">
        <x:v>최초 요청 의미 채택 packet 생성</x:v>
      </x:c>
      <x:c r="E1488" s="12" t="str">
        <x:v>via</x:v>
      </x:c>
      <x:c r="F1488" s="13" t="n">
        <x:v>2.4</x:v>
      </x:c>
      <x:c r="G1488" s="13" t="n">
        <x:v>3.5</x:v>
      </x:c>
      <x:c r="H1488" s="13" t="n">
        <x:v>1.1</x:v>
      </x:c>
      <x:c r="I1488" s="13" t="n">
        <x:v>0</x:v>
      </x:c>
      <x:c r="J1488" s="12" t="str">
        <x:v>read, bg1</x:v>
      </x:c>
      <x:c r="K1488" s="12" t="str">
        <x:v>semantic</x:v>
      </x:c>
      <x:c r="L1488" s="13" t="n">
        <x:f>IF(G1488&lt;=I1488,0,MAX(0,L1487,L1484)+IF(E1488="via",MAX(0,G1488-MAX(F1488,I1488)),0))</x:f>
        <x:v>3.5</x:v>
      </x:c>
    </x:row>
    <x:row r="1489" ht="42" customHeight="1">
      <x:c r="A1489" s="7" t="str">
        <x:v>DP3-B-R3</x:v>
      </x:c>
      <x:c r="B1489" s="7" t="str">
        <x:v>U05</x:v>
      </x:c>
      <x:c r="C1489" s="7" t="str">
        <x:v>adopt</x:v>
      </x:c>
      <x:c r="D1489" s="7" t="str">
        <x:v>현재 revision과 권한 검사 및 채택</x:v>
      </x:c>
      <x:c r="E1489" s="7" t="str">
        <x:v>via</x:v>
      </x:c>
      <x:c r="F1489" s="14" t="n">
        <x:v>3.5</x:v>
      </x:c>
      <x:c r="G1489" s="14" t="n">
        <x:v>3.53</x:v>
      </x:c>
      <x:c r="H1489" s="14" t="n">
        <x:v>0.03</x:v>
      </x:c>
      <x:c r="I1489" s="14" t="n">
        <x:v>0</x:v>
      </x:c>
      <x:c r="J1489" s="7" t="str">
        <x:v>meaning</x:v>
      </x:c>
      <x:c r="K1489" s="7" t="str">
        <x:v>none</x:v>
      </x:c>
      <x:c r="L1489" s="14" t="n">
        <x:f>IF(G1489&lt;=I1489,0,MAX(0,L1488)+IF(E1489="via",MAX(0,G1489-MAX(F1489,I1489)),0))</x:f>
        <x:v>3.53</x:v>
      </x:c>
    </x:row>
    <x:row r="1490" ht="42" customHeight="1">
      <x:c r="A1490" s="12" t="str">
        <x:v>DP3-B-R3</x:v>
      </x:c>
      <x:c r="B1490" s="12" t="str">
        <x:v>U05</x:v>
      </x:c>
      <x:c r="C1490" s="12" t="str">
        <x:v>first_display</x:v>
      </x:c>
      <x:c r="D1490" s="12" t="str">
        <x:v>첫 구체적 채택 내용 화면 표시</x:v>
      </x:c>
      <x:c r="E1490" s="12" t="str">
        <x:v>via</x:v>
      </x:c>
      <x:c r="F1490" s="13" t="n">
        <x:v>3.53</x:v>
      </x:c>
      <x:c r="G1490" s="13" t="n">
        <x:v>3.57</x:v>
      </x:c>
      <x:c r="H1490" s="13" t="n">
        <x:v>0.04</x:v>
      </x:c>
      <x:c r="I1490" s="13" t="n">
        <x:v>0</x:v>
      </x:c>
      <x:c r="J1490" s="12" t="str">
        <x:v>adopt</x:v>
      </x:c>
      <x:c r="K1490" s="12" t="str">
        <x:v>none</x:v>
      </x:c>
      <x:c r="L1490" s="13" t="n">
        <x:f>IF(G1490&lt;=I1490,0,MAX(0,L1489)+IF(E1490="via",MAX(0,G1490-MAX(F1490,I1490)),0))</x:f>
        <x:v>3.57</x:v>
      </x:c>
    </x:row>
    <x:row r="1491" ht="42" customHeight="1">
      <x:c r="A1491" s="7" t="str">
        <x:v>DP3-B-R3</x:v>
      </x:c>
      <x:c r="B1491" s="7" t="str">
        <x:v>U05</x:v>
      </x:c>
      <x:c r="C1491" s="7" t="str">
        <x:v>response_audio</x:v>
      </x:c>
      <x:c r="D1491" s="7" t="str">
        <x:v>선택한 응답 음성 생성</x:v>
      </x:c>
      <x:c r="E1491" s="7" t="str">
        <x:v>via</x:v>
      </x:c>
      <x:c r="F1491" s="14" t="n">
        <x:v>3.53</x:v>
      </x:c>
      <x:c r="G1491" s="14" t="n">
        <x:v>5.417999999999999</x:v>
      </x:c>
      <x:c r="H1491" s="14" t="n">
        <x:v>1.888</x:v>
      </x:c>
      <x:c r="I1491" s="14" t="n">
        <x:v>0</x:v>
      </x:c>
      <x:c r="J1491" s="7" t="str">
        <x:v>adopt</x:v>
      </x:c>
      <x:c r="K1491" s="7" t="str">
        <x:v>speech</x:v>
      </x:c>
      <x:c r="L1491" s="14" t="n">
        <x:f>IF(G1491&lt;=I1491,0,MAX(0,L1489)+IF(E1491="via",MAX(0,G1491-MAX(F1491,I1491)),0))</x:f>
        <x:v>5.417999999999999</x:v>
      </x:c>
    </x:row>
    <x:row r="1492" ht="42" customHeight="1">
      <x:c r="A1492" s="12" t="str">
        <x:v>DP3-B-R3</x:v>
      </x:c>
      <x:c r="B1492" s="12" t="str">
        <x:v>U05</x:v>
      </x:c>
      <x:c r="C1492" s="12" t="str">
        <x:v>first_chunk</x:v>
      </x:c>
      <x:c r="D1492" s="12" t="str">
        <x:v>같은 생성 job의 유효 첫 chunk 관측</x:v>
      </x:c>
      <x:c r="E1492" s="12" t="str">
        <x:v>via</x:v>
      </x:c>
      <x:c r="F1492" s="13" t="n">
        <x:v>3.53</x:v>
      </x:c>
      <x:c r="G1492" s="13" t="n">
        <x:v>3.968</x:v>
      </x:c>
      <x:c r="H1492" s="13" t="n">
        <x:v>0.438</x:v>
      </x:c>
      <x:c r="I1492" s="13" t="n">
        <x:v>0</x:v>
      </x:c>
      <x:c r="J1492" s="12" t="str">
        <x:v>adopt</x:v>
      </x:c>
      <x:c r="K1492" s="12" t="str">
        <x:v>none</x:v>
      </x:c>
      <x:c r="L1492" s="13" t="n">
        <x:f>IF(G1492&lt;=I1492,0,MAX(0,L1489)+IF(E1492="via",MAX(0,G1492-MAX(F1492,I1492)),0))</x:f>
        <x:v>3.968</x:v>
      </x:c>
    </x:row>
    <x:row r="1493" ht="42" customHeight="1">
      <x:c r="A1493" s="7" t="str">
        <x:v>DP3-B-R3</x:v>
      </x:c>
      <x:c r="B1493" s="7" t="str">
        <x:v>U05</x:v>
      </x:c>
      <x:c r="C1493" s="7" t="str">
        <x:v>first_audio_output</x:v>
      </x:c>
      <x:c r="D1493" s="7" t="str">
        <x:v>공통 장치의 첫 음성 출력</x:v>
      </x:c>
      <x:c r="E1493" s="7" t="str">
        <x:v>via</x:v>
      </x:c>
      <x:c r="F1493" s="14" t="n">
        <x:v>3.968</x:v>
      </x:c>
      <x:c r="G1493" s="14" t="n">
        <x:v>4.008</x:v>
      </x:c>
      <x:c r="H1493" s="14" t="n">
        <x:v>0.04</x:v>
      </x:c>
      <x:c r="I1493" s="14" t="n">
        <x:v>0</x:v>
      </x:c>
      <x:c r="J1493" s="7" t="str">
        <x:v>adopt, first_chunk</x:v>
      </x:c>
      <x:c r="K1493" s="7" t="str">
        <x:v>none</x:v>
      </x:c>
      <x:c r="L1493" s="14" t="n">
        <x:f>IF(G1493&lt;=I1493,0,MAX(0,L1489,L1492)+IF(E1493="via",MAX(0,G1493-MAX(F1493,I1493)),0))</x:f>
        <x:v>4.008</x:v>
      </x:c>
    </x:row>
    <x:row r="1494" ht="42" customHeight="1">
      <x:c r="A1494" s="12" t="str">
        <x:v>DP3-B-R3</x:v>
      </x:c>
      <x:c r="B1494" s="12" t="str">
        <x:v>U05</x:v>
      </x:c>
      <x:c r="C1494" s="12" t="str">
        <x:v>terminal</x:v>
      </x:c>
      <x:c r="D1494" s="12" t="str">
        <x:v>공통 목표 최종 상태와 전체 음성 준비</x:v>
      </x:c>
      <x:c r="E1494" s="12" t="str">
        <x:v>via</x:v>
      </x:c>
      <x:c r="F1494" s="13" t="n">
        <x:v>5.417999999999999</x:v>
      </x:c>
      <x:c r="G1494" s="13" t="n">
        <x:v>5.417999999999999</x:v>
      </x:c>
      <x:c r="H1494" s="13" t="n">
        <x:v>0</x:v>
      </x:c>
      <x:c r="I1494" s="13" t="n">
        <x:v>0</x:v>
      </x:c>
      <x:c r="J1494" s="12" t="str">
        <x:v>first_display, response_audio, first_audio_output</x:v>
      </x:c>
      <x:c r="K1494" s="12" t="str">
        <x:v>none</x:v>
      </x:c>
      <x:c r="L1494" s="13" t="n">
        <x:f>IF(G1494&lt;=I1494,0,MAX(0,L1490,L1491,L1493)+IF(E1494="via",MAX(0,G1494-MAX(F1494,I1494)),0))</x:f>
        <x:v>5.417999999999999</x:v>
      </x:c>
    </x:row>
    <x:row r="1495" ht="42" customHeight="1">
      <x:c r="A1495" s="7" t="str">
        <x:v>DP3-B-R3</x:v>
      </x:c>
      <x:c r="B1495" s="7" t="str">
        <x:v>U06</x:v>
      </x:c>
      <x:c r="C1495" s="7" t="str">
        <x:v>bg1</x:v>
      </x:c>
      <x:c r="D1495" s="7" t="str">
        <x:v>진행 중인 현재 대화의 의미 step</x:v>
      </x:c>
      <x:c r="E1495" s="7" t="str">
        <x:v>via</x:v>
      </x:c>
      <x:c r="F1495" s="14" t="n">
        <x:v>-1</x:v>
      </x:c>
      <x:c r="G1495" s="14" t="n">
        <x:v>2.4</x:v>
      </x:c>
      <x:c r="H1495" s="14" t="n">
        <x:v>3.4</x:v>
      </x:c>
      <x:c r="I1495" s="14" t="n">
        <x:v>0</x:v>
      </x:c>
      <x:c r="J1495" s="7" t="str"/>
      <x:c r="K1495" s="7" t="str">
        <x:v>semantic</x:v>
      </x:c>
      <x:c r="L1495" s="14" t="n">
        <x:f>IF(G1495&lt;=I1495,0,MAX(0)+IF(E1495="via",MAX(0,G1495-MAX(F1495,I1495)),0))</x:f>
        <x:v>2.4</x:v>
      </x:c>
    </x:row>
    <x:row r="1496" ht="42" customHeight="1">
      <x:c r="A1496" s="12" t="str">
        <x:v>DP3-B-R3</x:v>
      </x:c>
      <x:c r="B1496" s="12" t="str">
        <x:v>U06</x:v>
      </x:c>
      <x:c r="C1496" s="12" t="str">
        <x:v>input_end</x:v>
      </x:c>
      <x:c r="D1496" s="12" t="str">
        <x:v>사용자 입력 종료</x:v>
      </x:c>
      <x:c r="E1496" s="12" t="str">
        <x:v>external</x:v>
      </x:c>
      <x:c r="F1496" s="13" t="n">
        <x:v>0</x:v>
      </x:c>
      <x:c r="G1496" s="13" t="n">
        <x:v>0</x:v>
      </x:c>
      <x:c r="H1496" s="13" t="n">
        <x:v>0</x:v>
      </x:c>
      <x:c r="I1496" s="13" t="n">
        <x:v>0</x:v>
      </x:c>
      <x:c r="J1496" s="12" t="str"/>
      <x:c r="K1496" s="12" t="str">
        <x:v>none</x:v>
      </x:c>
      <x:c r="L1496" s="13" t="n">
        <x:f>IF(G1496&lt;=I1496,0,MAX(0)+IF(E1496="via",MAX(0,G1496-MAX(F1496,I1496)),0))</x:f>
        <x:v>0</x:v>
      </x:c>
    </x:row>
    <x:row r="1497" ht="42" customHeight="1">
      <x:c r="A1497" s="7" t="str">
        <x:v>DP3-B-R3</x:v>
      </x:c>
      <x:c r="B1497" s="7" t="str">
        <x:v>U06</x:v>
      </x:c>
      <x:c r="C1497" s="7" t="str">
        <x:v>intake</x:v>
      </x:c>
      <x:c r="D1497" s="7" t="str">
        <x:v>입력 확정</x:v>
      </x:c>
      <x:c r="E1497" s="7" t="str">
        <x:v>via</x:v>
      </x:c>
      <x:c r="F1497" s="14" t="n">
        <x:v>0</x:v>
      </x:c>
      <x:c r="G1497" s="14" t="n">
        <x:v>0.06</x:v>
      </x:c>
      <x:c r="H1497" s="14" t="n">
        <x:v>0.06</x:v>
      </x:c>
      <x:c r="I1497" s="14" t="n">
        <x:v>0</x:v>
      </x:c>
      <x:c r="J1497" s="7" t="str">
        <x:v>input_end</x:v>
      </x:c>
      <x:c r="K1497" s="7" t="str">
        <x:v>none</x:v>
      </x:c>
      <x:c r="L1497" s="14" t="n">
        <x:f>IF(G1497&lt;=I1497,0,MAX(0,L1496)+IF(E1497="via",MAX(0,G1497-MAX(F1497,I1497)),0))</x:f>
        <x:v>0.06</x:v>
      </x:c>
    </x:row>
    <x:row r="1498" ht="42" customHeight="1">
      <x:c r="A1498" s="12" t="str">
        <x:v>DP3-B-R3</x:v>
      </x:c>
      <x:c r="B1498" s="12" t="str">
        <x:v>U06</x:v>
      </x:c>
      <x:c r="C1498" s="12" t="str">
        <x:v>read</x:v>
      </x:c>
      <x:c r="D1498" s="12" t="str">
        <x:v>공통 허용 원본 조회</x:v>
      </x:c>
      <x:c r="E1498" s="12" t="str">
        <x:v>via</x:v>
      </x:c>
      <x:c r="F1498" s="13" t="n">
        <x:v>0.06</x:v>
      </x:c>
      <x:c r="G1498" s="13" t="n">
        <x:v>0.14</x:v>
      </x:c>
      <x:c r="H1498" s="13" t="n">
        <x:v>0.08</x:v>
      </x:c>
      <x:c r="I1498" s="13" t="n">
        <x:v>0</x:v>
      </x:c>
      <x:c r="J1498" s="12" t="str">
        <x:v>intake</x:v>
      </x:c>
      <x:c r="K1498" s="12" t="str">
        <x:v>none</x:v>
      </x:c>
      <x:c r="L1498" s="13" t="n">
        <x:f>IF(G1498&lt;=I1498,0,MAX(0,L1497)+IF(E1498="via",MAX(0,G1498-MAX(F1498,I1498)),0))</x:f>
        <x:v>0.14</x:v>
      </x:c>
    </x:row>
    <x:row r="1499" ht="42" customHeight="1">
      <x:c r="A1499" s="7" t="str">
        <x:v>DP3-B-R3</x:v>
      </x:c>
      <x:c r="B1499" s="7" t="str">
        <x:v>U06</x:v>
      </x:c>
      <x:c r="C1499" s="7" t="str">
        <x:v>meaning</x:v>
      </x:c>
      <x:c r="D1499" s="7" t="str">
        <x:v>최초 요청 의미 채택 packet 생성</x:v>
      </x:c>
      <x:c r="E1499" s="7" t="str">
        <x:v>via</x:v>
      </x:c>
      <x:c r="F1499" s="14" t="n">
        <x:v>2.4</x:v>
      </x:c>
      <x:c r="G1499" s="14" t="n">
        <x:v>3.5</x:v>
      </x:c>
      <x:c r="H1499" s="14" t="n">
        <x:v>1.1</x:v>
      </x:c>
      <x:c r="I1499" s="14" t="n">
        <x:v>0</x:v>
      </x:c>
      <x:c r="J1499" s="7" t="str">
        <x:v>read, bg1</x:v>
      </x:c>
      <x:c r="K1499" s="7" t="str">
        <x:v>semantic</x:v>
      </x:c>
      <x:c r="L1499" s="14" t="n">
        <x:f>IF(G1499&lt;=I1499,0,MAX(0,L1498,L1495)+IF(E1499="via",MAX(0,G1499-MAX(F1499,I1499)),0))</x:f>
        <x:v>3.5</x:v>
      </x:c>
    </x:row>
    <x:row r="1500" ht="42" customHeight="1">
      <x:c r="A1500" s="12" t="str">
        <x:v>DP3-B-R3</x:v>
      </x:c>
      <x:c r="B1500" s="12" t="str">
        <x:v>U06</x:v>
      </x:c>
      <x:c r="C1500" s="12" t="str">
        <x:v>adopt</x:v>
      </x:c>
      <x:c r="D1500" s="12" t="str">
        <x:v>현재 revision과 권한 검사 및 채택</x:v>
      </x:c>
      <x:c r="E1500" s="12" t="str">
        <x:v>via</x:v>
      </x:c>
      <x:c r="F1500" s="13" t="n">
        <x:v>3.5</x:v>
      </x:c>
      <x:c r="G1500" s="13" t="n">
        <x:v>3.53</x:v>
      </x:c>
      <x:c r="H1500" s="13" t="n">
        <x:v>0.03</x:v>
      </x:c>
      <x:c r="I1500" s="13" t="n">
        <x:v>0</x:v>
      </x:c>
      <x:c r="J1500" s="12" t="str">
        <x:v>meaning</x:v>
      </x:c>
      <x:c r="K1500" s="12" t="str">
        <x:v>none</x:v>
      </x:c>
      <x:c r="L1500" s="13" t="n">
        <x:f>IF(G1500&lt;=I1500,0,MAX(0,L1499)+IF(E1500="via",MAX(0,G1500-MAX(F1500,I1500)),0))</x:f>
        <x:v>3.53</x:v>
      </x:c>
    </x:row>
    <x:row r="1501" ht="42" customHeight="1">
      <x:c r="A1501" s="7" t="str">
        <x:v>DP3-B-R3</x:v>
      </x:c>
      <x:c r="B1501" s="7" t="str">
        <x:v>U06</x:v>
      </x:c>
      <x:c r="C1501" s="7" t="str">
        <x:v>first_display</x:v>
      </x:c>
      <x:c r="D1501" s="7" t="str">
        <x:v>첫 구체적 채택 내용 화면 표시</x:v>
      </x:c>
      <x:c r="E1501" s="7" t="str">
        <x:v>via</x:v>
      </x:c>
      <x:c r="F1501" s="14" t="n">
        <x:v>3.53</x:v>
      </x:c>
      <x:c r="G1501" s="14" t="n">
        <x:v>3.57</x:v>
      </x:c>
      <x:c r="H1501" s="14" t="n">
        <x:v>0.04</x:v>
      </x:c>
      <x:c r="I1501" s="14" t="n">
        <x:v>0</x:v>
      </x:c>
      <x:c r="J1501" s="7" t="str">
        <x:v>adopt</x:v>
      </x:c>
      <x:c r="K1501" s="7" t="str">
        <x:v>none</x:v>
      </x:c>
      <x:c r="L1501" s="14" t="n">
        <x:f>IF(G1501&lt;=I1501,0,MAX(0,L1500)+IF(E1501="via",MAX(0,G1501-MAX(F1501,I1501)),0))</x:f>
        <x:v>3.57</x:v>
      </x:c>
    </x:row>
    <x:row r="1502" ht="42" customHeight="1">
      <x:c r="A1502" s="12" t="str">
        <x:v>DP3-B-R3</x:v>
      </x:c>
      <x:c r="B1502" s="12" t="str">
        <x:v>U06</x:v>
      </x:c>
      <x:c r="C1502" s="12" t="str">
        <x:v>long_work</x:v>
      </x:c>
      <x:c r="D1502" s="12" t="str">
        <x:v>요청의 남은 VIA 판단</x:v>
      </x:c>
      <x:c r="E1502" s="12" t="str">
        <x:v>via</x:v>
      </x:c>
      <x:c r="F1502" s="13" t="n">
        <x:v>3.53</x:v>
      </x:c>
      <x:c r="G1502" s="13" t="n">
        <x:v>5.13</x:v>
      </x:c>
      <x:c r="H1502" s="13" t="n">
        <x:v>1.6</x:v>
      </x:c>
      <x:c r="I1502" s="13" t="n">
        <x:v>0</x:v>
      </x:c>
      <x:c r="J1502" s="12" t="str">
        <x:v>adopt</x:v>
      </x:c>
      <x:c r="K1502" s="12" t="str">
        <x:v>semantic</x:v>
      </x:c>
      <x:c r="L1502" s="13" t="n">
        <x:f>IF(G1502&lt;=I1502,0,MAX(0,L1500)+IF(E1502="via",MAX(0,G1502-MAX(F1502,I1502)),0))</x:f>
        <x:v>5.13</x:v>
      </x:c>
    </x:row>
    <x:row r="1503" ht="42" customHeight="1">
      <x:c r="A1503" s="7" t="str">
        <x:v>DP3-B-R3</x:v>
      </x:c>
      <x:c r="B1503" s="7" t="str">
        <x:v>U06</x:v>
      </x:c>
      <x:c r="C1503" s="7" t="str">
        <x:v>result_display</x:v>
      </x:c>
      <x:c r="D1503" s="7" t="str">
        <x:v>최종 설명 상세 표시</x:v>
      </x:c>
      <x:c r="E1503" s="7" t="str">
        <x:v>via</x:v>
      </x:c>
      <x:c r="F1503" s="14" t="n">
        <x:v>5.13</x:v>
      </x:c>
      <x:c r="G1503" s="14" t="n">
        <x:v>5.17</x:v>
      </x:c>
      <x:c r="H1503" s="14" t="n">
        <x:v>0.04</x:v>
      </x:c>
      <x:c r="I1503" s="14" t="n">
        <x:v>0</x:v>
      </x:c>
      <x:c r="J1503" s="7" t="str">
        <x:v>long_work</x:v>
      </x:c>
      <x:c r="K1503" s="7" t="str">
        <x:v>none</x:v>
      </x:c>
      <x:c r="L1503" s="14" t="n">
        <x:f>IF(G1503&lt;=I1503,0,MAX(0,L1502)+IF(E1503="via",MAX(0,G1503-MAX(F1503,I1503)),0))</x:f>
        <x:v>5.17</x:v>
      </x:c>
    </x:row>
    <x:row r="1504" ht="42" customHeight="1">
      <x:c r="A1504" s="12" t="str">
        <x:v>DP3-B-R3</x:v>
      </x:c>
      <x:c r="B1504" s="12" t="str">
        <x:v>U06</x:v>
      </x:c>
      <x:c r="C1504" s="12" t="str">
        <x:v>response_audio</x:v>
      </x:c>
      <x:c r="D1504" s="12" t="str">
        <x:v>선택한 응답 음성 생성</x:v>
      </x:c>
      <x:c r="E1504" s="12" t="str">
        <x:v>via</x:v>
      </x:c>
      <x:c r="F1504" s="13" t="n">
        <x:v>5.13</x:v>
      </x:c>
      <x:c r="G1504" s="13" t="n">
        <x:v>7.018</x:v>
      </x:c>
      <x:c r="H1504" s="13" t="n">
        <x:v>1.888</x:v>
      </x:c>
      <x:c r="I1504" s="13" t="n">
        <x:v>0</x:v>
      </x:c>
      <x:c r="J1504" s="12" t="str">
        <x:v>long_work</x:v>
      </x:c>
      <x:c r="K1504" s="12" t="str">
        <x:v>speech</x:v>
      </x:c>
      <x:c r="L1504" s="13" t="n">
        <x:f>IF(G1504&lt;=I1504,0,MAX(0,L1502)+IF(E1504="via",MAX(0,G1504-MAX(F1504,I1504)),0))</x:f>
        <x:v>7.018</x:v>
      </x:c>
    </x:row>
    <x:row r="1505" ht="42" customHeight="1">
      <x:c r="A1505" s="7" t="str">
        <x:v>DP3-B-R3</x:v>
      </x:c>
      <x:c r="B1505" s="7" t="str">
        <x:v>U06</x:v>
      </x:c>
      <x:c r="C1505" s="7" t="str">
        <x:v>intent_audio</x:v>
      </x:c>
      <x:c r="D1505" s="7" t="str">
        <x:v>채택한 구체적 수행 의도의 짧은 음성</x:v>
      </x:c>
      <x:c r="E1505" s="7" t="str">
        <x:v>via</x:v>
      </x:c>
      <x:c r="F1505" s="14" t="n">
        <x:v>3.53</x:v>
      </x:c>
      <x:c r="G1505" s="14" t="n">
        <x:v>4.664</x:v>
      </x:c>
      <x:c r="H1505" s="14" t="n">
        <x:v>1.134</x:v>
      </x:c>
      <x:c r="I1505" s="14" t="n">
        <x:v>0</x:v>
      </x:c>
      <x:c r="J1505" s="7" t="str">
        <x:v>adopt</x:v>
      </x:c>
      <x:c r="K1505" s="7" t="str">
        <x:v>speech</x:v>
      </x:c>
      <x:c r="L1505" s="14" t="n">
        <x:f>IF(G1505&lt;=I1505,0,MAX(0,L1500)+IF(E1505="via",MAX(0,G1505-MAX(F1505,I1505)),0))</x:f>
        <x:v>4.664</x:v>
      </x:c>
    </x:row>
    <x:row r="1506" ht="42" customHeight="1">
      <x:c r="A1506" s="12" t="str">
        <x:v>DP3-B-R3</x:v>
      </x:c>
      <x:c r="B1506" s="12" t="str">
        <x:v>U06</x:v>
      </x:c>
      <x:c r="C1506" s="12" t="str">
        <x:v>first_chunk</x:v>
      </x:c>
      <x:c r="D1506" s="12" t="str">
        <x:v>같은 생성 job의 유효 첫 chunk 관측</x:v>
      </x:c>
      <x:c r="E1506" s="12" t="str">
        <x:v>via</x:v>
      </x:c>
      <x:c r="F1506" s="13" t="n">
        <x:v>3.53</x:v>
      </x:c>
      <x:c r="G1506" s="13" t="n">
        <x:v>3.964</x:v>
      </x:c>
      <x:c r="H1506" s="13" t="n">
        <x:v>0.434</x:v>
      </x:c>
      <x:c r="I1506" s="13" t="n">
        <x:v>0</x:v>
      </x:c>
      <x:c r="J1506" s="12" t="str">
        <x:v>adopt</x:v>
      </x:c>
      <x:c r="K1506" s="12" t="str">
        <x:v>none</x:v>
      </x:c>
      <x:c r="L1506" s="13" t="n">
        <x:f>IF(G1506&lt;=I1506,0,MAX(0,L1500)+IF(E1506="via",MAX(0,G1506-MAX(F1506,I1506)),0))</x:f>
        <x:v>3.964</x:v>
      </x:c>
    </x:row>
    <x:row r="1507" ht="42" customHeight="1">
      <x:c r="A1507" s="7" t="str">
        <x:v>DP3-B-R3</x:v>
      </x:c>
      <x:c r="B1507" s="7" t="str">
        <x:v>U06</x:v>
      </x:c>
      <x:c r="C1507" s="7" t="str">
        <x:v>first_audio_output</x:v>
      </x:c>
      <x:c r="D1507" s="7" t="str">
        <x:v>공통 장치의 첫 음성 출력</x:v>
      </x:c>
      <x:c r="E1507" s="7" t="str">
        <x:v>via</x:v>
      </x:c>
      <x:c r="F1507" s="14" t="n">
        <x:v>3.964</x:v>
      </x:c>
      <x:c r="G1507" s="14" t="n">
        <x:v>4.004</x:v>
      </x:c>
      <x:c r="H1507" s="14" t="n">
        <x:v>0.04</x:v>
      </x:c>
      <x:c r="I1507" s="14" t="n">
        <x:v>0</x:v>
      </x:c>
      <x:c r="J1507" s="7" t="str">
        <x:v>adopt, first_chunk</x:v>
      </x:c>
      <x:c r="K1507" s="7" t="str">
        <x:v>none</x:v>
      </x:c>
      <x:c r="L1507" s="14" t="n">
        <x:f>IF(G1507&lt;=I1507,0,MAX(0,L1500,L1506)+IF(E1507="via",MAX(0,G1507-MAX(F1507,I1507)),0))</x:f>
        <x:v>4.004</x:v>
      </x:c>
    </x:row>
    <x:row r="1508" ht="42" customHeight="1">
      <x:c r="A1508" s="12" t="str">
        <x:v>DP3-B-R3</x:v>
      </x:c>
      <x:c r="B1508" s="12" t="str">
        <x:v>U06</x:v>
      </x:c>
      <x:c r="C1508" s="12" t="str">
        <x:v>next_speech_selection</x:v>
      </x:c>
      <x:c r="D1508" s="12" t="str">
        <x:v>현재 발화 재생 후 다음 응답 선택</x:v>
      </x:c>
      <x:c r="E1508" s="12" t="str">
        <x:v>external</x:v>
      </x:c>
      <x:c r="F1508" s="13" t="n">
        <x:v>4.004</x:v>
      </x:c>
      <x:c r="G1508" s="13" t="n">
        <x:v>7.004</x:v>
      </x:c>
      <x:c r="H1508" s="13" t="n">
        <x:v>3</x:v>
      </x:c>
      <x:c r="I1508" s="13" t="n">
        <x:v>0</x:v>
      </x:c>
      <x:c r="J1508" s="12" t="str">
        <x:v>first_audio_output</x:v>
      </x:c>
      <x:c r="K1508" s="12" t="str">
        <x:v>none</x:v>
      </x:c>
      <x:c r="L1508" s="13" t="n">
        <x:f>IF(G1508&lt;=I1508,0,MAX(0,L1507)+IF(E1508="via",MAX(0,G1508-MAX(F1508,I1508)),0))</x:f>
        <x:v>4.004</x:v>
      </x:c>
    </x:row>
    <x:row r="1509" ht="42" customHeight="1">
      <x:c r="A1509" s="7" t="str">
        <x:v>DP3-B-R3</x:v>
      </x:c>
      <x:c r="B1509" s="7" t="str">
        <x:v>U06</x:v>
      </x:c>
      <x:c r="C1509" s="7" t="str">
        <x:v>terminal</x:v>
      </x:c>
      <x:c r="D1509" s="7" t="str">
        <x:v>공통 목표 최종 상태와 전체 음성 준비</x:v>
      </x:c>
      <x:c r="E1509" s="7" t="str">
        <x:v>via</x:v>
      </x:c>
      <x:c r="F1509" s="14" t="n">
        <x:v>7.018</x:v>
      </x:c>
      <x:c r="G1509" s="14" t="n">
        <x:v>7.018</x:v>
      </x:c>
      <x:c r="H1509" s="14" t="n">
        <x:v>0</x:v>
      </x:c>
      <x:c r="I1509" s="14" t="n">
        <x:v>0</x:v>
      </x:c>
      <x:c r="J1509" s="7" t="str">
        <x:v>result_display, response_audio, intent_audio, first_audio_output</x:v>
      </x:c>
      <x:c r="K1509" s="7" t="str">
        <x:v>none</x:v>
      </x:c>
      <x:c r="L1509" s="14" t="n">
        <x:f>IF(G1509&lt;=I1509,0,MAX(0,L1503,L1504,L1505,L1507)+IF(E1509="via",MAX(0,G1509-MAX(F1509,I1509)),0))</x:f>
        <x:v>7.018</x:v>
      </x:c>
    </x:row>
    <x:row r="1510" ht="42" customHeight="1">
      <x:c r="A1510" s="12" t="str">
        <x:v>DP3-B-R3</x:v>
      </x:c>
      <x:c r="B1510" s="12" t="str">
        <x:v>U07</x:v>
      </x:c>
      <x:c r="C1510" s="12" t="str">
        <x:v>bg1</x:v>
      </x:c>
      <x:c r="D1510" s="12" t="str">
        <x:v>진행 중인 현재 대화의 의미 step</x:v>
      </x:c>
      <x:c r="E1510" s="12" t="str">
        <x:v>via</x:v>
      </x:c>
      <x:c r="F1510" s="13" t="n">
        <x:v>-1</x:v>
      </x:c>
      <x:c r="G1510" s="13" t="n">
        <x:v>2.4</x:v>
      </x:c>
      <x:c r="H1510" s="13" t="n">
        <x:v>3.4</x:v>
      </x:c>
      <x:c r="I1510" s="13" t="n">
        <x:v>0</x:v>
      </x:c>
      <x:c r="J1510" s="12" t="str"/>
      <x:c r="K1510" s="12" t="str">
        <x:v>semantic</x:v>
      </x:c>
      <x:c r="L1510" s="13" t="n">
        <x:f>IF(G1510&lt;=I1510,0,MAX(0)+IF(E1510="via",MAX(0,G1510-MAX(F1510,I1510)),0))</x:f>
        <x:v>2.4</x:v>
      </x:c>
    </x:row>
    <x:row r="1511" ht="42" customHeight="1">
      <x:c r="A1511" s="7" t="str">
        <x:v>DP3-B-R3</x:v>
      </x:c>
      <x:c r="B1511" s="7" t="str">
        <x:v>U07</x:v>
      </x:c>
      <x:c r="C1511" s="7" t="str">
        <x:v>bg2</x:v>
      </x:c>
      <x:c r="D1511" s="7" t="str">
        <x:v>다른 대화의 의미 step</x:v>
      </x:c>
      <x:c r="E1511" s="7" t="str">
        <x:v>via</x:v>
      </x:c>
      <x:c r="F1511" s="14" t="n">
        <x:v>-1</x:v>
      </x:c>
      <x:c r="G1511" s="14" t="n">
        <x:v>2.4</x:v>
      </x:c>
      <x:c r="H1511" s="14" t="n">
        <x:v>3.4</x:v>
      </x:c>
      <x:c r="I1511" s="14" t="n">
        <x:v>0</x:v>
      </x:c>
      <x:c r="J1511" s="7" t="str"/>
      <x:c r="K1511" s="7" t="str">
        <x:v>semantic</x:v>
      </x:c>
      <x:c r="L1511" s="14" t="n">
        <x:f>IF(G1511&lt;=I1511,0,MAX(0)+IF(E1511="via",MAX(0,G1511-MAX(F1511,I1511)),0))</x:f>
        <x:v>2.4</x:v>
      </x:c>
    </x:row>
    <x:row r="1512" ht="42" customHeight="1">
      <x:c r="A1512" s="12" t="str">
        <x:v>DP3-B-R3</x:v>
      </x:c>
      <x:c r="B1512" s="12" t="str">
        <x:v>U07</x:v>
      </x:c>
      <x:c r="C1512" s="12" t="str">
        <x:v>input_end</x:v>
      </x:c>
      <x:c r="D1512" s="12" t="str">
        <x:v>사용자 입력 종료</x:v>
      </x:c>
      <x:c r="E1512" s="12" t="str">
        <x:v>external</x:v>
      </x:c>
      <x:c r="F1512" s="13" t="n">
        <x:v>0</x:v>
      </x:c>
      <x:c r="G1512" s="13" t="n">
        <x:v>0</x:v>
      </x:c>
      <x:c r="H1512" s="13" t="n">
        <x:v>0</x:v>
      </x:c>
      <x:c r="I1512" s="13" t="n">
        <x:v>0</x:v>
      </x:c>
      <x:c r="J1512" s="12" t="str"/>
      <x:c r="K1512" s="12" t="str">
        <x:v>none</x:v>
      </x:c>
      <x:c r="L1512" s="13" t="n">
        <x:f>IF(G1512&lt;=I1512,0,MAX(0)+IF(E1512="via",MAX(0,G1512-MAX(F1512,I1512)),0))</x:f>
        <x:v>0</x:v>
      </x:c>
    </x:row>
    <x:row r="1513" ht="42" customHeight="1">
      <x:c r="A1513" s="7" t="str">
        <x:v>DP3-B-R3</x:v>
      </x:c>
      <x:c r="B1513" s="7" t="str">
        <x:v>U07</x:v>
      </x:c>
      <x:c r="C1513" s="7" t="str">
        <x:v>intake</x:v>
      </x:c>
      <x:c r="D1513" s="7" t="str">
        <x:v>입력 확정</x:v>
      </x:c>
      <x:c r="E1513" s="7" t="str">
        <x:v>via</x:v>
      </x:c>
      <x:c r="F1513" s="14" t="n">
        <x:v>0</x:v>
      </x:c>
      <x:c r="G1513" s="14" t="n">
        <x:v>0.3</x:v>
      </x:c>
      <x:c r="H1513" s="14" t="n">
        <x:v>0.3</x:v>
      </x:c>
      <x:c r="I1513" s="14" t="n">
        <x:v>0</x:v>
      </x:c>
      <x:c r="J1513" s="7" t="str">
        <x:v>input_end</x:v>
      </x:c>
      <x:c r="K1513" s="7" t="str">
        <x:v>none</x:v>
      </x:c>
      <x:c r="L1513" s="14" t="n">
        <x:f>IF(G1513&lt;=I1513,0,MAX(0,L1512)+IF(E1513="via",MAX(0,G1513-MAX(F1513,I1513)),0))</x:f>
        <x:v>0.3</x:v>
      </x:c>
    </x:row>
    <x:row r="1514" ht="42" customHeight="1">
      <x:c r="A1514" s="12" t="str">
        <x:v>DP3-B-R3</x:v>
      </x:c>
      <x:c r="B1514" s="12" t="str">
        <x:v>U07</x:v>
      </x:c>
      <x:c r="C1514" s="12" t="str">
        <x:v>read</x:v>
      </x:c>
      <x:c r="D1514" s="12" t="str">
        <x:v>공통 허용 원본 조회</x:v>
      </x:c>
      <x:c r="E1514" s="12" t="str">
        <x:v>via</x:v>
      </x:c>
      <x:c r="F1514" s="13" t="n">
        <x:v>0.3</x:v>
      </x:c>
      <x:c r="G1514" s="13" t="n">
        <x:v>0.38</x:v>
      </x:c>
      <x:c r="H1514" s="13" t="n">
        <x:v>0.08</x:v>
      </x:c>
      <x:c r="I1514" s="13" t="n">
        <x:v>0</x:v>
      </x:c>
      <x:c r="J1514" s="12" t="str">
        <x:v>intake</x:v>
      </x:c>
      <x:c r="K1514" s="12" t="str">
        <x:v>none</x:v>
      </x:c>
      <x:c r="L1514" s="13" t="n">
        <x:f>IF(G1514&lt;=I1514,0,MAX(0,L1513)+IF(E1514="via",MAX(0,G1514-MAX(F1514,I1514)),0))</x:f>
        <x:v>0.38</x:v>
      </x:c>
    </x:row>
    <x:row r="1515" ht="42" customHeight="1">
      <x:c r="A1515" s="7" t="str">
        <x:v>DP3-B-R3</x:v>
      </x:c>
      <x:c r="B1515" s="7" t="str">
        <x:v>U07</x:v>
      </x:c>
      <x:c r="C1515" s="7" t="str">
        <x:v>meaning</x:v>
      </x:c>
      <x:c r="D1515" s="7" t="str">
        <x:v>최초 요청 의미 채택 packet 생성</x:v>
      </x:c>
      <x:c r="E1515" s="7" t="str">
        <x:v>via</x:v>
      </x:c>
      <x:c r="F1515" s="14" t="n">
        <x:v>2.4</x:v>
      </x:c>
      <x:c r="G1515" s="14" t="n">
        <x:v>3.5</x:v>
      </x:c>
      <x:c r="H1515" s="14" t="n">
        <x:v>1.1</x:v>
      </x:c>
      <x:c r="I1515" s="14" t="n">
        <x:v>0</x:v>
      </x:c>
      <x:c r="J1515" s="7" t="str">
        <x:v>read, bg1</x:v>
      </x:c>
      <x:c r="K1515" s="7" t="str">
        <x:v>semantic</x:v>
      </x:c>
      <x:c r="L1515" s="14" t="n">
        <x:f>IF(G1515&lt;=I1515,0,MAX(0,L1514,L1510)+IF(E1515="via",MAX(0,G1515-MAX(F1515,I1515)),0))</x:f>
        <x:v>3.5</x:v>
      </x:c>
    </x:row>
    <x:row r="1516" ht="42" customHeight="1">
      <x:c r="A1516" s="12" t="str">
        <x:v>DP3-B-R3</x:v>
      </x:c>
      <x:c r="B1516" s="12" t="str">
        <x:v>U07</x:v>
      </x:c>
      <x:c r="C1516" s="12" t="str">
        <x:v>adopt</x:v>
      </x:c>
      <x:c r="D1516" s="12" t="str">
        <x:v>현재 revision과 권한 검사 및 채택</x:v>
      </x:c>
      <x:c r="E1516" s="12" t="str">
        <x:v>via</x:v>
      </x:c>
      <x:c r="F1516" s="13" t="n">
        <x:v>3.5</x:v>
      </x:c>
      <x:c r="G1516" s="13" t="n">
        <x:v>3.53</x:v>
      </x:c>
      <x:c r="H1516" s="13" t="n">
        <x:v>0.03</x:v>
      </x:c>
      <x:c r="I1516" s="13" t="n">
        <x:v>0</x:v>
      </x:c>
      <x:c r="J1516" s="12" t="str">
        <x:v>meaning</x:v>
      </x:c>
      <x:c r="K1516" s="12" t="str">
        <x:v>none</x:v>
      </x:c>
      <x:c r="L1516" s="13" t="n">
        <x:f>IF(G1516&lt;=I1516,0,MAX(0,L1515)+IF(E1516="via",MAX(0,G1516-MAX(F1516,I1516)),0))</x:f>
        <x:v>3.53</x:v>
      </x:c>
    </x:row>
    <x:row r="1517" ht="42" customHeight="1">
      <x:c r="A1517" s="7" t="str">
        <x:v>DP3-B-R3</x:v>
      </x:c>
      <x:c r="B1517" s="7" t="str">
        <x:v>U07</x:v>
      </x:c>
      <x:c r="C1517" s="7" t="str">
        <x:v>first_display</x:v>
      </x:c>
      <x:c r="D1517" s="7" t="str">
        <x:v>첫 구체적 채택 내용 화면 표시</x:v>
      </x:c>
      <x:c r="E1517" s="7" t="str">
        <x:v>via</x:v>
      </x:c>
      <x:c r="F1517" s="14" t="n">
        <x:v>3.53</x:v>
      </x:c>
      <x:c r="G1517" s="14" t="n">
        <x:v>3.57</x:v>
      </x:c>
      <x:c r="H1517" s="14" t="n">
        <x:v>0.04</x:v>
      </x:c>
      <x:c r="I1517" s="14" t="n">
        <x:v>0</x:v>
      </x:c>
      <x:c r="J1517" s="7" t="str">
        <x:v>adopt</x:v>
      </x:c>
      <x:c r="K1517" s="7" t="str">
        <x:v>none</x:v>
      </x:c>
      <x:c r="L1517" s="14" t="n">
        <x:f>IF(G1517&lt;=I1517,0,MAX(0,L1516)+IF(E1517="via",MAX(0,G1517-MAX(F1517,I1517)),0))</x:f>
        <x:v>3.57</x:v>
      </x:c>
    </x:row>
    <x:row r="1518" ht="42" customHeight="1">
      <x:c r="A1518" s="12" t="str">
        <x:v>DP3-B-R3</x:v>
      </x:c>
      <x:c r="B1518" s="12" t="str">
        <x:v>U07</x:v>
      </x:c>
      <x:c r="C1518" s="12" t="str">
        <x:v>long_work</x:v>
      </x:c>
      <x:c r="D1518" s="12" t="str">
        <x:v>요청의 남은 VIA 판단</x:v>
      </x:c>
      <x:c r="E1518" s="12" t="str">
        <x:v>via</x:v>
      </x:c>
      <x:c r="F1518" s="13" t="n">
        <x:v>3.53</x:v>
      </x:c>
      <x:c r="G1518" s="13" t="n">
        <x:v>5.13</x:v>
      </x:c>
      <x:c r="H1518" s="13" t="n">
        <x:v>1.6</x:v>
      </x:c>
      <x:c r="I1518" s="13" t="n">
        <x:v>0</x:v>
      </x:c>
      <x:c r="J1518" s="12" t="str">
        <x:v>adopt</x:v>
      </x:c>
      <x:c r="K1518" s="12" t="str">
        <x:v>semantic</x:v>
      </x:c>
      <x:c r="L1518" s="13" t="n">
        <x:f>IF(G1518&lt;=I1518,0,MAX(0,L1516)+IF(E1518="via",MAX(0,G1518-MAX(F1518,I1518)),0))</x:f>
        <x:v>5.13</x:v>
      </x:c>
    </x:row>
    <x:row r="1519" ht="42" customHeight="1">
      <x:c r="A1519" s="7" t="str">
        <x:v>DP3-B-R3</x:v>
      </x:c>
      <x:c r="B1519" s="7" t="str">
        <x:v>U07</x:v>
      </x:c>
      <x:c r="C1519" s="7" t="str">
        <x:v>result_display</x:v>
      </x:c>
      <x:c r="D1519" s="7" t="str">
        <x:v>최종 설명 상세 표시</x:v>
      </x:c>
      <x:c r="E1519" s="7" t="str">
        <x:v>via</x:v>
      </x:c>
      <x:c r="F1519" s="14" t="n">
        <x:v>5.13</x:v>
      </x:c>
      <x:c r="G1519" s="14" t="n">
        <x:v>5.17</x:v>
      </x:c>
      <x:c r="H1519" s="14" t="n">
        <x:v>0.04</x:v>
      </x:c>
      <x:c r="I1519" s="14" t="n">
        <x:v>0</x:v>
      </x:c>
      <x:c r="J1519" s="7" t="str">
        <x:v>long_work</x:v>
      </x:c>
      <x:c r="K1519" s="7" t="str">
        <x:v>none</x:v>
      </x:c>
      <x:c r="L1519" s="14" t="n">
        <x:f>IF(G1519&lt;=I1519,0,MAX(0,L1518)+IF(E1519="via",MAX(0,G1519-MAX(F1519,I1519)),0))</x:f>
        <x:v>5.17</x:v>
      </x:c>
    </x:row>
    <x:row r="1520" ht="42" customHeight="1">
      <x:c r="A1520" s="12" t="str">
        <x:v>DP3-B-R3</x:v>
      </x:c>
      <x:c r="B1520" s="12" t="str">
        <x:v>U07</x:v>
      </x:c>
      <x:c r="C1520" s="12" t="str">
        <x:v>response_audio</x:v>
      </x:c>
      <x:c r="D1520" s="12" t="str">
        <x:v>선택한 응답 음성 생성</x:v>
      </x:c>
      <x:c r="E1520" s="12" t="str">
        <x:v>via</x:v>
      </x:c>
      <x:c r="F1520" s="13" t="n">
        <x:v>5.13</x:v>
      </x:c>
      <x:c r="G1520" s="13" t="n">
        <x:v>7.018</x:v>
      </x:c>
      <x:c r="H1520" s="13" t="n">
        <x:v>1.888</x:v>
      </x:c>
      <x:c r="I1520" s="13" t="n">
        <x:v>0</x:v>
      </x:c>
      <x:c r="J1520" s="12" t="str">
        <x:v>long_work</x:v>
      </x:c>
      <x:c r="K1520" s="12" t="str">
        <x:v>speech</x:v>
      </x:c>
      <x:c r="L1520" s="13" t="n">
        <x:f>IF(G1520&lt;=I1520,0,MAX(0,L1518)+IF(E1520="via",MAX(0,G1520-MAX(F1520,I1520)),0))</x:f>
        <x:v>7.018</x:v>
      </x:c>
    </x:row>
    <x:row r="1521" ht="42" customHeight="1">
      <x:c r="A1521" s="7" t="str">
        <x:v>DP3-B-R3</x:v>
      </x:c>
      <x:c r="B1521" s="7" t="str">
        <x:v>U07</x:v>
      </x:c>
      <x:c r="C1521" s="7" t="str">
        <x:v>intent_audio</x:v>
      </x:c>
      <x:c r="D1521" s="7" t="str">
        <x:v>채택한 구체적 수행 의도의 짧은 음성</x:v>
      </x:c>
      <x:c r="E1521" s="7" t="str">
        <x:v>via</x:v>
      </x:c>
      <x:c r="F1521" s="14" t="n">
        <x:v>3.53</x:v>
      </x:c>
      <x:c r="G1521" s="14" t="n">
        <x:v>4.664</x:v>
      </x:c>
      <x:c r="H1521" s="14" t="n">
        <x:v>1.134</x:v>
      </x:c>
      <x:c r="I1521" s="14" t="n">
        <x:v>0</x:v>
      </x:c>
      <x:c r="J1521" s="7" t="str">
        <x:v>adopt</x:v>
      </x:c>
      <x:c r="K1521" s="7" t="str">
        <x:v>speech</x:v>
      </x:c>
      <x:c r="L1521" s="14" t="n">
        <x:f>IF(G1521&lt;=I1521,0,MAX(0,L1516)+IF(E1521="via",MAX(0,G1521-MAX(F1521,I1521)),0))</x:f>
        <x:v>4.664</x:v>
      </x:c>
    </x:row>
    <x:row r="1522" ht="42" customHeight="1">
      <x:c r="A1522" s="12" t="str">
        <x:v>DP3-B-R3</x:v>
      </x:c>
      <x:c r="B1522" s="12" t="str">
        <x:v>U07</x:v>
      </x:c>
      <x:c r="C1522" s="12" t="str">
        <x:v>first_chunk</x:v>
      </x:c>
      <x:c r="D1522" s="12" t="str">
        <x:v>같은 생성 job의 유효 첫 chunk 관측</x:v>
      </x:c>
      <x:c r="E1522" s="12" t="str">
        <x:v>via</x:v>
      </x:c>
      <x:c r="F1522" s="13" t="n">
        <x:v>3.53</x:v>
      </x:c>
      <x:c r="G1522" s="13" t="n">
        <x:v>3.964</x:v>
      </x:c>
      <x:c r="H1522" s="13" t="n">
        <x:v>0.434</x:v>
      </x:c>
      <x:c r="I1522" s="13" t="n">
        <x:v>0</x:v>
      </x:c>
      <x:c r="J1522" s="12" t="str">
        <x:v>adopt</x:v>
      </x:c>
      <x:c r="K1522" s="12" t="str">
        <x:v>none</x:v>
      </x:c>
      <x:c r="L1522" s="13" t="n">
        <x:f>IF(G1522&lt;=I1522,0,MAX(0,L1516)+IF(E1522="via",MAX(0,G1522-MAX(F1522,I1522)),0))</x:f>
        <x:v>3.964</x:v>
      </x:c>
    </x:row>
    <x:row r="1523" ht="42" customHeight="1">
      <x:c r="A1523" s="7" t="str">
        <x:v>DP3-B-R3</x:v>
      </x:c>
      <x:c r="B1523" s="7" t="str">
        <x:v>U07</x:v>
      </x:c>
      <x:c r="C1523" s="7" t="str">
        <x:v>first_audio_output</x:v>
      </x:c>
      <x:c r="D1523" s="7" t="str">
        <x:v>공통 장치의 첫 음성 출력</x:v>
      </x:c>
      <x:c r="E1523" s="7" t="str">
        <x:v>via</x:v>
      </x:c>
      <x:c r="F1523" s="14" t="n">
        <x:v>3.964</x:v>
      </x:c>
      <x:c r="G1523" s="14" t="n">
        <x:v>4.004</x:v>
      </x:c>
      <x:c r="H1523" s="14" t="n">
        <x:v>0.04</x:v>
      </x:c>
      <x:c r="I1523" s="14" t="n">
        <x:v>0</x:v>
      </x:c>
      <x:c r="J1523" s="7" t="str">
        <x:v>adopt, first_chunk</x:v>
      </x:c>
      <x:c r="K1523" s="7" t="str">
        <x:v>none</x:v>
      </x:c>
      <x:c r="L1523" s="14" t="n">
        <x:f>IF(G1523&lt;=I1523,0,MAX(0,L1516,L1522)+IF(E1523="via",MAX(0,G1523-MAX(F1523,I1523)),0))</x:f>
        <x:v>4.004</x:v>
      </x:c>
    </x:row>
    <x:row r="1524" ht="42" customHeight="1">
      <x:c r="A1524" s="12" t="str">
        <x:v>DP3-B-R3</x:v>
      </x:c>
      <x:c r="B1524" s="12" t="str">
        <x:v>U07</x:v>
      </x:c>
      <x:c r="C1524" s="12" t="str">
        <x:v>next_speech_selection</x:v>
      </x:c>
      <x:c r="D1524" s="12" t="str">
        <x:v>현재 발화 재생 후 다음 응답 선택</x:v>
      </x:c>
      <x:c r="E1524" s="12" t="str">
        <x:v>external</x:v>
      </x:c>
      <x:c r="F1524" s="13" t="n">
        <x:v>4.004</x:v>
      </x:c>
      <x:c r="G1524" s="13" t="n">
        <x:v>7.004</x:v>
      </x:c>
      <x:c r="H1524" s="13" t="n">
        <x:v>3</x:v>
      </x:c>
      <x:c r="I1524" s="13" t="n">
        <x:v>0</x:v>
      </x:c>
      <x:c r="J1524" s="12" t="str">
        <x:v>first_audio_output</x:v>
      </x:c>
      <x:c r="K1524" s="12" t="str">
        <x:v>none</x:v>
      </x:c>
      <x:c r="L1524" s="13" t="n">
        <x:f>IF(G1524&lt;=I1524,0,MAX(0,L1523)+IF(E1524="via",MAX(0,G1524-MAX(F1524,I1524)),0))</x:f>
        <x:v>4.004</x:v>
      </x:c>
    </x:row>
    <x:row r="1525" ht="42" customHeight="1">
      <x:c r="A1525" s="7" t="str">
        <x:v>DP3-B-R3</x:v>
      </x:c>
      <x:c r="B1525" s="7" t="str">
        <x:v>U07</x:v>
      </x:c>
      <x:c r="C1525" s="7" t="str">
        <x:v>terminal</x:v>
      </x:c>
      <x:c r="D1525" s="7" t="str">
        <x:v>공통 목표 최종 상태와 전체 음성 준비</x:v>
      </x:c>
      <x:c r="E1525" s="7" t="str">
        <x:v>via</x:v>
      </x:c>
      <x:c r="F1525" s="14" t="n">
        <x:v>7.018</x:v>
      </x:c>
      <x:c r="G1525" s="14" t="n">
        <x:v>7.018</x:v>
      </x:c>
      <x:c r="H1525" s="14" t="n">
        <x:v>0</x:v>
      </x:c>
      <x:c r="I1525" s="14" t="n">
        <x:v>0</x:v>
      </x:c>
      <x:c r="J1525" s="7" t="str">
        <x:v>result_display, response_audio, intent_audio, first_audio_output</x:v>
      </x:c>
      <x:c r="K1525" s="7" t="str">
        <x:v>none</x:v>
      </x:c>
      <x:c r="L1525" s="14" t="n">
        <x:f>IF(G1525&lt;=I1525,0,MAX(0,L1519,L1520,L1521,L1523)+IF(E1525="via",MAX(0,G1525-MAX(F1525,I1525)),0))</x:f>
        <x:v>7.018</x:v>
      </x:c>
    </x:row>
    <x:row r="1526" ht="42" customHeight="1">
      <x:c r="A1526" s="12" t="str">
        <x:v>DP3-B-R3</x:v>
      </x:c>
      <x:c r="B1526" s="12" t="str">
        <x:v>U08</x:v>
      </x:c>
      <x:c r="C1526" s="12" t="str">
        <x:v>bg1</x:v>
      </x:c>
      <x:c r="D1526" s="12" t="str">
        <x:v>진행 중인 현재 대화의 의미 step</x:v>
      </x:c>
      <x:c r="E1526" s="12" t="str">
        <x:v>via</x:v>
      </x:c>
      <x:c r="F1526" s="13" t="n">
        <x:v>-1</x:v>
      </x:c>
      <x:c r="G1526" s="13" t="n">
        <x:v>2.4</x:v>
      </x:c>
      <x:c r="H1526" s="13" t="n">
        <x:v>3.4</x:v>
      </x:c>
      <x:c r="I1526" s="13" t="n">
        <x:v>-6</x:v>
      </x:c>
      <x:c r="J1526" s="12" t="str">
        <x:v>original_work</x:v>
      </x:c>
      <x:c r="K1526" s="12" t="str">
        <x:v>semantic</x:v>
      </x:c>
      <x:c r="L1526" s="13" t="n">
        <x:f>IF(G1526&lt;=I1526,0,MAX(0,L1527)+IF(E1526="via",MAX(0,G1526-MAX(F1526,I1526)),0))</x:f>
        <x:v>5.4</x:v>
      </x:c>
    </x:row>
    <x:row r="1527" ht="42" customHeight="1">
      <x:c r="A1527" s="7" t="str">
        <x:v>DP3-B-R3</x:v>
      </x:c>
      <x:c r="B1527" s="7" t="str">
        <x:v>U08</x:v>
      </x:c>
      <x:c r="C1527" s="7" t="str">
        <x:v>original_work</x:v>
      </x:c>
      <x:c r="D1527" s="7" t="str">
        <x:v>원래 목표의 최초 VIA 처리</x:v>
      </x:c>
      <x:c r="E1527" s="7" t="str">
        <x:v>via</x:v>
      </x:c>
      <x:c r="F1527" s="14" t="n">
        <x:v>-6</x:v>
      </x:c>
      <x:c r="G1527" s="14" t="n">
        <x:v>-4</x:v>
      </x:c>
      <x:c r="H1527" s="14" t="n">
        <x:v>2</x:v>
      </x:c>
      <x:c r="I1527" s="14" t="n">
        <x:v>-6</x:v>
      </x:c>
      <x:c r="J1527" s="7" t="str"/>
      <x:c r="K1527" s="7" t="str">
        <x:v>none</x:v>
      </x:c>
      <x:c r="L1527" s="14" t="n">
        <x:f>IF(G1527&lt;=I1527,0,MAX(0)+IF(E1527="via",MAX(0,G1527-MAX(F1527,I1527)),0))</x:f>
        <x:v>2</x:v>
      </x:c>
    </x:row>
    <x:row r="1528" ht="42" customHeight="1">
      <x:c r="A1528" s="12" t="str">
        <x:v>DP3-B-R3</x:v>
      </x:c>
      <x:c r="B1528" s="12" t="str">
        <x:v>U08</x:v>
      </x:c>
      <x:c r="C1528" s="12" t="str">
        <x:v>input_end</x:v>
      </x:c>
      <x:c r="D1528" s="12" t="str">
        <x:v>사용자 입력 종료</x:v>
      </x:c>
      <x:c r="E1528" s="12" t="str">
        <x:v>external</x:v>
      </x:c>
      <x:c r="F1528" s="13" t="n">
        <x:v>0</x:v>
      </x:c>
      <x:c r="G1528" s="13" t="n">
        <x:v>0</x:v>
      </x:c>
      <x:c r="H1528" s="13" t="n">
        <x:v>0</x:v>
      </x:c>
      <x:c r="I1528" s="13" t="n">
        <x:v>-6</x:v>
      </x:c>
      <x:c r="J1528" s="12" t="str">
        <x:v>original_work</x:v>
      </x:c>
      <x:c r="K1528" s="12" t="str">
        <x:v>none</x:v>
      </x:c>
      <x:c r="L1528" s="13" t="n">
        <x:f>IF(G1528&lt;=I1528,0,MAX(0,L1527)+IF(E1528="via",MAX(0,G1528-MAX(F1528,I1528)),0))</x:f>
        <x:v>2</x:v>
      </x:c>
    </x:row>
    <x:row r="1529" ht="42" customHeight="1">
      <x:c r="A1529" s="7" t="str">
        <x:v>DP3-B-R3</x:v>
      </x:c>
      <x:c r="B1529" s="7" t="str">
        <x:v>U08</x:v>
      </x:c>
      <x:c r="C1529" s="7" t="str">
        <x:v>intake</x:v>
      </x:c>
      <x:c r="D1529" s="7" t="str">
        <x:v>입력 확정</x:v>
      </x:c>
      <x:c r="E1529" s="7" t="str">
        <x:v>via</x:v>
      </x:c>
      <x:c r="F1529" s="14" t="n">
        <x:v>0</x:v>
      </x:c>
      <x:c r="G1529" s="14" t="n">
        <x:v>0.06</x:v>
      </x:c>
      <x:c r="H1529" s="14" t="n">
        <x:v>0.06</x:v>
      </x:c>
      <x:c r="I1529" s="14" t="n">
        <x:v>-6</x:v>
      </x:c>
      <x:c r="J1529" s="7" t="str">
        <x:v>input_end</x:v>
      </x:c>
      <x:c r="K1529" s="7" t="str">
        <x:v>none</x:v>
      </x:c>
      <x:c r="L1529" s="14" t="n">
        <x:f>IF(G1529&lt;=I1529,0,MAX(0,L1528)+IF(E1529="via",MAX(0,G1529-MAX(F1529,I1529)),0))</x:f>
        <x:v>2.06</x:v>
      </x:c>
    </x:row>
    <x:row r="1530" ht="42" customHeight="1">
      <x:c r="A1530" s="12" t="str">
        <x:v>DP3-B-R3</x:v>
      </x:c>
      <x:c r="B1530" s="12" t="str">
        <x:v>U08</x:v>
      </x:c>
      <x:c r="C1530" s="12" t="str">
        <x:v>read</x:v>
      </x:c>
      <x:c r="D1530" s="12" t="str">
        <x:v>공통 허용 원본 조회</x:v>
      </x:c>
      <x:c r="E1530" s="12" t="str">
        <x:v>via</x:v>
      </x:c>
      <x:c r="F1530" s="13" t="n">
        <x:v>0.06</x:v>
      </x:c>
      <x:c r="G1530" s="13" t="n">
        <x:v>0.14</x:v>
      </x:c>
      <x:c r="H1530" s="13" t="n">
        <x:v>0.08</x:v>
      </x:c>
      <x:c r="I1530" s="13" t="n">
        <x:v>-6</x:v>
      </x:c>
      <x:c r="J1530" s="12" t="str">
        <x:v>intake</x:v>
      </x:c>
      <x:c r="K1530" s="12" t="str">
        <x:v>none</x:v>
      </x:c>
      <x:c r="L1530" s="13" t="n">
        <x:f>IF(G1530&lt;=I1530,0,MAX(0,L1529)+IF(E1530="via",MAX(0,G1530-MAX(F1530,I1530)),0))</x:f>
        <x:v>2.14</x:v>
      </x:c>
    </x:row>
    <x:row r="1531" ht="42" customHeight="1">
      <x:c r="A1531" s="7" t="str">
        <x:v>DP3-B-R3</x:v>
      </x:c>
      <x:c r="B1531" s="7" t="str">
        <x:v>U08</x:v>
      </x:c>
      <x:c r="C1531" s="7" t="str">
        <x:v>meaning</x:v>
      </x:c>
      <x:c r="D1531" s="7" t="str">
        <x:v>최초 요청 의미 채택 packet 생성</x:v>
      </x:c>
      <x:c r="E1531" s="7" t="str">
        <x:v>via</x:v>
      </x:c>
      <x:c r="F1531" s="14" t="n">
        <x:v>2.4</x:v>
      </x:c>
      <x:c r="G1531" s="14" t="n">
        <x:v>3.5</x:v>
      </x:c>
      <x:c r="H1531" s="14" t="n">
        <x:v>1.1</x:v>
      </x:c>
      <x:c r="I1531" s="14" t="n">
        <x:v>-6</x:v>
      </x:c>
      <x:c r="J1531" s="7" t="str">
        <x:v>read, bg1</x:v>
      </x:c>
      <x:c r="K1531" s="7" t="str">
        <x:v>semantic</x:v>
      </x:c>
      <x:c r="L1531" s="14" t="n">
        <x:f>IF(G1531&lt;=I1531,0,MAX(0,L1530,L1526)+IF(E1531="via",MAX(0,G1531-MAX(F1531,I1531)),0))</x:f>
        <x:v>6.5</x:v>
      </x:c>
    </x:row>
    <x:row r="1532" ht="42" customHeight="1">
      <x:c r="A1532" s="12" t="str">
        <x:v>DP3-B-R3</x:v>
      </x:c>
      <x:c r="B1532" s="12" t="str">
        <x:v>U08</x:v>
      </x:c>
      <x:c r="C1532" s="12" t="str">
        <x:v>adopt</x:v>
      </x:c>
      <x:c r="D1532" s="12" t="str">
        <x:v>현재 revision과 권한 검사 및 채택</x:v>
      </x:c>
      <x:c r="E1532" s="12" t="str">
        <x:v>via</x:v>
      </x:c>
      <x:c r="F1532" s="13" t="n">
        <x:v>3.5</x:v>
      </x:c>
      <x:c r="G1532" s="13" t="n">
        <x:v>3.53</x:v>
      </x:c>
      <x:c r="H1532" s="13" t="n">
        <x:v>0.03</x:v>
      </x:c>
      <x:c r="I1532" s="13" t="n">
        <x:v>-6</x:v>
      </x:c>
      <x:c r="J1532" s="12" t="str">
        <x:v>meaning</x:v>
      </x:c>
      <x:c r="K1532" s="12" t="str">
        <x:v>none</x:v>
      </x:c>
      <x:c r="L1532" s="13" t="n">
        <x:f>IF(G1532&lt;=I1532,0,MAX(0,L1531)+IF(E1532="via",MAX(0,G1532-MAX(F1532,I1532)),0))</x:f>
        <x:v>6.529999999999999</x:v>
      </x:c>
    </x:row>
    <x:row r="1533" ht="42" customHeight="1">
      <x:c r="A1533" s="7" t="str">
        <x:v>DP3-B-R3</x:v>
      </x:c>
      <x:c r="B1533" s="7" t="str">
        <x:v>U08</x:v>
      </x:c>
      <x:c r="C1533" s="7" t="str">
        <x:v>first_display</x:v>
      </x:c>
      <x:c r="D1533" s="7" t="str">
        <x:v>첫 구체적 채택 내용 화면 표시</x:v>
      </x:c>
      <x:c r="E1533" s="7" t="str">
        <x:v>via</x:v>
      </x:c>
      <x:c r="F1533" s="14" t="n">
        <x:v>3.53</x:v>
      </x:c>
      <x:c r="G1533" s="14" t="n">
        <x:v>3.57</x:v>
      </x:c>
      <x:c r="H1533" s="14" t="n">
        <x:v>0.04</x:v>
      </x:c>
      <x:c r="I1533" s="14" t="n">
        <x:v>-6</x:v>
      </x:c>
      <x:c r="J1533" s="7" t="str">
        <x:v>adopt</x:v>
      </x:c>
      <x:c r="K1533" s="7" t="str">
        <x:v>none</x:v>
      </x:c>
      <x:c r="L1533" s="14" t="n">
        <x:f>IF(G1533&lt;=I1533,0,MAX(0,L1532)+IF(E1533="via",MAX(0,G1533-MAX(F1533,I1533)),0))</x:f>
        <x:v>6.569999999999999</x:v>
      </x:c>
    </x:row>
    <x:row r="1534" ht="42" customHeight="1">
      <x:c r="A1534" s="12" t="str">
        <x:v>DP3-B-R3</x:v>
      </x:c>
      <x:c r="B1534" s="12" t="str">
        <x:v>U08</x:v>
      </x:c>
      <x:c r="C1534" s="12" t="str">
        <x:v>long_work</x:v>
      </x:c>
      <x:c r="D1534" s="12" t="str">
        <x:v>요청의 남은 VIA 판단</x:v>
      </x:c>
      <x:c r="E1534" s="12" t="str">
        <x:v>via</x:v>
      </x:c>
      <x:c r="F1534" s="13" t="n">
        <x:v>3.53</x:v>
      </x:c>
      <x:c r="G1534" s="13" t="n">
        <x:v>5.13</x:v>
      </x:c>
      <x:c r="H1534" s="13" t="n">
        <x:v>1.6</x:v>
      </x:c>
      <x:c r="I1534" s="13" t="n">
        <x:v>-6</x:v>
      </x:c>
      <x:c r="J1534" s="12" t="str">
        <x:v>adopt</x:v>
      </x:c>
      <x:c r="K1534" s="12" t="str">
        <x:v>semantic</x:v>
      </x:c>
      <x:c r="L1534" s="13" t="n">
        <x:f>IF(G1534&lt;=I1534,0,MAX(0,L1532)+IF(E1534="via",MAX(0,G1534-MAX(F1534,I1534)),0))</x:f>
        <x:v>8.129999999999999</x:v>
      </x:c>
    </x:row>
    <x:row r="1535" ht="42" customHeight="1">
      <x:c r="A1535" s="7" t="str">
        <x:v>DP3-B-R3</x:v>
      </x:c>
      <x:c r="B1535" s="7" t="str">
        <x:v>U08</x:v>
      </x:c>
      <x:c r="C1535" s="7" t="str">
        <x:v>result_display</x:v>
      </x:c>
      <x:c r="D1535" s="7" t="str">
        <x:v>최종 설명 상세 표시</x:v>
      </x:c>
      <x:c r="E1535" s="7" t="str">
        <x:v>via</x:v>
      </x:c>
      <x:c r="F1535" s="14" t="n">
        <x:v>5.13</x:v>
      </x:c>
      <x:c r="G1535" s="14" t="n">
        <x:v>5.17</x:v>
      </x:c>
      <x:c r="H1535" s="14" t="n">
        <x:v>0.04</x:v>
      </x:c>
      <x:c r="I1535" s="14" t="n">
        <x:v>-6</x:v>
      </x:c>
      <x:c r="J1535" s="7" t="str">
        <x:v>long_work</x:v>
      </x:c>
      <x:c r="K1535" s="7" t="str">
        <x:v>none</x:v>
      </x:c>
      <x:c r="L1535" s="14" t="n">
        <x:f>IF(G1535&lt;=I1535,0,MAX(0,L1534)+IF(E1535="via",MAX(0,G1535-MAX(F1535,I1535)),0))</x:f>
        <x:v>8.169999999999998</x:v>
      </x:c>
    </x:row>
    <x:row r="1536" ht="42" customHeight="1">
      <x:c r="A1536" s="12" t="str">
        <x:v>DP3-B-R3</x:v>
      </x:c>
      <x:c r="B1536" s="12" t="str">
        <x:v>U08</x:v>
      </x:c>
      <x:c r="C1536" s="12" t="str">
        <x:v>response_audio</x:v>
      </x:c>
      <x:c r="D1536" s="12" t="str">
        <x:v>선택한 응답 음성 생성</x:v>
      </x:c>
      <x:c r="E1536" s="12" t="str">
        <x:v>via</x:v>
      </x:c>
      <x:c r="F1536" s="13" t="n">
        <x:v>5.13</x:v>
      </x:c>
      <x:c r="G1536" s="13" t="n">
        <x:v>7.018</x:v>
      </x:c>
      <x:c r="H1536" s="13" t="n">
        <x:v>1.888</x:v>
      </x:c>
      <x:c r="I1536" s="13" t="n">
        <x:v>-6</x:v>
      </x:c>
      <x:c r="J1536" s="12" t="str">
        <x:v>long_work</x:v>
      </x:c>
      <x:c r="K1536" s="12" t="str">
        <x:v>speech</x:v>
      </x:c>
      <x:c r="L1536" s="13" t="n">
        <x:f>IF(G1536&lt;=I1536,0,MAX(0,L1534)+IF(E1536="via",MAX(0,G1536-MAX(F1536,I1536)),0))</x:f>
        <x:v>10.017999999999999</x:v>
      </x:c>
    </x:row>
    <x:row r="1537" ht="42" customHeight="1">
      <x:c r="A1537" s="7" t="str">
        <x:v>DP3-B-R3</x:v>
      </x:c>
      <x:c r="B1537" s="7" t="str">
        <x:v>U08</x:v>
      </x:c>
      <x:c r="C1537" s="7" t="str">
        <x:v>intent_audio</x:v>
      </x:c>
      <x:c r="D1537" s="7" t="str">
        <x:v>채택한 구체적 수행 의도의 짧은 음성</x:v>
      </x:c>
      <x:c r="E1537" s="7" t="str">
        <x:v>via</x:v>
      </x:c>
      <x:c r="F1537" s="14" t="n">
        <x:v>3.53</x:v>
      </x:c>
      <x:c r="G1537" s="14" t="n">
        <x:v>4.664</x:v>
      </x:c>
      <x:c r="H1537" s="14" t="n">
        <x:v>1.134</x:v>
      </x:c>
      <x:c r="I1537" s="14" t="n">
        <x:v>-6</x:v>
      </x:c>
      <x:c r="J1537" s="7" t="str">
        <x:v>adopt</x:v>
      </x:c>
      <x:c r="K1537" s="7" t="str">
        <x:v>speech</x:v>
      </x:c>
      <x:c r="L1537" s="14" t="n">
        <x:f>IF(G1537&lt;=I1537,0,MAX(0,L1532)+IF(E1537="via",MAX(0,G1537-MAX(F1537,I1537)),0))</x:f>
        <x:v>7.664</x:v>
      </x:c>
    </x:row>
    <x:row r="1538" ht="42" customHeight="1">
      <x:c r="A1538" s="12" t="str">
        <x:v>DP3-B-R3</x:v>
      </x:c>
      <x:c r="B1538" s="12" t="str">
        <x:v>U08</x:v>
      </x:c>
      <x:c r="C1538" s="12" t="str">
        <x:v>first_chunk</x:v>
      </x:c>
      <x:c r="D1538" s="12" t="str">
        <x:v>같은 생성 job의 유효 첫 chunk 관측</x:v>
      </x:c>
      <x:c r="E1538" s="12" t="str">
        <x:v>via</x:v>
      </x:c>
      <x:c r="F1538" s="13" t="n">
        <x:v>3.53</x:v>
      </x:c>
      <x:c r="G1538" s="13" t="n">
        <x:v>3.964</x:v>
      </x:c>
      <x:c r="H1538" s="13" t="n">
        <x:v>0.434</x:v>
      </x:c>
      <x:c r="I1538" s="13" t="n">
        <x:v>-6</x:v>
      </x:c>
      <x:c r="J1538" s="12" t="str">
        <x:v>adopt</x:v>
      </x:c>
      <x:c r="K1538" s="12" t="str">
        <x:v>none</x:v>
      </x:c>
      <x:c r="L1538" s="13" t="n">
        <x:f>IF(G1538&lt;=I1538,0,MAX(0,L1532)+IF(E1538="via",MAX(0,G1538-MAX(F1538,I1538)),0))</x:f>
        <x:v>6.9639999999999995</x:v>
      </x:c>
    </x:row>
    <x:row r="1539" ht="42" customHeight="1">
      <x:c r="A1539" s="7" t="str">
        <x:v>DP3-B-R3</x:v>
      </x:c>
      <x:c r="B1539" s="7" t="str">
        <x:v>U08</x:v>
      </x:c>
      <x:c r="C1539" s="7" t="str">
        <x:v>first_audio_output</x:v>
      </x:c>
      <x:c r="D1539" s="7" t="str">
        <x:v>공통 장치의 첫 음성 출력</x:v>
      </x:c>
      <x:c r="E1539" s="7" t="str">
        <x:v>via</x:v>
      </x:c>
      <x:c r="F1539" s="14" t="n">
        <x:v>3.964</x:v>
      </x:c>
      <x:c r="G1539" s="14" t="n">
        <x:v>4.004</x:v>
      </x:c>
      <x:c r="H1539" s="14" t="n">
        <x:v>0.04</x:v>
      </x:c>
      <x:c r="I1539" s="14" t="n">
        <x:v>-6</x:v>
      </x:c>
      <x:c r="J1539" s="7" t="str">
        <x:v>adopt, first_chunk</x:v>
      </x:c>
      <x:c r="K1539" s="7" t="str">
        <x:v>none</x:v>
      </x:c>
      <x:c r="L1539" s="14" t="n">
        <x:f>IF(G1539&lt;=I1539,0,MAX(0,L1532,L1538)+IF(E1539="via",MAX(0,G1539-MAX(F1539,I1539)),0))</x:f>
        <x:v>7.004</x:v>
      </x:c>
    </x:row>
    <x:row r="1540" ht="42" customHeight="1">
      <x:c r="A1540" s="12" t="str">
        <x:v>DP3-B-R3</x:v>
      </x:c>
      <x:c r="B1540" s="12" t="str">
        <x:v>U08</x:v>
      </x:c>
      <x:c r="C1540" s="12" t="str">
        <x:v>next_speech_selection</x:v>
      </x:c>
      <x:c r="D1540" s="12" t="str">
        <x:v>현재 발화 재생 후 다음 응답 선택</x:v>
      </x:c>
      <x:c r="E1540" s="12" t="str">
        <x:v>external</x:v>
      </x:c>
      <x:c r="F1540" s="13" t="n">
        <x:v>4.004</x:v>
      </x:c>
      <x:c r="G1540" s="13" t="n">
        <x:v>7.004</x:v>
      </x:c>
      <x:c r="H1540" s="13" t="n">
        <x:v>3</x:v>
      </x:c>
      <x:c r="I1540" s="13" t="n">
        <x:v>-6</x:v>
      </x:c>
      <x:c r="J1540" s="12" t="str">
        <x:v>first_audio_output</x:v>
      </x:c>
      <x:c r="K1540" s="12" t="str">
        <x:v>none</x:v>
      </x:c>
      <x:c r="L1540" s="13" t="n">
        <x:f>IF(G1540&lt;=I1540,0,MAX(0,L1539)+IF(E1540="via",MAX(0,G1540-MAX(F1540,I1540)),0))</x:f>
        <x:v>7.004</x:v>
      </x:c>
    </x:row>
    <x:row r="1541" ht="42" customHeight="1">
      <x:c r="A1541" s="7" t="str">
        <x:v>DP3-B-R3</x:v>
      </x:c>
      <x:c r="B1541" s="7" t="str">
        <x:v>U08</x:v>
      </x:c>
      <x:c r="C1541" s="7" t="str">
        <x:v>terminal</x:v>
      </x:c>
      <x:c r="D1541" s="7" t="str">
        <x:v>공통 목표 최종 상태와 전체 음성 준비</x:v>
      </x:c>
      <x:c r="E1541" s="7" t="str">
        <x:v>via</x:v>
      </x:c>
      <x:c r="F1541" s="14" t="n">
        <x:v>7.018</x:v>
      </x:c>
      <x:c r="G1541" s="14" t="n">
        <x:v>7.018</x:v>
      </x:c>
      <x:c r="H1541" s="14" t="n">
        <x:v>0</x:v>
      </x:c>
      <x:c r="I1541" s="14" t="n">
        <x:v>-6</x:v>
      </x:c>
      <x:c r="J1541" s="7" t="str">
        <x:v>result_display, response_audio, intent_audio, first_audio_output</x:v>
      </x:c>
      <x:c r="K1541" s="7" t="str">
        <x:v>none</x:v>
      </x:c>
      <x:c r="L1541" s="14" t="n">
        <x:f>IF(G1541&lt;=I1541,0,MAX(0,L1535,L1536,L1537,L1539)+IF(E1541="via",MAX(0,G1541-MAX(F1541,I1541)),0))</x:f>
        <x:v>10.017999999999999</x:v>
      </x:c>
    </x:row>
    <x:row r="1542" ht="42" customHeight="1">
      <x:c r="A1542" s="12" t="str">
        <x:v>DP3-B-R3</x:v>
      </x:c>
      <x:c r="B1542" s="12" t="str">
        <x:v>U09</x:v>
      </x:c>
      <x:c r="C1542" s="12" t="str">
        <x:v>input_end</x:v>
      </x:c>
      <x:c r="D1542" s="12" t="str">
        <x:v>사용자 입력 종료</x:v>
      </x:c>
      <x:c r="E1542" s="12" t="str">
        <x:v>external</x:v>
      </x:c>
      <x:c r="F1542" s="13" t="n">
        <x:v>0</x:v>
      </x:c>
      <x:c r="G1542" s="13" t="n">
        <x:v>0</x:v>
      </x:c>
      <x:c r="H1542" s="13" t="n">
        <x:v>0</x:v>
      </x:c>
      <x:c r="I1542" s="13" t="n">
        <x:v>0</x:v>
      </x:c>
      <x:c r="J1542" s="12" t="str"/>
      <x:c r="K1542" s="12" t="str">
        <x:v>none</x:v>
      </x:c>
      <x:c r="L1542" s="13" t="n">
        <x:f>IF(G1542&lt;=I1542,0,MAX(0)+IF(E1542="via",MAX(0,G1542-MAX(F1542,I1542)),0))</x:f>
        <x:v>0</x:v>
      </x:c>
    </x:row>
    <x:row r="1543" ht="42" customHeight="1">
      <x:c r="A1543" s="7" t="str">
        <x:v>DP3-B-R3</x:v>
      </x:c>
      <x:c r="B1543" s="7" t="str">
        <x:v>U09</x:v>
      </x:c>
      <x:c r="C1543" s="7" t="str">
        <x:v>intake</x:v>
      </x:c>
      <x:c r="D1543" s="7" t="str">
        <x:v>입력 확정</x:v>
      </x:c>
      <x:c r="E1543" s="7" t="str">
        <x:v>via</x:v>
      </x:c>
      <x:c r="F1543" s="14" t="n">
        <x:v>0</x:v>
      </x:c>
      <x:c r="G1543" s="14" t="n">
        <x:v>0.3</x:v>
      </x:c>
      <x:c r="H1543" s="14" t="n">
        <x:v>0.3</x:v>
      </x:c>
      <x:c r="I1543" s="14" t="n">
        <x:v>0</x:v>
      </x:c>
      <x:c r="J1543" s="7" t="str">
        <x:v>input_end</x:v>
      </x:c>
      <x:c r="K1543" s="7" t="str">
        <x:v>none</x:v>
      </x:c>
      <x:c r="L1543" s="14" t="n">
        <x:f>IF(G1543&lt;=I1543,0,MAX(0,L1542)+IF(E1543="via",MAX(0,G1543-MAX(F1543,I1543)),0))</x:f>
        <x:v>0.3</x:v>
      </x:c>
    </x:row>
    <x:row r="1544" ht="42" customHeight="1">
      <x:c r="A1544" s="12" t="str">
        <x:v>DP3-B-R3</x:v>
      </x:c>
      <x:c r="B1544" s="12" t="str">
        <x:v>U09</x:v>
      </x:c>
      <x:c r="C1544" s="12" t="str">
        <x:v>read</x:v>
      </x:c>
      <x:c r="D1544" s="12" t="str">
        <x:v>공통 허용 원본 조회</x:v>
      </x:c>
      <x:c r="E1544" s="12" t="str">
        <x:v>via</x:v>
      </x:c>
      <x:c r="F1544" s="13" t="n">
        <x:v>0.3</x:v>
      </x:c>
      <x:c r="G1544" s="13" t="n">
        <x:v>0.38</x:v>
      </x:c>
      <x:c r="H1544" s="13" t="n">
        <x:v>0.08</x:v>
      </x:c>
      <x:c r="I1544" s="13" t="n">
        <x:v>0</x:v>
      </x:c>
      <x:c r="J1544" s="12" t="str">
        <x:v>intake</x:v>
      </x:c>
      <x:c r="K1544" s="12" t="str">
        <x:v>none</x:v>
      </x:c>
      <x:c r="L1544" s="13" t="n">
        <x:f>IF(G1544&lt;=I1544,0,MAX(0,L1543)+IF(E1544="via",MAX(0,G1544-MAX(F1544,I1544)),0))</x:f>
        <x:v>0.38</x:v>
      </x:c>
    </x:row>
    <x:row r="1545" ht="42" customHeight="1">
      <x:c r="A1545" s="7" t="str">
        <x:v>DP3-B-R3</x:v>
      </x:c>
      <x:c r="B1545" s="7" t="str">
        <x:v>U09</x:v>
      </x:c>
      <x:c r="C1545" s="7" t="str">
        <x:v>native_selection</x:v>
      </x:c>
      <x:c r="D1545" s="7" t="str">
        <x:v>Native 선택 사실 조회</x:v>
      </x:c>
      <x:c r="E1545" s="7" t="str">
        <x:v>via</x:v>
      </x:c>
      <x:c r="F1545" s="14" t="n">
        <x:v>0.38</x:v>
      </x:c>
      <x:c r="G1545" s="14" t="n">
        <x:v>0.46</x:v>
      </x:c>
      <x:c r="H1545" s="14" t="n">
        <x:v>0.08</x:v>
      </x:c>
      <x:c r="I1545" s="14" t="n">
        <x:v>0</x:v>
      </x:c>
      <x:c r="J1545" s="7" t="str">
        <x:v>read</x:v>
      </x:c>
      <x:c r="K1545" s="7" t="str">
        <x:v>none</x:v>
      </x:c>
      <x:c r="L1545" s="14" t="n">
        <x:f>IF(G1545&lt;=I1545,0,MAX(0,L1544)+IF(E1545="via",MAX(0,G1545-MAX(F1545,I1545)),0))</x:f>
        <x:v>0.46</x:v>
      </x:c>
    </x:row>
    <x:row r="1546" ht="42" customHeight="1">
      <x:c r="A1546" s="12" t="str">
        <x:v>DP3-B-R3</x:v>
      </x:c>
      <x:c r="B1546" s="12" t="str">
        <x:v>U09</x:v>
      </x:c>
      <x:c r="C1546" s="12" t="str">
        <x:v>meaning</x:v>
      </x:c>
      <x:c r="D1546" s="12" t="str">
        <x:v>최초 요청 의미 채택 packet 생성</x:v>
      </x:c>
      <x:c r="E1546" s="12" t="str">
        <x:v>via</x:v>
      </x:c>
      <x:c r="F1546" s="13" t="n">
        <x:v>0.46</x:v>
      </x:c>
      <x:c r="G1546" s="13" t="n">
        <x:v>1.56</x:v>
      </x:c>
      <x:c r="H1546" s="13" t="n">
        <x:v>1.1</x:v>
      </x:c>
      <x:c r="I1546" s="13" t="n">
        <x:v>0</x:v>
      </x:c>
      <x:c r="J1546" s="12" t="str">
        <x:v>native_selection</x:v>
      </x:c>
      <x:c r="K1546" s="12" t="str">
        <x:v>semantic</x:v>
      </x:c>
      <x:c r="L1546" s="13" t="n">
        <x:f>IF(G1546&lt;=I1546,0,MAX(0,L1545)+IF(E1546="via",MAX(0,G1546-MAX(F1546,I1546)),0))</x:f>
        <x:v>1.56</x:v>
      </x:c>
    </x:row>
    <x:row r="1547" ht="42" customHeight="1">
      <x:c r="A1547" s="7" t="str">
        <x:v>DP3-B-R3</x:v>
      </x:c>
      <x:c r="B1547" s="7" t="str">
        <x:v>U09</x:v>
      </x:c>
      <x:c r="C1547" s="7" t="str">
        <x:v>adopt</x:v>
      </x:c>
      <x:c r="D1547" s="7" t="str">
        <x:v>현재 revision과 권한 검사 및 채택</x:v>
      </x:c>
      <x:c r="E1547" s="7" t="str">
        <x:v>via</x:v>
      </x:c>
      <x:c r="F1547" s="14" t="n">
        <x:v>1.56</x:v>
      </x:c>
      <x:c r="G1547" s="14" t="n">
        <x:v>1.59</x:v>
      </x:c>
      <x:c r="H1547" s="14" t="n">
        <x:v>0.03</x:v>
      </x:c>
      <x:c r="I1547" s="14" t="n">
        <x:v>0</x:v>
      </x:c>
      <x:c r="J1547" s="7" t="str">
        <x:v>meaning</x:v>
      </x:c>
      <x:c r="K1547" s="7" t="str">
        <x:v>none</x:v>
      </x:c>
      <x:c r="L1547" s="14" t="n">
        <x:f>IF(G1547&lt;=I1547,0,MAX(0,L1546)+IF(E1547="via",MAX(0,G1547-MAX(F1547,I1547)),0))</x:f>
        <x:v>1.59</x:v>
      </x:c>
    </x:row>
    <x:row r="1548" ht="42" customHeight="1">
      <x:c r="A1548" s="12" t="str">
        <x:v>DP3-B-R3</x:v>
      </x:c>
      <x:c r="B1548" s="12" t="str">
        <x:v>U09</x:v>
      </x:c>
      <x:c r="C1548" s="12" t="str">
        <x:v>first_display</x:v>
      </x:c>
      <x:c r="D1548" s="12" t="str">
        <x:v>첫 구체적 채택 내용 화면 표시</x:v>
      </x:c>
      <x:c r="E1548" s="12" t="str">
        <x:v>via</x:v>
      </x:c>
      <x:c r="F1548" s="13" t="n">
        <x:v>1.59</x:v>
      </x:c>
      <x:c r="G1548" s="13" t="n">
        <x:v>1.6300000000000001</x:v>
      </x:c>
      <x:c r="H1548" s="13" t="n">
        <x:v>0.04</x:v>
      </x:c>
      <x:c r="I1548" s="13" t="n">
        <x:v>0</x:v>
      </x:c>
      <x:c r="J1548" s="12" t="str">
        <x:v>adopt</x:v>
      </x:c>
      <x:c r="K1548" s="12" t="str">
        <x:v>none</x:v>
      </x:c>
      <x:c r="L1548" s="13" t="n">
        <x:f>IF(G1548&lt;=I1548,0,MAX(0,L1547)+IF(E1548="via",MAX(0,G1548-MAX(F1548,I1548)),0))</x:f>
        <x:v>1.6300000000000001</x:v>
      </x:c>
    </x:row>
    <x:row r="1549" ht="42" customHeight="1">
      <x:c r="A1549" s="7" t="str">
        <x:v>DP3-B-R3</x:v>
      </x:c>
      <x:c r="B1549" s="7" t="str">
        <x:v>U09</x:v>
      </x:c>
      <x:c r="C1549" s="7" t="str">
        <x:v>agent_ingress</x:v>
      </x:c>
      <x:c r="D1549" s="7" t="str">
        <x:v>Agent 요청 전송</x:v>
      </x:c>
      <x:c r="E1549" s="7" t="str">
        <x:v>via</x:v>
      </x:c>
      <x:c r="F1549" s="14" t="n">
        <x:v>1.59</x:v>
      </x:c>
      <x:c r="G1549" s="14" t="n">
        <x:v>1.6300000000000001</x:v>
      </x:c>
      <x:c r="H1549" s="14" t="n">
        <x:v>0.04</x:v>
      </x:c>
      <x:c r="I1549" s="14" t="n">
        <x:v>0</x:v>
      </x:c>
      <x:c r="J1549" s="7" t="str">
        <x:v>adopt</x:v>
      </x:c>
      <x:c r="K1549" s="7" t="str">
        <x:v>none</x:v>
      </x:c>
      <x:c r="L1549" s="14" t="n">
        <x:f>IF(G1549&lt;=I1549,0,MAX(0,L1547)+IF(E1549="via",MAX(0,G1549-MAX(F1549,I1549)),0))</x:f>
        <x:v>1.6300000000000001</x:v>
      </x:c>
    </x:row>
    <x:row r="1550" ht="42" customHeight="1">
      <x:c r="A1550" s="12" t="str">
        <x:v>DP3-B-R3</x:v>
      </x:c>
      <x:c r="B1550" s="12" t="str">
        <x:v>U09</x:v>
      </x:c>
      <x:c r="C1550" s="12" t="str">
        <x:v>agent_result</x:v>
      </x:c>
      <x:c r="D1550" s="12" t="str">
        <x:v>외부 Agent 업무</x:v>
      </x:c>
      <x:c r="E1550" s="12" t="str">
        <x:v>external</x:v>
      </x:c>
      <x:c r="F1550" s="13" t="n">
        <x:v>1.6300000000000001</x:v>
      </x:c>
      <x:c r="G1550" s="13" t="n">
        <x:v>9.63</x:v>
      </x:c>
      <x:c r="H1550" s="13" t="n">
        <x:v>8</x:v>
      </x:c>
      <x:c r="I1550" s="13" t="n">
        <x:v>0</x:v>
      </x:c>
      <x:c r="J1550" s="12" t="str">
        <x:v>agent_ingress</x:v>
      </x:c>
      <x:c r="K1550" s="12" t="str">
        <x:v>none</x:v>
      </x:c>
      <x:c r="L1550" s="13" t="n">
        <x:f>IF(G1550&lt;=I1550,0,MAX(0,L1549)+IF(E1550="via",MAX(0,G1550-MAX(F1550,I1550)),0))</x:f>
        <x:v>1.6300000000000001</x:v>
      </x:c>
    </x:row>
    <x:row r="1551" ht="42" customHeight="1">
      <x:c r="A1551" s="7" t="str">
        <x:v>DP3-B-R3</x:v>
      </x:c>
      <x:c r="B1551" s="7" t="str">
        <x:v>U09</x:v>
      </x:c>
      <x:c r="C1551" s="7" t="str">
        <x:v>result_display</x:v>
      </x:c>
      <x:c r="D1551" s="7" t="str">
        <x:v>최종 결과 상세 표시</x:v>
      </x:c>
      <x:c r="E1551" s="7" t="str">
        <x:v>via</x:v>
      </x:c>
      <x:c r="F1551" s="14" t="n">
        <x:v>9.63</x:v>
      </x:c>
      <x:c r="G1551" s="14" t="n">
        <x:v>9.67</x:v>
      </x:c>
      <x:c r="H1551" s="14" t="n">
        <x:v>0.04</x:v>
      </x:c>
      <x:c r="I1551" s="14" t="n">
        <x:v>0</x:v>
      </x:c>
      <x:c r="J1551" s="7" t="str">
        <x:v>agent_result</x:v>
      </x:c>
      <x:c r="K1551" s="7" t="str">
        <x:v>none</x:v>
      </x:c>
      <x:c r="L1551" s="14" t="n">
        <x:f>IF(G1551&lt;=I1551,0,MAX(0,L1550)+IF(E1551="via",MAX(0,G1551-MAX(F1551,I1551)),0))</x:f>
        <x:v>1.6699999999999993</x:v>
      </x:c>
    </x:row>
    <x:row r="1552" ht="42" customHeight="1">
      <x:c r="A1552" s="12" t="str">
        <x:v>DP3-B-R3</x:v>
      </x:c>
      <x:c r="B1552" s="12" t="str">
        <x:v>U09</x:v>
      </x:c>
      <x:c r="C1552" s="12" t="str">
        <x:v>response_audio</x:v>
      </x:c>
      <x:c r="D1552" s="12" t="str">
        <x:v>선택한 응답 음성 생성</x:v>
      </x:c>
      <x:c r="E1552" s="12" t="str">
        <x:v>via</x:v>
      </x:c>
      <x:c r="F1552" s="13" t="n">
        <x:v>9.63</x:v>
      </x:c>
      <x:c r="G1552" s="13" t="n">
        <x:v>11.518</x:v>
      </x:c>
      <x:c r="H1552" s="13" t="n">
        <x:v>1.888</x:v>
      </x:c>
      <x:c r="I1552" s="13" t="n">
        <x:v>0</x:v>
      </x:c>
      <x:c r="J1552" s="12" t="str">
        <x:v>agent_result</x:v>
      </x:c>
      <x:c r="K1552" s="12" t="str">
        <x:v>speech</x:v>
      </x:c>
      <x:c r="L1552" s="13" t="n">
        <x:f>IF(G1552&lt;=I1552,0,MAX(0,L1550)+IF(E1552="via",MAX(0,G1552-MAX(F1552,I1552)),0))</x:f>
        <x:v>3.518</x:v>
      </x:c>
    </x:row>
    <x:row r="1553" ht="42" customHeight="1">
      <x:c r="A1553" s="7" t="str">
        <x:v>DP3-B-R3</x:v>
      </x:c>
      <x:c r="B1553" s="7" t="str">
        <x:v>U09</x:v>
      </x:c>
      <x:c r="C1553" s="7" t="str">
        <x:v>intent_audio</x:v>
      </x:c>
      <x:c r="D1553" s="7" t="str">
        <x:v>채택한 구체적 수행 의도의 짧은 음성</x:v>
      </x:c>
      <x:c r="E1553" s="7" t="str">
        <x:v>via</x:v>
      </x:c>
      <x:c r="F1553" s="14" t="n">
        <x:v>1.59</x:v>
      </x:c>
      <x:c r="G1553" s="14" t="n">
        <x:v>2.724</x:v>
      </x:c>
      <x:c r="H1553" s="14" t="n">
        <x:v>1.134</x:v>
      </x:c>
      <x:c r="I1553" s="14" t="n">
        <x:v>0</x:v>
      </x:c>
      <x:c r="J1553" s="7" t="str">
        <x:v>adopt</x:v>
      </x:c>
      <x:c r="K1553" s="7" t="str">
        <x:v>speech</x:v>
      </x:c>
      <x:c r="L1553" s="14" t="n">
        <x:f>IF(G1553&lt;=I1553,0,MAX(0,L1547)+IF(E1553="via",MAX(0,G1553-MAX(F1553,I1553)),0))</x:f>
        <x:v>2.724</x:v>
      </x:c>
    </x:row>
    <x:row r="1554" ht="42" customHeight="1">
      <x:c r="A1554" s="12" t="str">
        <x:v>DP3-B-R3</x:v>
      </x:c>
      <x:c r="B1554" s="12" t="str">
        <x:v>U09</x:v>
      </x:c>
      <x:c r="C1554" s="12" t="str">
        <x:v>first_chunk</x:v>
      </x:c>
      <x:c r="D1554" s="12" t="str">
        <x:v>같은 생성 job의 유효 첫 chunk 관측</x:v>
      </x:c>
      <x:c r="E1554" s="12" t="str">
        <x:v>via</x:v>
      </x:c>
      <x:c r="F1554" s="13" t="n">
        <x:v>1.59</x:v>
      </x:c>
      <x:c r="G1554" s="13" t="n">
        <x:v>2.024</x:v>
      </x:c>
      <x:c r="H1554" s="13" t="n">
        <x:v>0.434</x:v>
      </x:c>
      <x:c r="I1554" s="13" t="n">
        <x:v>0</x:v>
      </x:c>
      <x:c r="J1554" s="12" t="str">
        <x:v>adopt</x:v>
      </x:c>
      <x:c r="K1554" s="12" t="str">
        <x:v>none</x:v>
      </x:c>
      <x:c r="L1554" s="13" t="n">
        <x:f>IF(G1554&lt;=I1554,0,MAX(0,L1547)+IF(E1554="via",MAX(0,G1554-MAX(F1554,I1554)),0))</x:f>
        <x:v>2.024</x:v>
      </x:c>
    </x:row>
    <x:row r="1555" ht="42" customHeight="1">
      <x:c r="A1555" s="7" t="str">
        <x:v>DP3-B-R3</x:v>
      </x:c>
      <x:c r="B1555" s="7" t="str">
        <x:v>U09</x:v>
      </x:c>
      <x:c r="C1555" s="7" t="str">
        <x:v>first_audio_output</x:v>
      </x:c>
      <x:c r="D1555" s="7" t="str">
        <x:v>공통 장치의 첫 음성 출력</x:v>
      </x:c>
      <x:c r="E1555" s="7" t="str">
        <x:v>via</x:v>
      </x:c>
      <x:c r="F1555" s="14" t="n">
        <x:v>2.024</x:v>
      </x:c>
      <x:c r="G1555" s="14" t="n">
        <x:v>2.064</x:v>
      </x:c>
      <x:c r="H1555" s="14" t="n">
        <x:v>0.04</x:v>
      </x:c>
      <x:c r="I1555" s="14" t="n">
        <x:v>0</x:v>
      </x:c>
      <x:c r="J1555" s="7" t="str">
        <x:v>adopt, first_chunk</x:v>
      </x:c>
      <x:c r="K1555" s="7" t="str">
        <x:v>none</x:v>
      </x:c>
      <x:c r="L1555" s="14" t="n">
        <x:f>IF(G1555&lt;=I1555,0,MAX(0,L1547,L1554)+IF(E1555="via",MAX(0,G1555-MAX(F1555,I1555)),0))</x:f>
        <x:v>2.064</x:v>
      </x:c>
    </x:row>
    <x:row r="1556" ht="42" customHeight="1">
      <x:c r="A1556" s="12" t="str">
        <x:v>DP3-B-R3</x:v>
      </x:c>
      <x:c r="B1556" s="12" t="str">
        <x:v>U09</x:v>
      </x:c>
      <x:c r="C1556" s="12" t="str">
        <x:v>next_speech_selection</x:v>
      </x:c>
      <x:c r="D1556" s="12" t="str">
        <x:v>현재 발화 재생 후 다음 응답 선택</x:v>
      </x:c>
      <x:c r="E1556" s="12" t="str">
        <x:v>external</x:v>
      </x:c>
      <x:c r="F1556" s="13" t="n">
        <x:v>2.064</x:v>
      </x:c>
      <x:c r="G1556" s="13" t="n">
        <x:v>5.064</x:v>
      </x:c>
      <x:c r="H1556" s="13" t="n">
        <x:v>3</x:v>
      </x:c>
      <x:c r="I1556" s="13" t="n">
        <x:v>0</x:v>
      </x:c>
      <x:c r="J1556" s="12" t="str">
        <x:v>first_audio_output</x:v>
      </x:c>
      <x:c r="K1556" s="12" t="str">
        <x:v>none</x:v>
      </x:c>
      <x:c r="L1556" s="13" t="n">
        <x:f>IF(G1556&lt;=I1556,0,MAX(0,L1555)+IF(E1556="via",MAX(0,G1556-MAX(F1556,I1556)),0))</x:f>
        <x:v>2.064</x:v>
      </x:c>
    </x:row>
    <x:row r="1557" ht="42" customHeight="1">
      <x:c r="A1557" s="7" t="str">
        <x:v>DP3-B-R3</x:v>
      </x:c>
      <x:c r="B1557" s="7" t="str">
        <x:v>U09</x:v>
      </x:c>
      <x:c r="C1557" s="7" t="str">
        <x:v>terminal</x:v>
      </x:c>
      <x:c r="D1557" s="7" t="str">
        <x:v>공통 목표 최종 상태와 전체 음성 준비</x:v>
      </x:c>
      <x:c r="E1557" s="7" t="str">
        <x:v>via</x:v>
      </x:c>
      <x:c r="F1557" s="14" t="n">
        <x:v>11.518</x:v>
      </x:c>
      <x:c r="G1557" s="14" t="n">
        <x:v>11.518</x:v>
      </x:c>
      <x:c r="H1557" s="14" t="n">
        <x:v>0</x:v>
      </x:c>
      <x:c r="I1557" s="14" t="n">
        <x:v>0</x:v>
      </x:c>
      <x:c r="J1557" s="7" t="str">
        <x:v>result_display, response_audio, intent_audio, first_audio_output</x:v>
      </x:c>
      <x:c r="K1557" s="7" t="str">
        <x:v>none</x:v>
      </x:c>
      <x:c r="L1557" s="14" t="n">
        <x:f>IF(G1557&lt;=I1557,0,MAX(0,L1551,L1552,L1553,L1555)+IF(E1557="via",MAX(0,G1557-MAX(F1557,I1557)),0))</x:f>
        <x:v>3.518</x:v>
      </x:c>
    </x:row>
    <x:row r="1558" ht="42" customHeight="1">
      <x:c r="A1558" s="12" t="str">
        <x:v>DP3-B-R3</x:v>
      </x:c>
      <x:c r="B1558" s="12" t="str">
        <x:v>U10</x:v>
      </x:c>
      <x:c r="C1558" s="12" t="str">
        <x:v>input_end</x:v>
      </x:c>
      <x:c r="D1558" s="12" t="str">
        <x:v>사용자 입력 종료</x:v>
      </x:c>
      <x:c r="E1558" s="12" t="str">
        <x:v>external</x:v>
      </x:c>
      <x:c r="F1558" s="13" t="n">
        <x:v>0</x:v>
      </x:c>
      <x:c r="G1558" s="13" t="n">
        <x:v>0</x:v>
      </x:c>
      <x:c r="H1558" s="13" t="n">
        <x:v>0</x:v>
      </x:c>
      <x:c r="I1558" s="13" t="n">
        <x:v>0</x:v>
      </x:c>
      <x:c r="J1558" s="12" t="str"/>
      <x:c r="K1558" s="12" t="str">
        <x:v>none</x:v>
      </x:c>
      <x:c r="L1558" s="13" t="n">
        <x:f>IF(G1558&lt;=I1558,0,MAX(0)+IF(E1558="via",MAX(0,G1558-MAX(F1558,I1558)),0))</x:f>
        <x:v>0</x:v>
      </x:c>
    </x:row>
    <x:row r="1559" ht="42" customHeight="1">
      <x:c r="A1559" s="7" t="str">
        <x:v>DP3-B-R3</x:v>
      </x:c>
      <x:c r="B1559" s="7" t="str">
        <x:v>U10</x:v>
      </x:c>
      <x:c r="C1559" s="7" t="str">
        <x:v>intake</x:v>
      </x:c>
      <x:c r="D1559" s="7" t="str">
        <x:v>입력 확정</x:v>
      </x:c>
      <x:c r="E1559" s="7" t="str">
        <x:v>via</x:v>
      </x:c>
      <x:c r="F1559" s="14" t="n">
        <x:v>0</x:v>
      </x:c>
      <x:c r="G1559" s="14" t="n">
        <x:v>0.3</x:v>
      </x:c>
      <x:c r="H1559" s="14" t="n">
        <x:v>0.3</x:v>
      </x:c>
      <x:c r="I1559" s="14" t="n">
        <x:v>0</x:v>
      </x:c>
      <x:c r="J1559" s="7" t="str">
        <x:v>input_end</x:v>
      </x:c>
      <x:c r="K1559" s="7" t="str">
        <x:v>none</x:v>
      </x:c>
      <x:c r="L1559" s="14" t="n">
        <x:f>IF(G1559&lt;=I1559,0,MAX(0,L1558)+IF(E1559="via",MAX(0,G1559-MAX(F1559,I1559)),0))</x:f>
        <x:v>0.3</x:v>
      </x:c>
    </x:row>
    <x:row r="1560" ht="42" customHeight="1">
      <x:c r="A1560" s="12" t="str">
        <x:v>DP3-B-R3</x:v>
      </x:c>
      <x:c r="B1560" s="12" t="str">
        <x:v>U10</x:v>
      </x:c>
      <x:c r="C1560" s="12" t="str">
        <x:v>read</x:v>
      </x:c>
      <x:c r="D1560" s="12" t="str">
        <x:v>공통 허용 원본 조회</x:v>
      </x:c>
      <x:c r="E1560" s="12" t="str">
        <x:v>via</x:v>
      </x:c>
      <x:c r="F1560" s="13" t="n">
        <x:v>0.3</x:v>
      </x:c>
      <x:c r="G1560" s="13" t="n">
        <x:v>0.38</x:v>
      </x:c>
      <x:c r="H1560" s="13" t="n">
        <x:v>0.08</x:v>
      </x:c>
      <x:c r="I1560" s="13" t="n">
        <x:v>0</x:v>
      </x:c>
      <x:c r="J1560" s="12" t="str">
        <x:v>intake</x:v>
      </x:c>
      <x:c r="K1560" s="12" t="str">
        <x:v>none</x:v>
      </x:c>
      <x:c r="L1560" s="13" t="n">
        <x:f>IF(G1560&lt;=I1560,0,MAX(0,L1559)+IF(E1560="via",MAX(0,G1560-MAX(F1560,I1560)),0))</x:f>
        <x:v>0.38</x:v>
      </x:c>
    </x:row>
    <x:row r="1561" ht="42" customHeight="1">
      <x:c r="A1561" s="7" t="str">
        <x:v>DP3-B-R3</x:v>
      </x:c>
      <x:c r="B1561" s="7" t="str">
        <x:v>U10</x:v>
      </x:c>
      <x:c r="C1561" s="7" t="str">
        <x:v>now_ui_boot</x:v>
      </x:c>
      <x:c r="D1561" s="7" t="str">
        <x:v>ui runtime 시작</x:v>
      </x:c>
      <x:c r="E1561" s="7" t="str">
        <x:v>via</x:v>
      </x:c>
      <x:c r="F1561" s="14" t="n">
        <x:v>0.38</x:v>
      </x:c>
      <x:c r="G1561" s="14" t="n">
        <x:v>1.58</x:v>
      </x:c>
      <x:c r="H1561" s="14" t="n">
        <x:v>1.2</x:v>
      </x:c>
      <x:c r="I1561" s="14" t="n">
        <x:v>0</x:v>
      </x:c>
      <x:c r="J1561" s="7" t="str">
        <x:v>read</x:v>
      </x:c>
      <x:c r="K1561" s="7" t="str">
        <x:v>visual</x:v>
      </x:c>
      <x:c r="L1561" s="14" t="n">
        <x:f>IF(G1561&lt;=I1561,0,MAX(0,L1560)+IF(E1561="via",MAX(0,G1561-MAX(F1561,I1561)),0))</x:f>
        <x:v>1.58</x:v>
      </x:c>
    </x:row>
    <x:row r="1562" ht="42" customHeight="1">
      <x:c r="A1562" s="12" t="str">
        <x:v>DP3-B-R3</x:v>
      </x:c>
      <x:c r="B1562" s="12" t="str">
        <x:v>U10</x:v>
      </x:c>
      <x:c r="C1562" s="12" t="str">
        <x:v>now_ui_load</x:v>
      </x:c>
      <x:c r="D1562" s="12" t="str">
        <x:v>ui 모델 적재</x:v>
      </x:c>
      <x:c r="E1562" s="12" t="str">
        <x:v>via</x:v>
      </x:c>
      <x:c r="F1562" s="13" t="n">
        <x:v>1.58</x:v>
      </x:c>
      <x:c r="G1562" s="13" t="n">
        <x:v>2.68</x:v>
      </x:c>
      <x:c r="H1562" s="13" t="n">
        <x:v>1.1</x:v>
      </x:c>
      <x:c r="I1562" s="13" t="n">
        <x:v>0</x:v>
      </x:c>
      <x:c r="J1562" s="12" t="str">
        <x:v>read, now_ui_boot</x:v>
      </x:c>
      <x:c r="K1562" s="12" t="str">
        <x:v>visual</x:v>
      </x:c>
      <x:c r="L1562" s="13" t="n">
        <x:f>IF(G1562&lt;=I1562,0,MAX(0,L1560,L1561)+IF(E1562="via",MAX(0,G1562-MAX(F1562,I1562)),0))</x:f>
        <x:v>2.68</x:v>
      </x:c>
    </x:row>
    <x:row r="1563" ht="42" customHeight="1">
      <x:c r="A1563" s="7" t="str">
        <x:v>DP3-B-R3</x:v>
      </x:c>
      <x:c r="B1563" s="7" t="str">
        <x:v>U10</x:v>
      </x:c>
      <x:c r="C1563" s="7" t="str">
        <x:v>now_ui_infer</x:v>
      </x:c>
      <x:c r="D1563" s="7" t="str">
        <x:v>ui 후보 생산</x:v>
      </x:c>
      <x:c r="E1563" s="7" t="str">
        <x:v>via</x:v>
      </x:c>
      <x:c r="F1563" s="14" t="n">
        <x:v>2.68</x:v>
      </x:c>
      <x:c r="G1563" s="14" t="n">
        <x:v>4.28</x:v>
      </x:c>
      <x:c r="H1563" s="14" t="n">
        <x:v>1.6</x:v>
      </x:c>
      <x:c r="I1563" s="14" t="n">
        <x:v>0</x:v>
      </x:c>
      <x:c r="J1563" s="7" t="str">
        <x:v>now_ui_load</x:v>
      </x:c>
      <x:c r="K1563" s="7" t="str">
        <x:v>visual</x:v>
      </x:c>
      <x:c r="L1563" s="14" t="n">
        <x:f>IF(G1563&lt;=I1563,0,MAX(0,L1562)+IF(E1563="via",MAX(0,G1563-MAX(F1563,I1563)),0))</x:f>
        <x:v>4.28</x:v>
      </x:c>
    </x:row>
    <x:row r="1564" ht="42" customHeight="1">
      <x:c r="A1564" s="12" t="str">
        <x:v>DP3-B-R3</x:v>
      </x:c>
      <x:c r="B1564" s="12" t="str">
        <x:v>U10</x:v>
      </x:c>
      <x:c r="C1564" s="12" t="str">
        <x:v>now_ui_ipc</x:v>
      </x:c>
      <x:c r="D1564" s="12" t="str">
        <x:v>ui 결과 IPC</x:v>
      </x:c>
      <x:c r="E1564" s="12" t="str">
        <x:v>via</x:v>
      </x:c>
      <x:c r="F1564" s="13" t="n">
        <x:v>4.28</x:v>
      </x:c>
      <x:c r="G1564" s="13" t="n">
        <x:v>4.34</x:v>
      </x:c>
      <x:c r="H1564" s="13" t="n">
        <x:v>0.06</x:v>
      </x:c>
      <x:c r="I1564" s="13" t="n">
        <x:v>0</x:v>
      </x:c>
      <x:c r="J1564" s="12" t="str">
        <x:v>now_ui_infer</x:v>
      </x:c>
      <x:c r="K1564" s="12" t="str">
        <x:v>none</x:v>
      </x:c>
      <x:c r="L1564" s="13" t="n">
        <x:f>IF(G1564&lt;=I1564,0,MAX(0,L1563)+IF(E1564="via",MAX(0,G1564-MAX(F1564,I1564)),0))</x:f>
        <x:v>4.34</x:v>
      </x:c>
    </x:row>
    <x:row r="1565" ht="42" customHeight="1">
      <x:c r="A1565" s="7" t="str">
        <x:v>DP3-B-R3</x:v>
      </x:c>
      <x:c r="B1565" s="7" t="str">
        <x:v>U10</x:v>
      </x:c>
      <x:c r="C1565" s="7" t="str">
        <x:v>meaning</x:v>
      </x:c>
      <x:c r="D1565" s="7" t="str">
        <x:v>최초 요청 의미 채택 packet 생성</x:v>
      </x:c>
      <x:c r="E1565" s="7" t="str">
        <x:v>via</x:v>
      </x:c>
      <x:c r="F1565" s="14" t="n">
        <x:v>4.34</x:v>
      </x:c>
      <x:c r="G1565" s="14" t="n">
        <x:v>5.526666666666666</x:v>
      </x:c>
      <x:c r="H1565" s="14" t="n">
        <x:v>1.1866666666666668</x:v>
      </x:c>
      <x:c r="I1565" s="14" t="n">
        <x:v>0</x:v>
      </x:c>
      <x:c r="J1565" s="7" t="str">
        <x:v>now_ui_ipc</x:v>
      </x:c>
      <x:c r="K1565" s="7" t="str">
        <x:v>semantic</x:v>
      </x:c>
      <x:c r="L1565" s="14" t="n">
        <x:f>IF(G1565&lt;=I1565,0,MAX(0,L1564)+IF(E1565="via",MAX(0,G1565-MAX(F1565,I1565)),0))</x:f>
        <x:v>5.526666666666666</x:v>
      </x:c>
    </x:row>
    <x:row r="1566" ht="42" customHeight="1">
      <x:c r="A1566" s="12" t="str">
        <x:v>DP3-B-R3</x:v>
      </x:c>
      <x:c r="B1566" s="12" t="str">
        <x:v>U10</x:v>
      </x:c>
      <x:c r="C1566" s="12" t="str">
        <x:v>adopt</x:v>
      </x:c>
      <x:c r="D1566" s="12" t="str">
        <x:v>현재 revision과 권한 검사 및 채택</x:v>
      </x:c>
      <x:c r="E1566" s="12" t="str">
        <x:v>via</x:v>
      </x:c>
      <x:c r="F1566" s="13" t="n">
        <x:v>5.526666666666666</x:v>
      </x:c>
      <x:c r="G1566" s="13" t="n">
        <x:v>5.556666666666667</x:v>
      </x:c>
      <x:c r="H1566" s="13" t="n">
        <x:v>0.03</x:v>
      </x:c>
      <x:c r="I1566" s="13" t="n">
        <x:v>0</x:v>
      </x:c>
      <x:c r="J1566" s="12" t="str">
        <x:v>meaning</x:v>
      </x:c>
      <x:c r="K1566" s="12" t="str">
        <x:v>none</x:v>
      </x:c>
      <x:c r="L1566" s="13" t="n">
        <x:f>IF(G1566&lt;=I1566,0,MAX(0,L1565)+IF(E1566="via",MAX(0,G1566-MAX(F1566,I1566)),0))</x:f>
        <x:v>5.556666666666667</x:v>
      </x:c>
    </x:row>
    <x:row r="1567" ht="42" customHeight="1">
      <x:c r="A1567" s="7" t="str">
        <x:v>DP3-B-R3</x:v>
      </x:c>
      <x:c r="B1567" s="7" t="str">
        <x:v>U10</x:v>
      </x:c>
      <x:c r="C1567" s="7" t="str">
        <x:v>first_display</x:v>
      </x:c>
      <x:c r="D1567" s="7" t="str">
        <x:v>첫 구체적 채택 내용 화면 표시</x:v>
      </x:c>
      <x:c r="E1567" s="7" t="str">
        <x:v>via</x:v>
      </x:c>
      <x:c r="F1567" s="14" t="n">
        <x:v>5.556666666666667</x:v>
      </x:c>
      <x:c r="G1567" s="14" t="n">
        <x:v>5.596666666666667</x:v>
      </x:c>
      <x:c r="H1567" s="14" t="n">
        <x:v>0.04</x:v>
      </x:c>
      <x:c r="I1567" s="14" t="n">
        <x:v>0</x:v>
      </x:c>
      <x:c r="J1567" s="7" t="str">
        <x:v>adopt</x:v>
      </x:c>
      <x:c r="K1567" s="7" t="str">
        <x:v>none</x:v>
      </x:c>
      <x:c r="L1567" s="14" t="n">
        <x:f>IF(G1567&lt;=I1567,0,MAX(0,L1566)+IF(E1567="via",MAX(0,G1567-MAX(F1567,I1567)),0))</x:f>
        <x:v>5.596666666666667</x:v>
      </x:c>
    </x:row>
    <x:row r="1568" ht="42" customHeight="1">
      <x:c r="A1568" s="12" t="str">
        <x:v>DP3-B-R3</x:v>
      </x:c>
      <x:c r="B1568" s="12" t="str">
        <x:v>U10</x:v>
      </x:c>
      <x:c r="C1568" s="12" t="str">
        <x:v>agent_ingress</x:v>
      </x:c>
      <x:c r="D1568" s="12" t="str">
        <x:v>Agent 요청 전송</x:v>
      </x:c>
      <x:c r="E1568" s="12" t="str">
        <x:v>via</x:v>
      </x:c>
      <x:c r="F1568" s="13" t="n">
        <x:v>5.556666666666667</x:v>
      </x:c>
      <x:c r="G1568" s="13" t="n">
        <x:v>5.596666666666667</x:v>
      </x:c>
      <x:c r="H1568" s="13" t="n">
        <x:v>0.04</x:v>
      </x:c>
      <x:c r="I1568" s="13" t="n">
        <x:v>0</x:v>
      </x:c>
      <x:c r="J1568" s="12" t="str">
        <x:v>adopt</x:v>
      </x:c>
      <x:c r="K1568" s="12" t="str">
        <x:v>none</x:v>
      </x:c>
      <x:c r="L1568" s="13" t="n">
        <x:f>IF(G1568&lt;=I1568,0,MAX(0,L1566)+IF(E1568="via",MAX(0,G1568-MAX(F1568,I1568)),0))</x:f>
        <x:v>5.596666666666667</x:v>
      </x:c>
    </x:row>
    <x:row r="1569" ht="42" customHeight="1">
      <x:c r="A1569" s="7" t="str">
        <x:v>DP3-B-R3</x:v>
      </x:c>
      <x:c r="B1569" s="7" t="str">
        <x:v>U10</x:v>
      </x:c>
      <x:c r="C1569" s="7" t="str">
        <x:v>agent_result</x:v>
      </x:c>
      <x:c r="D1569" s="7" t="str">
        <x:v>외부 Agent 업무</x:v>
      </x:c>
      <x:c r="E1569" s="7" t="str">
        <x:v>external</x:v>
      </x:c>
      <x:c r="F1569" s="14" t="n">
        <x:v>5.596666666666667</x:v>
      </x:c>
      <x:c r="G1569" s="14" t="n">
        <x:v>13.596666666666668</x:v>
      </x:c>
      <x:c r="H1569" s="14" t="n">
        <x:v>8</x:v>
      </x:c>
      <x:c r="I1569" s="14" t="n">
        <x:v>0</x:v>
      </x:c>
      <x:c r="J1569" s="7" t="str">
        <x:v>agent_ingress</x:v>
      </x:c>
      <x:c r="K1569" s="7" t="str">
        <x:v>none</x:v>
      </x:c>
      <x:c r="L1569" s="14" t="n">
        <x:f>IF(G1569&lt;=I1569,0,MAX(0,L1568)+IF(E1569="via",MAX(0,G1569-MAX(F1569,I1569)),0))</x:f>
        <x:v>5.596666666666667</x:v>
      </x:c>
    </x:row>
    <x:row r="1570" ht="42" customHeight="1">
      <x:c r="A1570" s="12" t="str">
        <x:v>DP3-B-R3</x:v>
      </x:c>
      <x:c r="B1570" s="12" t="str">
        <x:v>U10</x:v>
      </x:c>
      <x:c r="C1570" s="12" t="str">
        <x:v>result_display</x:v>
      </x:c>
      <x:c r="D1570" s="12" t="str">
        <x:v>최종 결과 상세 표시</x:v>
      </x:c>
      <x:c r="E1570" s="12" t="str">
        <x:v>via</x:v>
      </x:c>
      <x:c r="F1570" s="13" t="n">
        <x:v>13.596666666666668</x:v>
      </x:c>
      <x:c r="G1570" s="13" t="n">
        <x:v>13.636666666666667</x:v>
      </x:c>
      <x:c r="H1570" s="13" t="n">
        <x:v>0.04</x:v>
      </x:c>
      <x:c r="I1570" s="13" t="n">
        <x:v>0</x:v>
      </x:c>
      <x:c r="J1570" s="12" t="str">
        <x:v>agent_result</x:v>
      </x:c>
      <x:c r="K1570" s="12" t="str">
        <x:v>none</x:v>
      </x:c>
      <x:c r="L1570" s="13" t="n">
        <x:f>IF(G1570&lt;=I1570,0,MAX(0,L1569)+IF(E1570="via",MAX(0,G1570-MAX(F1570,I1570)),0))</x:f>
        <x:v>5.636666666666666</x:v>
      </x:c>
    </x:row>
    <x:row r="1571" ht="42" customHeight="1">
      <x:c r="A1571" s="7" t="str">
        <x:v>DP3-B-R3</x:v>
      </x:c>
      <x:c r="B1571" s="7" t="str">
        <x:v>U10</x:v>
      </x:c>
      <x:c r="C1571" s="7" t="str">
        <x:v>response_audio</x:v>
      </x:c>
      <x:c r="D1571" s="7" t="str">
        <x:v>선택한 응답 음성 생성</x:v>
      </x:c>
      <x:c r="E1571" s="7" t="str">
        <x:v>via</x:v>
      </x:c>
      <x:c r="F1571" s="14" t="n">
        <x:v>13.596666666666668</x:v>
      </x:c>
      <x:c r="G1571" s="14" t="n">
        <x:v>15.484666666666667</x:v>
      </x:c>
      <x:c r="H1571" s="14" t="n">
        <x:v>1.888</x:v>
      </x:c>
      <x:c r="I1571" s="14" t="n">
        <x:v>0</x:v>
      </x:c>
      <x:c r="J1571" s="7" t="str">
        <x:v>agent_result</x:v>
      </x:c>
      <x:c r="K1571" s="7" t="str">
        <x:v>speech</x:v>
      </x:c>
      <x:c r="L1571" s="14" t="n">
        <x:f>IF(G1571&lt;=I1571,0,MAX(0,L1569)+IF(E1571="via",MAX(0,G1571-MAX(F1571,I1571)),0))</x:f>
        <x:v>7.484666666666667</x:v>
      </x:c>
    </x:row>
    <x:row r="1572" ht="42" customHeight="1">
      <x:c r="A1572" s="12" t="str">
        <x:v>DP3-B-R3</x:v>
      </x:c>
      <x:c r="B1572" s="12" t="str">
        <x:v>U10</x:v>
      </x:c>
      <x:c r="C1572" s="12" t="str">
        <x:v>intent_audio</x:v>
      </x:c>
      <x:c r="D1572" s="12" t="str">
        <x:v>채택한 구체적 수행 의도의 짧은 음성</x:v>
      </x:c>
      <x:c r="E1572" s="12" t="str">
        <x:v>via</x:v>
      </x:c>
      <x:c r="F1572" s="13" t="n">
        <x:v>5.556666666666667</x:v>
      </x:c>
      <x:c r="G1572" s="13" t="n">
        <x:v>6.690666666666667</x:v>
      </x:c>
      <x:c r="H1572" s="13" t="n">
        <x:v>1.134</x:v>
      </x:c>
      <x:c r="I1572" s="13" t="n">
        <x:v>0</x:v>
      </x:c>
      <x:c r="J1572" s="12" t="str">
        <x:v>adopt</x:v>
      </x:c>
      <x:c r="K1572" s="12" t="str">
        <x:v>speech</x:v>
      </x:c>
      <x:c r="L1572" s="13" t="n">
        <x:f>IF(G1572&lt;=I1572,0,MAX(0,L1566)+IF(E1572="via",MAX(0,G1572-MAX(F1572,I1572)),0))</x:f>
        <x:v>6.690666666666667</x:v>
      </x:c>
    </x:row>
    <x:row r="1573" ht="42" customHeight="1">
      <x:c r="A1573" s="7" t="str">
        <x:v>DP3-B-R3</x:v>
      </x:c>
      <x:c r="B1573" s="7" t="str">
        <x:v>U10</x:v>
      </x:c>
      <x:c r="C1573" s="7" t="str">
        <x:v>first_chunk</x:v>
      </x:c>
      <x:c r="D1573" s="7" t="str">
        <x:v>같은 생성 job의 유효 첫 chunk 관측</x:v>
      </x:c>
      <x:c r="E1573" s="7" t="str">
        <x:v>via</x:v>
      </x:c>
      <x:c r="F1573" s="14" t="n">
        <x:v>5.556666666666667</x:v>
      </x:c>
      <x:c r="G1573" s="14" t="n">
        <x:v>5.990666666666667</x:v>
      </x:c>
      <x:c r="H1573" s="14" t="n">
        <x:v>0.434</x:v>
      </x:c>
      <x:c r="I1573" s="14" t="n">
        <x:v>0</x:v>
      </x:c>
      <x:c r="J1573" s="7" t="str">
        <x:v>adopt</x:v>
      </x:c>
      <x:c r="K1573" s="7" t="str">
        <x:v>none</x:v>
      </x:c>
      <x:c r="L1573" s="14" t="n">
        <x:f>IF(G1573&lt;=I1573,0,MAX(0,L1566)+IF(E1573="via",MAX(0,G1573-MAX(F1573,I1573)),0))</x:f>
        <x:v>5.990666666666667</x:v>
      </x:c>
    </x:row>
    <x:row r="1574" ht="42" customHeight="1">
      <x:c r="A1574" s="12" t="str">
        <x:v>DP3-B-R3</x:v>
      </x:c>
      <x:c r="B1574" s="12" t="str">
        <x:v>U10</x:v>
      </x:c>
      <x:c r="C1574" s="12" t="str">
        <x:v>first_audio_output</x:v>
      </x:c>
      <x:c r="D1574" s="12" t="str">
        <x:v>공통 장치의 첫 음성 출력</x:v>
      </x:c>
      <x:c r="E1574" s="12" t="str">
        <x:v>via</x:v>
      </x:c>
      <x:c r="F1574" s="13" t="n">
        <x:v>5.990666666666667</x:v>
      </x:c>
      <x:c r="G1574" s="13" t="n">
        <x:v>6.030666666666667</x:v>
      </x:c>
      <x:c r="H1574" s="13" t="n">
        <x:v>0.04</x:v>
      </x:c>
      <x:c r="I1574" s="13" t="n">
        <x:v>0</x:v>
      </x:c>
      <x:c r="J1574" s="12" t="str">
        <x:v>adopt, first_chunk</x:v>
      </x:c>
      <x:c r="K1574" s="12" t="str">
        <x:v>none</x:v>
      </x:c>
      <x:c r="L1574" s="13" t="n">
        <x:f>IF(G1574&lt;=I1574,0,MAX(0,L1566,L1573)+IF(E1574="via",MAX(0,G1574-MAX(F1574,I1574)),0))</x:f>
        <x:v>6.030666666666667</x:v>
      </x:c>
    </x:row>
    <x:row r="1575" ht="42" customHeight="1">
      <x:c r="A1575" s="7" t="str">
        <x:v>DP3-B-R3</x:v>
      </x:c>
      <x:c r="B1575" s="7" t="str">
        <x:v>U10</x:v>
      </x:c>
      <x:c r="C1575" s="7" t="str">
        <x:v>next_speech_selection</x:v>
      </x:c>
      <x:c r="D1575" s="7" t="str">
        <x:v>현재 발화 재생 후 다음 응답 선택</x:v>
      </x:c>
      <x:c r="E1575" s="7" t="str">
        <x:v>external</x:v>
      </x:c>
      <x:c r="F1575" s="14" t="n">
        <x:v>6.030666666666667</x:v>
      </x:c>
      <x:c r="G1575" s="14" t="n">
        <x:v>9.030666666666667</x:v>
      </x:c>
      <x:c r="H1575" s="14" t="n">
        <x:v>3</x:v>
      </x:c>
      <x:c r="I1575" s="14" t="n">
        <x:v>0</x:v>
      </x:c>
      <x:c r="J1575" s="7" t="str">
        <x:v>first_audio_output</x:v>
      </x:c>
      <x:c r="K1575" s="7" t="str">
        <x:v>none</x:v>
      </x:c>
      <x:c r="L1575" s="14" t="n">
        <x:f>IF(G1575&lt;=I1575,0,MAX(0,L1574)+IF(E1575="via",MAX(0,G1575-MAX(F1575,I1575)),0))</x:f>
        <x:v>6.030666666666667</x:v>
      </x:c>
    </x:row>
    <x:row r="1576" ht="42" customHeight="1">
      <x:c r="A1576" s="12" t="str">
        <x:v>DP3-B-R3</x:v>
      </x:c>
      <x:c r="B1576" s="12" t="str">
        <x:v>U10</x:v>
      </x:c>
      <x:c r="C1576" s="12" t="str">
        <x:v>terminal</x:v>
      </x:c>
      <x:c r="D1576" s="12" t="str">
        <x:v>공통 목표 최종 상태와 전체 음성 준비</x:v>
      </x:c>
      <x:c r="E1576" s="12" t="str">
        <x:v>via</x:v>
      </x:c>
      <x:c r="F1576" s="13" t="n">
        <x:v>15.484666666666667</x:v>
      </x:c>
      <x:c r="G1576" s="13" t="n">
        <x:v>15.484666666666667</x:v>
      </x:c>
      <x:c r="H1576" s="13" t="n">
        <x:v>0</x:v>
      </x:c>
      <x:c r="I1576" s="13" t="n">
        <x:v>0</x:v>
      </x:c>
      <x:c r="J1576" s="12" t="str">
        <x:v>result_display, response_audio, intent_audio, first_audio_output</x:v>
      </x:c>
      <x:c r="K1576" s="12" t="str">
        <x:v>none</x:v>
      </x:c>
      <x:c r="L1576" s="13" t="n">
        <x:f>IF(G1576&lt;=I1576,0,MAX(0,L1570,L1571,L1572,L1574)+IF(E1576="via",MAX(0,G1576-MAX(F1576,I1576)),0))</x:f>
        <x:v>7.484666666666667</x:v>
      </x:c>
    </x:row>
    <x:row r="1577" ht="42" customHeight="1">
      <x:c r="A1577" s="7" t="str">
        <x:v>DP3-B-R3</x:v>
      </x:c>
      <x:c r="B1577" s="7" t="str">
        <x:v>U11</x:v>
      </x:c>
      <x:c r="C1577" s="7" t="str">
        <x:v>input_end</x:v>
      </x:c>
      <x:c r="D1577" s="7" t="str">
        <x:v>사용자 입력 종료</x:v>
      </x:c>
      <x:c r="E1577" s="7" t="str">
        <x:v>external</x:v>
      </x:c>
      <x:c r="F1577" s="14" t="n">
        <x:v>0</x:v>
      </x:c>
      <x:c r="G1577" s="14" t="n">
        <x:v>0</x:v>
      </x:c>
      <x:c r="H1577" s="14" t="n">
        <x:v>0</x:v>
      </x:c>
      <x:c r="I1577" s="14" t="n">
        <x:v>0</x:v>
      </x:c>
      <x:c r="J1577" s="7" t="str"/>
      <x:c r="K1577" s="7" t="str">
        <x:v>none</x:v>
      </x:c>
      <x:c r="L1577" s="14" t="n">
        <x:f>IF(G1577&lt;=I1577,0,MAX(0)+IF(E1577="via",MAX(0,G1577-MAX(F1577,I1577)),0))</x:f>
        <x:v>0</x:v>
      </x:c>
    </x:row>
    <x:row r="1578" ht="42" customHeight="1">
      <x:c r="A1578" s="12" t="str">
        <x:v>DP3-B-R3</x:v>
      </x:c>
      <x:c r="B1578" s="12" t="str">
        <x:v>U11</x:v>
      </x:c>
      <x:c r="C1578" s="12" t="str">
        <x:v>intake</x:v>
      </x:c>
      <x:c r="D1578" s="12" t="str">
        <x:v>입력 확정</x:v>
      </x:c>
      <x:c r="E1578" s="12" t="str">
        <x:v>via</x:v>
      </x:c>
      <x:c r="F1578" s="13" t="n">
        <x:v>0</x:v>
      </x:c>
      <x:c r="G1578" s="13" t="n">
        <x:v>0.3</x:v>
      </x:c>
      <x:c r="H1578" s="13" t="n">
        <x:v>0.3</x:v>
      </x:c>
      <x:c r="I1578" s="13" t="n">
        <x:v>0</x:v>
      </x:c>
      <x:c r="J1578" s="12" t="str">
        <x:v>input_end</x:v>
      </x:c>
      <x:c r="K1578" s="12" t="str">
        <x:v>none</x:v>
      </x:c>
      <x:c r="L1578" s="13" t="n">
        <x:f>IF(G1578&lt;=I1578,0,MAX(0,L1577)+IF(E1578="via",MAX(0,G1578-MAX(F1578,I1578)),0))</x:f>
        <x:v>0.3</x:v>
      </x:c>
    </x:row>
    <x:row r="1579" ht="42" customHeight="1">
      <x:c r="A1579" s="7" t="str">
        <x:v>DP3-B-R3</x:v>
      </x:c>
      <x:c r="B1579" s="7" t="str">
        <x:v>U11</x:v>
      </x:c>
      <x:c r="C1579" s="7" t="str">
        <x:v>read</x:v>
      </x:c>
      <x:c r="D1579" s="7" t="str">
        <x:v>공통 허용 원본 조회</x:v>
      </x:c>
      <x:c r="E1579" s="7" t="str">
        <x:v>via</x:v>
      </x:c>
      <x:c r="F1579" s="14" t="n">
        <x:v>0.3</x:v>
      </x:c>
      <x:c r="G1579" s="14" t="n">
        <x:v>0.38</x:v>
      </x:c>
      <x:c r="H1579" s="14" t="n">
        <x:v>0.08</x:v>
      </x:c>
      <x:c r="I1579" s="14" t="n">
        <x:v>0</x:v>
      </x:c>
      <x:c r="J1579" s="7" t="str">
        <x:v>intake</x:v>
      </x:c>
      <x:c r="K1579" s="7" t="str">
        <x:v>none</x:v>
      </x:c>
      <x:c r="L1579" s="14" t="n">
        <x:f>IF(G1579&lt;=I1579,0,MAX(0,L1578)+IF(E1579="via",MAX(0,G1579-MAX(F1579,I1579)),0))</x:f>
        <x:v>0.38</x:v>
      </x:c>
    </x:row>
    <x:row r="1580" ht="42" customHeight="1">
      <x:c r="A1580" s="12" t="str">
        <x:v>DP3-B-R3</x:v>
      </x:c>
      <x:c r="B1580" s="12" t="str">
        <x:v>U11</x:v>
      </x:c>
      <x:c r="C1580" s="12" t="str">
        <x:v>now_ui_boot</x:v>
      </x:c>
      <x:c r="D1580" s="12" t="str">
        <x:v>ui runtime 시작</x:v>
      </x:c>
      <x:c r="E1580" s="12" t="str">
        <x:v>via</x:v>
      </x:c>
      <x:c r="F1580" s="13" t="n">
        <x:v>0.38</x:v>
      </x:c>
      <x:c r="G1580" s="13" t="n">
        <x:v>1.58</x:v>
      </x:c>
      <x:c r="H1580" s="13" t="n">
        <x:v>1.2</x:v>
      </x:c>
      <x:c r="I1580" s="13" t="n">
        <x:v>0</x:v>
      </x:c>
      <x:c r="J1580" s="12" t="str">
        <x:v>read</x:v>
      </x:c>
      <x:c r="K1580" s="12" t="str">
        <x:v>visual</x:v>
      </x:c>
      <x:c r="L1580" s="13" t="n">
        <x:f>IF(G1580&lt;=I1580,0,MAX(0,L1579)+IF(E1580="via",MAX(0,G1580-MAX(F1580,I1580)),0))</x:f>
        <x:v>1.58</x:v>
      </x:c>
    </x:row>
    <x:row r="1581" ht="42" customHeight="1">
      <x:c r="A1581" s="7" t="str">
        <x:v>DP3-B-R3</x:v>
      </x:c>
      <x:c r="B1581" s="7" t="str">
        <x:v>U11</x:v>
      </x:c>
      <x:c r="C1581" s="7" t="str">
        <x:v>now_ui_load</x:v>
      </x:c>
      <x:c r="D1581" s="7" t="str">
        <x:v>ui 모델 적재</x:v>
      </x:c>
      <x:c r="E1581" s="7" t="str">
        <x:v>via</x:v>
      </x:c>
      <x:c r="F1581" s="14" t="n">
        <x:v>1.58</x:v>
      </x:c>
      <x:c r="G1581" s="14" t="n">
        <x:v>2.68</x:v>
      </x:c>
      <x:c r="H1581" s="14" t="n">
        <x:v>1.1</x:v>
      </x:c>
      <x:c r="I1581" s="14" t="n">
        <x:v>0</x:v>
      </x:c>
      <x:c r="J1581" s="7" t="str">
        <x:v>read, now_ui_boot</x:v>
      </x:c>
      <x:c r="K1581" s="7" t="str">
        <x:v>visual</x:v>
      </x:c>
      <x:c r="L1581" s="14" t="n">
        <x:f>IF(G1581&lt;=I1581,0,MAX(0,L1579,L1580)+IF(E1581="via",MAX(0,G1581-MAX(F1581,I1581)),0))</x:f>
        <x:v>2.68</x:v>
      </x:c>
    </x:row>
    <x:row r="1582" ht="42" customHeight="1">
      <x:c r="A1582" s="12" t="str">
        <x:v>DP3-B-R3</x:v>
      </x:c>
      <x:c r="B1582" s="12" t="str">
        <x:v>U11</x:v>
      </x:c>
      <x:c r="C1582" s="12" t="str">
        <x:v>now_ui_infer</x:v>
      </x:c>
      <x:c r="D1582" s="12" t="str">
        <x:v>ui 후보 생산</x:v>
      </x:c>
      <x:c r="E1582" s="12" t="str">
        <x:v>via</x:v>
      </x:c>
      <x:c r="F1582" s="13" t="n">
        <x:v>2.68</x:v>
      </x:c>
      <x:c r="G1582" s="13" t="n">
        <x:v>4.28</x:v>
      </x:c>
      <x:c r="H1582" s="13" t="n">
        <x:v>1.6</x:v>
      </x:c>
      <x:c r="I1582" s="13" t="n">
        <x:v>0</x:v>
      </x:c>
      <x:c r="J1582" s="12" t="str">
        <x:v>now_ui_load</x:v>
      </x:c>
      <x:c r="K1582" s="12" t="str">
        <x:v>visual</x:v>
      </x:c>
      <x:c r="L1582" s="13" t="n">
        <x:f>IF(G1582&lt;=I1582,0,MAX(0,L1581)+IF(E1582="via",MAX(0,G1582-MAX(F1582,I1582)),0))</x:f>
        <x:v>4.28</x:v>
      </x:c>
    </x:row>
    <x:row r="1583" ht="42" customHeight="1">
      <x:c r="A1583" s="7" t="str">
        <x:v>DP3-B-R3</x:v>
      </x:c>
      <x:c r="B1583" s="7" t="str">
        <x:v>U11</x:v>
      </x:c>
      <x:c r="C1583" s="7" t="str">
        <x:v>now_ui_ipc</x:v>
      </x:c>
      <x:c r="D1583" s="7" t="str">
        <x:v>ui 결과 IPC</x:v>
      </x:c>
      <x:c r="E1583" s="7" t="str">
        <x:v>via</x:v>
      </x:c>
      <x:c r="F1583" s="14" t="n">
        <x:v>4.28</x:v>
      </x:c>
      <x:c r="G1583" s="14" t="n">
        <x:v>4.34</x:v>
      </x:c>
      <x:c r="H1583" s="14" t="n">
        <x:v>0.06</x:v>
      </x:c>
      <x:c r="I1583" s="14" t="n">
        <x:v>0</x:v>
      </x:c>
      <x:c r="J1583" s="7" t="str">
        <x:v>now_ui_infer</x:v>
      </x:c>
      <x:c r="K1583" s="7" t="str">
        <x:v>none</x:v>
      </x:c>
      <x:c r="L1583" s="14" t="n">
        <x:f>IF(G1583&lt;=I1583,0,MAX(0,L1582)+IF(E1583="via",MAX(0,G1583-MAX(F1583,I1583)),0))</x:f>
        <x:v>4.34</x:v>
      </x:c>
    </x:row>
    <x:row r="1584" ht="42" customHeight="1">
      <x:c r="A1584" s="12" t="str">
        <x:v>DP3-B-R3</x:v>
      </x:c>
      <x:c r="B1584" s="12" t="str">
        <x:v>U11</x:v>
      </x:c>
      <x:c r="C1584" s="12" t="str">
        <x:v>now_sam_boot</x:v>
      </x:c>
      <x:c r="D1584" s="12" t="str">
        <x:v>sam runtime 시작</x:v>
      </x:c>
      <x:c r="E1584" s="12" t="str">
        <x:v>via</x:v>
      </x:c>
      <x:c r="F1584" s="13" t="n">
        <x:v>4.34</x:v>
      </x:c>
      <x:c r="G1584" s="13" t="n">
        <x:v>5.54</x:v>
      </x:c>
      <x:c r="H1584" s="13" t="n">
        <x:v>1.2</x:v>
      </x:c>
      <x:c r="I1584" s="13" t="n">
        <x:v>0</x:v>
      </x:c>
      <x:c r="J1584" s="12" t="str">
        <x:v>now_ui_ipc</x:v>
      </x:c>
      <x:c r="K1584" s="12" t="str">
        <x:v>visual</x:v>
      </x:c>
      <x:c r="L1584" s="13" t="n">
        <x:f>IF(G1584&lt;=I1584,0,MAX(0,L1583)+IF(E1584="via",MAX(0,G1584-MAX(F1584,I1584)),0))</x:f>
        <x:v>5.54</x:v>
      </x:c>
    </x:row>
    <x:row r="1585" ht="42" customHeight="1">
      <x:c r="A1585" s="7" t="str">
        <x:v>DP3-B-R3</x:v>
      </x:c>
      <x:c r="B1585" s="7" t="str">
        <x:v>U11</x:v>
      </x:c>
      <x:c r="C1585" s="7" t="str">
        <x:v>now_sam_load</x:v>
      </x:c>
      <x:c r="D1585" s="7" t="str">
        <x:v>sam 모델 적재</x:v>
      </x:c>
      <x:c r="E1585" s="7" t="str">
        <x:v>via</x:v>
      </x:c>
      <x:c r="F1585" s="14" t="n">
        <x:v>5.54</x:v>
      </x:c>
      <x:c r="G1585" s="14" t="n">
        <x:v>6.19</x:v>
      </x:c>
      <x:c r="H1585" s="14" t="n">
        <x:v>0.65</x:v>
      </x:c>
      <x:c r="I1585" s="14" t="n">
        <x:v>0</x:v>
      </x:c>
      <x:c r="J1585" s="7" t="str">
        <x:v>now_ui_ipc, now_sam_boot</x:v>
      </x:c>
      <x:c r="K1585" s="7" t="str">
        <x:v>visual</x:v>
      </x:c>
      <x:c r="L1585" s="14" t="n">
        <x:f>IF(G1585&lt;=I1585,0,MAX(0,L1583,L1584)+IF(E1585="via",MAX(0,G1585-MAX(F1585,I1585)),0))</x:f>
        <x:v>6.19</x:v>
      </x:c>
    </x:row>
    <x:row r="1586" ht="42" customHeight="1">
      <x:c r="A1586" s="12" t="str">
        <x:v>DP3-B-R3</x:v>
      </x:c>
      <x:c r="B1586" s="12" t="str">
        <x:v>U11</x:v>
      </x:c>
      <x:c r="C1586" s="12" t="str">
        <x:v>now_sam_infer</x:v>
      </x:c>
      <x:c r="D1586" s="12" t="str">
        <x:v>sam 후보 생산</x:v>
      </x:c>
      <x:c r="E1586" s="12" t="str">
        <x:v>via</x:v>
      </x:c>
      <x:c r="F1586" s="13" t="n">
        <x:v>6.19</x:v>
      </x:c>
      <x:c r="G1586" s="13" t="n">
        <x:v>10.29</x:v>
      </x:c>
      <x:c r="H1586" s="13" t="n">
        <x:v>4.1</x:v>
      </x:c>
      <x:c r="I1586" s="13" t="n">
        <x:v>0</x:v>
      </x:c>
      <x:c r="J1586" s="12" t="str">
        <x:v>now_sam_load</x:v>
      </x:c>
      <x:c r="K1586" s="12" t="str">
        <x:v>visual</x:v>
      </x:c>
      <x:c r="L1586" s="13" t="n">
        <x:f>IF(G1586&lt;=I1586,0,MAX(0,L1585)+IF(E1586="via",MAX(0,G1586-MAX(F1586,I1586)),0))</x:f>
        <x:v>10.29</x:v>
      </x:c>
    </x:row>
    <x:row r="1587" ht="42" customHeight="1">
      <x:c r="A1587" s="7" t="str">
        <x:v>DP3-B-R3</x:v>
      </x:c>
      <x:c r="B1587" s="7" t="str">
        <x:v>U11</x:v>
      </x:c>
      <x:c r="C1587" s="7" t="str">
        <x:v>now_sam_ipc</x:v>
      </x:c>
      <x:c r="D1587" s="7" t="str">
        <x:v>sam 결과 IPC</x:v>
      </x:c>
      <x:c r="E1587" s="7" t="str">
        <x:v>via</x:v>
      </x:c>
      <x:c r="F1587" s="14" t="n">
        <x:v>10.29</x:v>
      </x:c>
      <x:c r="G1587" s="14" t="n">
        <x:v>10.35</x:v>
      </x:c>
      <x:c r="H1587" s="14" t="n">
        <x:v>0.06</x:v>
      </x:c>
      <x:c r="I1587" s="14" t="n">
        <x:v>0</x:v>
      </x:c>
      <x:c r="J1587" s="7" t="str">
        <x:v>now_sam_infer</x:v>
      </x:c>
      <x:c r="K1587" s="7" t="str">
        <x:v>none</x:v>
      </x:c>
      <x:c r="L1587" s="14" t="n">
        <x:f>IF(G1587&lt;=I1587,0,MAX(0,L1586)+IF(E1587="via",MAX(0,G1587-MAX(F1587,I1587)),0))</x:f>
        <x:v>10.35</x:v>
      </x:c>
    </x:row>
    <x:row r="1588" ht="42" customHeight="1">
      <x:c r="A1588" s="12" t="str">
        <x:v>DP3-B-R3</x:v>
      </x:c>
      <x:c r="B1588" s="12" t="str">
        <x:v>U11</x:v>
      </x:c>
      <x:c r="C1588" s="12" t="str">
        <x:v>expand_need</x:v>
      </x:c>
      <x:c r="D1588" s="12" t="str">
        <x:v>초기 binder의 부족 판정과 ExpandNeed 생성</x:v>
      </x:c>
      <x:c r="E1588" s="12" t="str">
        <x:v>via</x:v>
      </x:c>
      <x:c r="F1588" s="13" t="n">
        <x:v>10.35</x:v>
      </x:c>
      <x:c r="G1588" s="13" t="n">
        <x:v>11.223333333333333</x:v>
      </x:c>
      <x:c r="H1588" s="13" t="n">
        <x:v>0.8733333333333333</x:v>
      </x:c>
      <x:c r="I1588" s="13" t="n">
        <x:v>0</x:v>
      </x:c>
      <x:c r="J1588" s="12" t="str">
        <x:v>now_sam_ipc</x:v>
      </x:c>
      <x:c r="K1588" s="12" t="str">
        <x:v>semantic</x:v>
      </x:c>
      <x:c r="L1588" s="13" t="n">
        <x:f>IF(G1588&lt;=I1588,0,MAX(0,L1587)+IF(E1588="via",MAX(0,G1588-MAX(F1588,I1588)),0))</x:f>
        <x:v>11.223333333333333</x:v>
      </x:c>
    </x:row>
    <x:row r="1589" ht="42" customHeight="1">
      <x:c r="A1589" s="7" t="str">
        <x:v>DP3-B-R3</x:v>
      </x:c>
      <x:c r="B1589" s="7" t="str">
        <x:v>U11</x:v>
      </x:c>
      <x:c r="C1589" s="7" t="str">
        <x:v>raw_expansion</x:v>
      </x:c>
      <x:c r="D1589" s="7" t="str">
        <x:v>ExpandNeed에 따른 원본 확장 조회</x:v>
      </x:c>
      <x:c r="E1589" s="7" t="str">
        <x:v>via</x:v>
      </x:c>
      <x:c r="F1589" s="14" t="n">
        <x:v>11.223333333333333</x:v>
      </x:c>
      <x:c r="G1589" s="14" t="n">
        <x:v>11.303333333333333</x:v>
      </x:c>
      <x:c r="H1589" s="14" t="n">
        <x:v>0.08</x:v>
      </x:c>
      <x:c r="I1589" s="14" t="n">
        <x:v>0</x:v>
      </x:c>
      <x:c r="J1589" s="7" t="str">
        <x:v>expand_need</x:v>
      </x:c>
      <x:c r="K1589" s="7" t="str">
        <x:v>none</x:v>
      </x:c>
      <x:c r="L1589" s="14" t="n">
        <x:f>IF(G1589&lt;=I1589,0,MAX(0,L1588)+IF(E1589="via",MAX(0,G1589-MAX(F1589,I1589)),0))</x:f>
        <x:v>11.303333333333333</x:v>
      </x:c>
    </x:row>
    <x:row r="1590" ht="42" customHeight="1">
      <x:c r="A1590" s="12" t="str">
        <x:v>DP3-B-R3</x:v>
      </x:c>
      <x:c r="B1590" s="12" t="str">
        <x:v>U11</x:v>
      </x:c>
      <x:c r="C1590" s="12" t="str">
        <x:v>expand_ui_infer</x:v>
      </x:c>
      <x:c r="D1590" s="12" t="str">
        <x:v>ui 후보 생산</x:v>
      </x:c>
      <x:c r="E1590" s="12" t="str">
        <x:v>via</x:v>
      </x:c>
      <x:c r="F1590" s="13" t="n">
        <x:v>11.303333333333333</x:v>
      </x:c>
      <x:c r="G1590" s="13" t="n">
        <x:v>12.903333333333332</x:v>
      </x:c>
      <x:c r="H1590" s="13" t="n">
        <x:v>1.6</x:v>
      </x:c>
      <x:c r="I1590" s="13" t="n">
        <x:v>0</x:v>
      </x:c>
      <x:c r="J1590" s="12" t="str">
        <x:v>raw_expansion, now_ui_boot</x:v>
      </x:c>
      <x:c r="K1590" s="12" t="str">
        <x:v>visual</x:v>
      </x:c>
      <x:c r="L1590" s="13" t="n">
        <x:f>IF(G1590&lt;=I1590,0,MAX(0,L1589,L1580)+IF(E1590="via",MAX(0,G1590-MAX(F1590,I1590)),0))</x:f>
        <x:v>12.903333333333332</x:v>
      </x:c>
    </x:row>
    <x:row r="1591" ht="42" customHeight="1">
      <x:c r="A1591" s="7" t="str">
        <x:v>DP3-B-R3</x:v>
      </x:c>
      <x:c r="B1591" s="7" t="str">
        <x:v>U11</x:v>
      </x:c>
      <x:c r="C1591" s="7" t="str">
        <x:v>expand_ui_ipc</x:v>
      </x:c>
      <x:c r="D1591" s="7" t="str">
        <x:v>ui 결과 IPC</x:v>
      </x:c>
      <x:c r="E1591" s="7" t="str">
        <x:v>via</x:v>
      </x:c>
      <x:c r="F1591" s="14" t="n">
        <x:v>12.903333333333332</x:v>
      </x:c>
      <x:c r="G1591" s="14" t="n">
        <x:v>12.963333333333333</x:v>
      </x:c>
      <x:c r="H1591" s="14" t="n">
        <x:v>0.06</x:v>
      </x:c>
      <x:c r="I1591" s="14" t="n">
        <x:v>0</x:v>
      </x:c>
      <x:c r="J1591" s="7" t="str">
        <x:v>expand_ui_infer</x:v>
      </x:c>
      <x:c r="K1591" s="7" t="str">
        <x:v>none</x:v>
      </x:c>
      <x:c r="L1591" s="14" t="n">
        <x:f>IF(G1591&lt;=I1591,0,MAX(0,L1590)+IF(E1591="via",MAX(0,G1591-MAX(F1591,I1591)),0))</x:f>
        <x:v>12.963333333333333</x:v>
      </x:c>
    </x:row>
    <x:row r="1592" ht="42" customHeight="1">
      <x:c r="A1592" s="12" t="str">
        <x:v>DP3-B-R3</x:v>
      </x:c>
      <x:c r="B1592" s="12" t="str">
        <x:v>U11</x:v>
      </x:c>
      <x:c r="C1592" s="12" t="str">
        <x:v>expand_sam_infer</x:v>
      </x:c>
      <x:c r="D1592" s="12" t="str">
        <x:v>sam 후보 생산</x:v>
      </x:c>
      <x:c r="E1592" s="12" t="str">
        <x:v>via</x:v>
      </x:c>
      <x:c r="F1592" s="13" t="n">
        <x:v>12.963333333333333</x:v>
      </x:c>
      <x:c r="G1592" s="13" t="n">
        <x:v>15.013333333333332</x:v>
      </x:c>
      <x:c r="H1592" s="13" t="n">
        <x:v>2.05</x:v>
      </x:c>
      <x:c r="I1592" s="13" t="n">
        <x:v>0</x:v>
      </x:c>
      <x:c r="J1592" s="12" t="str">
        <x:v>expand_ui_ipc, now_sam_boot</x:v>
      </x:c>
      <x:c r="K1592" s="12" t="str">
        <x:v>visual</x:v>
      </x:c>
      <x:c r="L1592" s="13" t="n">
        <x:f>IF(G1592&lt;=I1592,0,MAX(0,L1591,L1584)+IF(E1592="via",MAX(0,G1592-MAX(F1592,I1592)),0))</x:f>
        <x:v>15.013333333333332</x:v>
      </x:c>
    </x:row>
    <x:row r="1593" ht="42" customHeight="1">
      <x:c r="A1593" s="7" t="str">
        <x:v>DP3-B-R3</x:v>
      </x:c>
      <x:c r="B1593" s="7" t="str">
        <x:v>U11</x:v>
      </x:c>
      <x:c r="C1593" s="7" t="str">
        <x:v>expand_sam_ipc</x:v>
      </x:c>
      <x:c r="D1593" s="7" t="str">
        <x:v>sam 결과 IPC</x:v>
      </x:c>
      <x:c r="E1593" s="7" t="str">
        <x:v>via</x:v>
      </x:c>
      <x:c r="F1593" s="14" t="n">
        <x:v>15.013333333333332</x:v>
      </x:c>
      <x:c r="G1593" s="14" t="n">
        <x:v>15.073333333333332</x:v>
      </x:c>
      <x:c r="H1593" s="14" t="n">
        <x:v>0.06</x:v>
      </x:c>
      <x:c r="I1593" s="14" t="n">
        <x:v>0</x:v>
      </x:c>
      <x:c r="J1593" s="7" t="str">
        <x:v>expand_sam_infer</x:v>
      </x:c>
      <x:c r="K1593" s="7" t="str">
        <x:v>none</x:v>
      </x:c>
      <x:c r="L1593" s="14" t="n">
        <x:f>IF(G1593&lt;=I1593,0,MAX(0,L1592)+IF(E1593="via",MAX(0,G1593-MAX(F1593,I1593)),0))</x:f>
        <x:v>15.073333333333332</x:v>
      </x:c>
    </x:row>
    <x:row r="1594" ht="42" customHeight="1">
      <x:c r="A1594" s="12" t="str">
        <x:v>DP3-B-R3</x:v>
      </x:c>
      <x:c r="B1594" s="12" t="str">
        <x:v>U11</x:v>
      </x:c>
      <x:c r="C1594" s="12" t="str">
        <x:v>expanded_revision</x:v>
      </x:c>
      <x:c r="D1594" s="12" t="str">
        <x:v>확장 후보 revision 게시 및 결합 재개</x:v>
      </x:c>
      <x:c r="E1594" s="12" t="str">
        <x:v>via</x:v>
      </x:c>
      <x:c r="F1594" s="13" t="n">
        <x:v>15.073333333333332</x:v>
      </x:c>
      <x:c r="G1594" s="13" t="n">
        <x:v>15.103333333333332</x:v>
      </x:c>
      <x:c r="H1594" s="13" t="n">
        <x:v>0.03</x:v>
      </x:c>
      <x:c r="I1594" s="13" t="n">
        <x:v>0</x:v>
      </x:c>
      <x:c r="J1594" s="12" t="str">
        <x:v>expand_sam_ipc</x:v>
      </x:c>
      <x:c r="K1594" s="12" t="str">
        <x:v>none</x:v>
      </x:c>
      <x:c r="L1594" s="13" t="n">
        <x:f>IF(G1594&lt;=I1594,0,MAX(0,L1593)+IF(E1594="via",MAX(0,G1594-MAX(F1594,I1594)),0))</x:f>
        <x:v>15.103333333333332</x:v>
      </x:c>
    </x:row>
    <x:row r="1595" ht="42" customHeight="1">
      <x:c r="A1595" s="7" t="str">
        <x:v>DP3-B-R3</x:v>
      </x:c>
      <x:c r="B1595" s="7" t="str">
        <x:v>U11</x:v>
      </x:c>
      <x:c r="C1595" s="7" t="str">
        <x:v>meaning</x:v>
      </x:c>
      <x:c r="D1595" s="7" t="str">
        <x:v>최초 요청 의미 채택 packet 생성</x:v>
      </x:c>
      <x:c r="E1595" s="7" t="str">
        <x:v>via</x:v>
      </x:c>
      <x:c r="F1595" s="14" t="n">
        <x:v>15.103333333333332</x:v>
      </x:c>
      <x:c r="G1595" s="14" t="n">
        <x:v>16.526666666666664</x:v>
      </x:c>
      <x:c r="H1595" s="14" t="n">
        <x:v>1.4233333333333333</x:v>
      </x:c>
      <x:c r="I1595" s="14" t="n">
        <x:v>0</x:v>
      </x:c>
      <x:c r="J1595" s="7" t="str">
        <x:v>expanded_revision</x:v>
      </x:c>
      <x:c r="K1595" s="7" t="str">
        <x:v>semantic</x:v>
      </x:c>
      <x:c r="L1595" s="14" t="n">
        <x:f>IF(G1595&lt;=I1595,0,MAX(0,L1594)+IF(E1595="via",MAX(0,G1595-MAX(F1595,I1595)),0))</x:f>
        <x:v>16.526666666666664</x:v>
      </x:c>
    </x:row>
    <x:row r="1596" ht="42" customHeight="1">
      <x:c r="A1596" s="12" t="str">
        <x:v>DP3-B-R3</x:v>
      </x:c>
      <x:c r="B1596" s="12" t="str">
        <x:v>U11</x:v>
      </x:c>
      <x:c r="C1596" s="12" t="str">
        <x:v>adopt</x:v>
      </x:c>
      <x:c r="D1596" s="12" t="str">
        <x:v>현재 revision과 권한 검사 및 채택</x:v>
      </x:c>
      <x:c r="E1596" s="12" t="str">
        <x:v>via</x:v>
      </x:c>
      <x:c r="F1596" s="13" t="n">
        <x:v>16.526666666666664</x:v>
      </x:c>
      <x:c r="G1596" s="13" t="n">
        <x:v>16.556666666666665</x:v>
      </x:c>
      <x:c r="H1596" s="13" t="n">
        <x:v>0.03</x:v>
      </x:c>
      <x:c r="I1596" s="13" t="n">
        <x:v>0</x:v>
      </x:c>
      <x:c r="J1596" s="12" t="str">
        <x:v>meaning</x:v>
      </x:c>
      <x:c r="K1596" s="12" t="str">
        <x:v>none</x:v>
      </x:c>
      <x:c r="L1596" s="13" t="n">
        <x:f>IF(G1596&lt;=I1596,0,MAX(0,L1595)+IF(E1596="via",MAX(0,G1596-MAX(F1596,I1596)),0))</x:f>
        <x:v>16.556666666666665</x:v>
      </x:c>
    </x:row>
    <x:row r="1597" ht="42" customHeight="1">
      <x:c r="A1597" s="7" t="str">
        <x:v>DP3-B-R3</x:v>
      </x:c>
      <x:c r="B1597" s="7" t="str">
        <x:v>U11</x:v>
      </x:c>
      <x:c r="C1597" s="7" t="str">
        <x:v>first_display</x:v>
      </x:c>
      <x:c r="D1597" s="7" t="str">
        <x:v>첫 구체적 채택 내용 화면 표시</x:v>
      </x:c>
      <x:c r="E1597" s="7" t="str">
        <x:v>via</x:v>
      </x:c>
      <x:c r="F1597" s="14" t="n">
        <x:v>16.556666666666665</x:v>
      </x:c>
      <x:c r="G1597" s="14" t="n">
        <x:v>16.596666666666664</x:v>
      </x:c>
      <x:c r="H1597" s="14" t="n">
        <x:v>0.04</x:v>
      </x:c>
      <x:c r="I1597" s="14" t="n">
        <x:v>0</x:v>
      </x:c>
      <x:c r="J1597" s="7" t="str">
        <x:v>adopt</x:v>
      </x:c>
      <x:c r="K1597" s="7" t="str">
        <x:v>none</x:v>
      </x:c>
      <x:c r="L1597" s="14" t="n">
        <x:f>IF(G1597&lt;=I1597,0,MAX(0,L1596)+IF(E1597="via",MAX(0,G1597-MAX(F1597,I1597)),0))</x:f>
        <x:v>16.596666666666664</x:v>
      </x:c>
    </x:row>
    <x:row r="1598" ht="42" customHeight="1">
      <x:c r="A1598" s="12" t="str">
        <x:v>DP3-B-R3</x:v>
      </x:c>
      <x:c r="B1598" s="12" t="str">
        <x:v>U11</x:v>
      </x:c>
      <x:c r="C1598" s="12" t="str">
        <x:v>agent_ingress</x:v>
      </x:c>
      <x:c r="D1598" s="12" t="str">
        <x:v>Agent 요청 전송</x:v>
      </x:c>
      <x:c r="E1598" s="12" t="str">
        <x:v>via</x:v>
      </x:c>
      <x:c r="F1598" s="13" t="n">
        <x:v>16.556666666666665</x:v>
      </x:c>
      <x:c r="G1598" s="13" t="n">
        <x:v>16.596666666666664</x:v>
      </x:c>
      <x:c r="H1598" s="13" t="n">
        <x:v>0.04</x:v>
      </x:c>
      <x:c r="I1598" s="13" t="n">
        <x:v>0</x:v>
      </x:c>
      <x:c r="J1598" s="12" t="str">
        <x:v>adopt</x:v>
      </x:c>
      <x:c r="K1598" s="12" t="str">
        <x:v>none</x:v>
      </x:c>
      <x:c r="L1598" s="13" t="n">
        <x:f>IF(G1598&lt;=I1598,0,MAX(0,L1596)+IF(E1598="via",MAX(0,G1598-MAX(F1598,I1598)),0))</x:f>
        <x:v>16.596666666666664</x:v>
      </x:c>
    </x:row>
    <x:row r="1599" ht="42" customHeight="1">
      <x:c r="A1599" s="7" t="str">
        <x:v>DP3-B-R3</x:v>
      </x:c>
      <x:c r="B1599" s="7" t="str">
        <x:v>U11</x:v>
      </x:c>
      <x:c r="C1599" s="7" t="str">
        <x:v>agent_result</x:v>
      </x:c>
      <x:c r="D1599" s="7" t="str">
        <x:v>외부 Agent 업무</x:v>
      </x:c>
      <x:c r="E1599" s="7" t="str">
        <x:v>external</x:v>
      </x:c>
      <x:c r="F1599" s="14" t="n">
        <x:v>16.596666666666664</x:v>
      </x:c>
      <x:c r="G1599" s="14" t="n">
        <x:v>24.596666666666664</x:v>
      </x:c>
      <x:c r="H1599" s="14" t="n">
        <x:v>8</x:v>
      </x:c>
      <x:c r="I1599" s="14" t="n">
        <x:v>0</x:v>
      </x:c>
      <x:c r="J1599" s="7" t="str">
        <x:v>agent_ingress</x:v>
      </x:c>
      <x:c r="K1599" s="7" t="str">
        <x:v>none</x:v>
      </x:c>
      <x:c r="L1599" s="14" t="n">
        <x:f>IF(G1599&lt;=I1599,0,MAX(0,L1598)+IF(E1599="via",MAX(0,G1599-MAX(F1599,I1599)),0))</x:f>
        <x:v>16.596666666666664</x:v>
      </x:c>
    </x:row>
    <x:row r="1600" ht="42" customHeight="1">
      <x:c r="A1600" s="12" t="str">
        <x:v>DP3-B-R3</x:v>
      </x:c>
      <x:c r="B1600" s="12" t="str">
        <x:v>U11</x:v>
      </x:c>
      <x:c r="C1600" s="12" t="str">
        <x:v>result_display</x:v>
      </x:c>
      <x:c r="D1600" s="12" t="str">
        <x:v>최종 결과 상세 표시</x:v>
      </x:c>
      <x:c r="E1600" s="12" t="str">
        <x:v>via</x:v>
      </x:c>
      <x:c r="F1600" s="13" t="n">
        <x:v>24.596666666666664</x:v>
      </x:c>
      <x:c r="G1600" s="13" t="n">
        <x:v>24.636666666666663</x:v>
      </x:c>
      <x:c r="H1600" s="13" t="n">
        <x:v>0.04</x:v>
      </x:c>
      <x:c r="I1600" s="13" t="n">
        <x:v>0</x:v>
      </x:c>
      <x:c r="J1600" s="12" t="str">
        <x:v>agent_result</x:v>
      </x:c>
      <x:c r="K1600" s="12" t="str">
        <x:v>none</x:v>
      </x:c>
      <x:c r="L1600" s="13" t="n">
        <x:f>IF(G1600&lt;=I1600,0,MAX(0,L1599)+IF(E1600="via",MAX(0,G1600-MAX(F1600,I1600)),0))</x:f>
        <x:v>16.636666666666663</x:v>
      </x:c>
    </x:row>
    <x:row r="1601" ht="42" customHeight="1">
      <x:c r="A1601" s="7" t="str">
        <x:v>DP3-B-R3</x:v>
      </x:c>
      <x:c r="B1601" s="7" t="str">
        <x:v>U11</x:v>
      </x:c>
      <x:c r="C1601" s="7" t="str">
        <x:v>response_audio</x:v>
      </x:c>
      <x:c r="D1601" s="7" t="str">
        <x:v>선택한 응답 음성 생성</x:v>
      </x:c>
      <x:c r="E1601" s="7" t="str">
        <x:v>via</x:v>
      </x:c>
      <x:c r="F1601" s="14" t="n">
        <x:v>24.596666666666664</x:v>
      </x:c>
      <x:c r="G1601" s="14" t="n">
        <x:v>26.484666666666662</x:v>
      </x:c>
      <x:c r="H1601" s="14" t="n">
        <x:v>1.888</x:v>
      </x:c>
      <x:c r="I1601" s="14" t="n">
        <x:v>0</x:v>
      </x:c>
      <x:c r="J1601" s="7" t="str">
        <x:v>agent_result</x:v>
      </x:c>
      <x:c r="K1601" s="7" t="str">
        <x:v>speech</x:v>
      </x:c>
      <x:c r="L1601" s="14" t="n">
        <x:f>IF(G1601&lt;=I1601,0,MAX(0,L1599)+IF(E1601="via",MAX(0,G1601-MAX(F1601,I1601)),0))</x:f>
        <x:v>18.484666666666662</x:v>
      </x:c>
    </x:row>
    <x:row r="1602" ht="42" customHeight="1">
      <x:c r="A1602" s="12" t="str">
        <x:v>DP3-B-R3</x:v>
      </x:c>
      <x:c r="B1602" s="12" t="str">
        <x:v>U11</x:v>
      </x:c>
      <x:c r="C1602" s="12" t="str">
        <x:v>intent_audio</x:v>
      </x:c>
      <x:c r="D1602" s="12" t="str">
        <x:v>채택한 구체적 수행 의도의 짧은 음성</x:v>
      </x:c>
      <x:c r="E1602" s="12" t="str">
        <x:v>via</x:v>
      </x:c>
      <x:c r="F1602" s="13" t="n">
        <x:v>16.556666666666665</x:v>
      </x:c>
      <x:c r="G1602" s="13" t="n">
        <x:v>17.690666666666665</x:v>
      </x:c>
      <x:c r="H1602" s="13" t="n">
        <x:v>1.134</x:v>
      </x:c>
      <x:c r="I1602" s="13" t="n">
        <x:v>0</x:v>
      </x:c>
      <x:c r="J1602" s="12" t="str">
        <x:v>adopt</x:v>
      </x:c>
      <x:c r="K1602" s="12" t="str">
        <x:v>speech</x:v>
      </x:c>
      <x:c r="L1602" s="13" t="n">
        <x:f>IF(G1602&lt;=I1602,0,MAX(0,L1596)+IF(E1602="via",MAX(0,G1602-MAX(F1602,I1602)),0))</x:f>
        <x:v>17.690666666666665</x:v>
      </x:c>
    </x:row>
    <x:row r="1603" ht="42" customHeight="1">
      <x:c r="A1603" s="7" t="str">
        <x:v>DP3-B-R3</x:v>
      </x:c>
      <x:c r="B1603" s="7" t="str">
        <x:v>U11</x:v>
      </x:c>
      <x:c r="C1603" s="7" t="str">
        <x:v>first_chunk</x:v>
      </x:c>
      <x:c r="D1603" s="7" t="str">
        <x:v>같은 생성 job의 유효 첫 chunk 관측</x:v>
      </x:c>
      <x:c r="E1603" s="7" t="str">
        <x:v>via</x:v>
      </x:c>
      <x:c r="F1603" s="14" t="n">
        <x:v>16.556666666666665</x:v>
      </x:c>
      <x:c r="G1603" s="14" t="n">
        <x:v>16.990666666666666</x:v>
      </x:c>
      <x:c r="H1603" s="14" t="n">
        <x:v>0.434</x:v>
      </x:c>
      <x:c r="I1603" s="14" t="n">
        <x:v>0</x:v>
      </x:c>
      <x:c r="J1603" s="7" t="str">
        <x:v>adopt</x:v>
      </x:c>
      <x:c r="K1603" s="7" t="str">
        <x:v>none</x:v>
      </x:c>
      <x:c r="L1603" s="14" t="n">
        <x:f>IF(G1603&lt;=I1603,0,MAX(0,L1596)+IF(E1603="via",MAX(0,G1603-MAX(F1603,I1603)),0))</x:f>
        <x:v>16.990666666666666</x:v>
      </x:c>
    </x:row>
    <x:row r="1604" ht="42" customHeight="1">
      <x:c r="A1604" s="12" t="str">
        <x:v>DP3-B-R3</x:v>
      </x:c>
      <x:c r="B1604" s="12" t="str">
        <x:v>U11</x:v>
      </x:c>
      <x:c r="C1604" s="12" t="str">
        <x:v>first_audio_output</x:v>
      </x:c>
      <x:c r="D1604" s="12" t="str">
        <x:v>공통 장치의 첫 음성 출력</x:v>
      </x:c>
      <x:c r="E1604" s="12" t="str">
        <x:v>via</x:v>
      </x:c>
      <x:c r="F1604" s="13" t="n">
        <x:v>16.990666666666666</x:v>
      </x:c>
      <x:c r="G1604" s="13" t="n">
        <x:v>17.030666666666665</x:v>
      </x:c>
      <x:c r="H1604" s="13" t="n">
        <x:v>0.04</x:v>
      </x:c>
      <x:c r="I1604" s="13" t="n">
        <x:v>0</x:v>
      </x:c>
      <x:c r="J1604" s="12" t="str">
        <x:v>adopt, first_chunk</x:v>
      </x:c>
      <x:c r="K1604" s="12" t="str">
        <x:v>none</x:v>
      </x:c>
      <x:c r="L1604" s="13" t="n">
        <x:f>IF(G1604&lt;=I1604,0,MAX(0,L1596,L1603)+IF(E1604="via",MAX(0,G1604-MAX(F1604,I1604)),0))</x:f>
        <x:v>17.030666666666665</x:v>
      </x:c>
    </x:row>
    <x:row r="1605" ht="42" customHeight="1">
      <x:c r="A1605" s="7" t="str">
        <x:v>DP3-B-R3</x:v>
      </x:c>
      <x:c r="B1605" s="7" t="str">
        <x:v>U11</x:v>
      </x:c>
      <x:c r="C1605" s="7" t="str">
        <x:v>next_speech_selection</x:v>
      </x:c>
      <x:c r="D1605" s="7" t="str">
        <x:v>현재 발화 재생 후 다음 응답 선택</x:v>
      </x:c>
      <x:c r="E1605" s="7" t="str">
        <x:v>external</x:v>
      </x:c>
      <x:c r="F1605" s="14" t="n">
        <x:v>17.030666666666665</x:v>
      </x:c>
      <x:c r="G1605" s="14" t="n">
        <x:v>20.030666666666665</x:v>
      </x:c>
      <x:c r="H1605" s="14" t="n">
        <x:v>3</x:v>
      </x:c>
      <x:c r="I1605" s="14" t="n">
        <x:v>0</x:v>
      </x:c>
      <x:c r="J1605" s="7" t="str">
        <x:v>first_audio_output</x:v>
      </x:c>
      <x:c r="K1605" s="7" t="str">
        <x:v>none</x:v>
      </x:c>
      <x:c r="L1605" s="14" t="n">
        <x:f>IF(G1605&lt;=I1605,0,MAX(0,L1604)+IF(E1605="via",MAX(0,G1605-MAX(F1605,I1605)),0))</x:f>
        <x:v>17.030666666666665</x:v>
      </x:c>
    </x:row>
    <x:row r="1606" ht="42" customHeight="1">
      <x:c r="A1606" s="12" t="str">
        <x:v>DP3-B-R3</x:v>
      </x:c>
      <x:c r="B1606" s="12" t="str">
        <x:v>U11</x:v>
      </x:c>
      <x:c r="C1606" s="12" t="str">
        <x:v>terminal</x:v>
      </x:c>
      <x:c r="D1606" s="12" t="str">
        <x:v>공통 목표 최종 상태와 전체 음성 준비</x:v>
      </x:c>
      <x:c r="E1606" s="12" t="str">
        <x:v>via</x:v>
      </x:c>
      <x:c r="F1606" s="13" t="n">
        <x:v>26.484666666666662</x:v>
      </x:c>
      <x:c r="G1606" s="13" t="n">
        <x:v>26.484666666666662</x:v>
      </x:c>
      <x:c r="H1606" s="13" t="n">
        <x:v>0</x:v>
      </x:c>
      <x:c r="I1606" s="13" t="n">
        <x:v>0</x:v>
      </x:c>
      <x:c r="J1606" s="12" t="str">
        <x:v>result_display, response_audio, intent_audio, first_audio_output</x:v>
      </x:c>
      <x:c r="K1606" s="12" t="str">
        <x:v>none</x:v>
      </x:c>
      <x:c r="L1606" s="13" t="n">
        <x:f>IF(G1606&lt;=I1606,0,MAX(0,L1600,L1601,L1602,L1604)+IF(E1606="via",MAX(0,G1606-MAX(F1606,I1606)),0))</x:f>
        <x:v>18.484666666666662</x:v>
      </x:c>
    </x:row>
    <x:row r="1607" ht="42" customHeight="1">
      <x:c r="A1607" s="7" t="str">
        <x:v>DP3-B-R3</x:v>
      </x:c>
      <x:c r="B1607" s="7" t="str">
        <x:v>U12</x:v>
      </x:c>
      <x:c r="C1607" s="7" t="str">
        <x:v>input_end</x:v>
      </x:c>
      <x:c r="D1607" s="7" t="str">
        <x:v>사용자 입력 종료</x:v>
      </x:c>
      <x:c r="E1607" s="7" t="str">
        <x:v>external</x:v>
      </x:c>
      <x:c r="F1607" s="14" t="n">
        <x:v>0</x:v>
      </x:c>
      <x:c r="G1607" s="14" t="n">
        <x:v>0</x:v>
      </x:c>
      <x:c r="H1607" s="14" t="n">
        <x:v>0</x:v>
      </x:c>
      <x:c r="I1607" s="14" t="n">
        <x:v>0</x:v>
      </x:c>
      <x:c r="J1607" s="7" t="str"/>
      <x:c r="K1607" s="7" t="str">
        <x:v>none</x:v>
      </x:c>
      <x:c r="L1607" s="14" t="n">
        <x:f>IF(G1607&lt;=I1607,0,MAX(0)+IF(E1607="via",MAX(0,G1607-MAX(F1607,I1607)),0))</x:f>
        <x:v>0</x:v>
      </x:c>
    </x:row>
    <x:row r="1608" ht="42" customHeight="1">
      <x:c r="A1608" s="12" t="str">
        <x:v>DP3-B-R3</x:v>
      </x:c>
      <x:c r="B1608" s="12" t="str">
        <x:v>U12</x:v>
      </x:c>
      <x:c r="C1608" s="12" t="str">
        <x:v>intake</x:v>
      </x:c>
      <x:c r="D1608" s="12" t="str">
        <x:v>입력 확정</x:v>
      </x:c>
      <x:c r="E1608" s="12" t="str">
        <x:v>via</x:v>
      </x:c>
      <x:c r="F1608" s="13" t="n">
        <x:v>0</x:v>
      </x:c>
      <x:c r="G1608" s="13" t="n">
        <x:v>0.3</x:v>
      </x:c>
      <x:c r="H1608" s="13" t="n">
        <x:v>0.3</x:v>
      </x:c>
      <x:c r="I1608" s="13" t="n">
        <x:v>0</x:v>
      </x:c>
      <x:c r="J1608" s="12" t="str">
        <x:v>input_end</x:v>
      </x:c>
      <x:c r="K1608" s="12" t="str">
        <x:v>none</x:v>
      </x:c>
      <x:c r="L1608" s="13" t="n">
        <x:f>IF(G1608&lt;=I1608,0,MAX(0,L1607)+IF(E1608="via",MAX(0,G1608-MAX(F1608,I1608)),0))</x:f>
        <x:v>0.3</x:v>
      </x:c>
    </x:row>
    <x:row r="1609" ht="42" customHeight="1">
      <x:c r="A1609" s="7" t="str">
        <x:v>DP3-B-R3</x:v>
      </x:c>
      <x:c r="B1609" s="7" t="str">
        <x:v>U12</x:v>
      </x:c>
      <x:c r="C1609" s="7" t="str">
        <x:v>read</x:v>
      </x:c>
      <x:c r="D1609" s="7" t="str">
        <x:v>공통 허용 원본 조회</x:v>
      </x:c>
      <x:c r="E1609" s="7" t="str">
        <x:v>via</x:v>
      </x:c>
      <x:c r="F1609" s="14" t="n">
        <x:v>0.3</x:v>
      </x:c>
      <x:c r="G1609" s="14" t="n">
        <x:v>0.38</x:v>
      </x:c>
      <x:c r="H1609" s="14" t="n">
        <x:v>0.08</x:v>
      </x:c>
      <x:c r="I1609" s="14" t="n">
        <x:v>0</x:v>
      </x:c>
      <x:c r="J1609" s="7" t="str">
        <x:v>intake</x:v>
      </x:c>
      <x:c r="K1609" s="7" t="str">
        <x:v>none</x:v>
      </x:c>
      <x:c r="L1609" s="14" t="n">
        <x:f>IF(G1609&lt;=I1609,0,MAX(0,L1608)+IF(E1609="via",MAX(0,G1609-MAX(F1609,I1609)),0))</x:f>
        <x:v>0.38</x:v>
      </x:c>
    </x:row>
    <x:row r="1610" ht="42" customHeight="1">
      <x:c r="A1610" s="12" t="str">
        <x:v>DP3-B-R3</x:v>
      </x:c>
      <x:c r="B1610" s="12" t="str">
        <x:v>U12</x:v>
      </x:c>
      <x:c r="C1610" s="12" t="str">
        <x:v>pre_ui_boot</x:v>
      </x:c>
      <x:c r="D1610" s="12" t="str">
        <x:v>ui runtime 시작</x:v>
      </x:c>
      <x:c r="E1610" s="12" t="str">
        <x:v>via</x:v>
      </x:c>
      <x:c r="F1610" s="13" t="n">
        <x:v>-12</x:v>
      </x:c>
      <x:c r="G1610" s="13" t="n">
        <x:v>-10.8</x:v>
      </x:c>
      <x:c r="H1610" s="13" t="n">
        <x:v>1.2</x:v>
      </x:c>
      <x:c r="I1610" s="13" t="n">
        <x:v>0</x:v>
      </x:c>
      <x:c r="J1610" s="12" t="str"/>
      <x:c r="K1610" s="12" t="str">
        <x:v>visual</x:v>
      </x:c>
      <x:c r="L1610" s="13" t="n">
        <x:f>IF(G1610&lt;=I1610,0,MAX(0)+IF(E1610="via",MAX(0,G1610-MAX(F1610,I1610)),0))</x:f>
        <x:v>0</x:v>
      </x:c>
    </x:row>
    <x:row r="1611" ht="42" customHeight="1">
      <x:c r="A1611" s="7" t="str">
        <x:v>DP3-B-R3</x:v>
      </x:c>
      <x:c r="B1611" s="7" t="str">
        <x:v>U12</x:v>
      </x:c>
      <x:c r="C1611" s="7" t="str">
        <x:v>pre_ui_load</x:v>
      </x:c>
      <x:c r="D1611" s="7" t="str">
        <x:v>ui 모델 적재</x:v>
      </x:c>
      <x:c r="E1611" s="7" t="str">
        <x:v>via</x:v>
      </x:c>
      <x:c r="F1611" s="14" t="n">
        <x:v>-10.8</x:v>
      </x:c>
      <x:c r="G1611" s="14" t="n">
        <x:v>-9.700000000000001</x:v>
      </x:c>
      <x:c r="H1611" s="14" t="n">
        <x:v>1.1</x:v>
      </x:c>
      <x:c r="I1611" s="14" t="n">
        <x:v>0</x:v>
      </x:c>
      <x:c r="J1611" s="7" t="str">
        <x:v>pre_ui_boot</x:v>
      </x:c>
      <x:c r="K1611" s="7" t="str">
        <x:v>visual</x:v>
      </x:c>
      <x:c r="L1611" s="14" t="n">
        <x:f>IF(G1611&lt;=I1611,0,MAX(0,L1610)+IF(E1611="via",MAX(0,G1611-MAX(F1611,I1611)),0))</x:f>
        <x:v>0</x:v>
      </x:c>
    </x:row>
    <x:row r="1612" ht="42" customHeight="1">
      <x:c r="A1612" s="12" t="str">
        <x:v>DP3-B-R3</x:v>
      </x:c>
      <x:c r="B1612" s="12" t="str">
        <x:v>U12</x:v>
      </x:c>
      <x:c r="C1612" s="12" t="str">
        <x:v>pre_ui_infer</x:v>
      </x:c>
      <x:c r="D1612" s="12" t="str">
        <x:v>ui 후보 생산</x:v>
      </x:c>
      <x:c r="E1612" s="12" t="str">
        <x:v>via</x:v>
      </x:c>
      <x:c r="F1612" s="13" t="n">
        <x:v>-9.700000000000001</x:v>
      </x:c>
      <x:c r="G1612" s="13" t="n">
        <x:v>-8.100000000000001</x:v>
      </x:c>
      <x:c r="H1612" s="13" t="n">
        <x:v>1.6</x:v>
      </x:c>
      <x:c r="I1612" s="13" t="n">
        <x:v>0</x:v>
      </x:c>
      <x:c r="J1612" s="12" t="str">
        <x:v>pre_ui_load</x:v>
      </x:c>
      <x:c r="K1612" s="12" t="str">
        <x:v>visual</x:v>
      </x:c>
      <x:c r="L1612" s="13" t="n">
        <x:f>IF(G1612&lt;=I1612,0,MAX(0,L1611)+IF(E1612="via",MAX(0,G1612-MAX(F1612,I1612)),0))</x:f>
        <x:v>0</x:v>
      </x:c>
    </x:row>
    <x:row r="1613" ht="42" customHeight="1">
      <x:c r="A1613" s="7" t="str">
        <x:v>DP3-B-R3</x:v>
      </x:c>
      <x:c r="B1613" s="7" t="str">
        <x:v>U12</x:v>
      </x:c>
      <x:c r="C1613" s="7" t="str">
        <x:v>pre_ui_ipc</x:v>
      </x:c>
      <x:c r="D1613" s="7" t="str">
        <x:v>ui 결과 IPC</x:v>
      </x:c>
      <x:c r="E1613" s="7" t="str">
        <x:v>via</x:v>
      </x:c>
      <x:c r="F1613" s="14" t="n">
        <x:v>-8.100000000000001</x:v>
      </x:c>
      <x:c r="G1613" s="14" t="n">
        <x:v>-8.040000000000001</x:v>
      </x:c>
      <x:c r="H1613" s="14" t="n">
        <x:v>0.06</x:v>
      </x:c>
      <x:c r="I1613" s="14" t="n">
        <x:v>0</x:v>
      </x:c>
      <x:c r="J1613" s="7" t="str">
        <x:v>pre_ui_infer</x:v>
      </x:c>
      <x:c r="K1613" s="7" t="str">
        <x:v>none</x:v>
      </x:c>
      <x:c r="L1613" s="14" t="n">
        <x:f>IF(G1613&lt;=I1613,0,MAX(0,L1612)+IF(E1613="via",MAX(0,G1613-MAX(F1613,I1613)),0))</x:f>
        <x:v>0</x:v>
      </x:c>
    </x:row>
    <x:row r="1614" ht="42" customHeight="1">
      <x:c r="A1614" s="12" t="str">
        <x:v>DP3-B-R3</x:v>
      </x:c>
      <x:c r="B1614" s="12" t="str">
        <x:v>U12</x:v>
      </x:c>
      <x:c r="C1614" s="12" t="str">
        <x:v>pre_adopt</x:v>
      </x:c>
      <x:c r="D1614" s="12" t="str">
        <x:v>선행 후보의 요청 의미 확정</x:v>
      </x:c>
      <x:c r="E1614" s="12" t="str">
        <x:v>via</x:v>
      </x:c>
      <x:c r="F1614" s="13" t="n">
        <x:v>-8.040000000000001</x:v>
      </x:c>
      <x:c r="G1614" s="13" t="n">
        <x:v>-6.853333333333334</x:v>
      </x:c>
      <x:c r="H1614" s="13" t="n">
        <x:v>1.1866666666666668</x:v>
      </x:c>
      <x:c r="I1614" s="13" t="n">
        <x:v>0</x:v>
      </x:c>
      <x:c r="J1614" s="12" t="str">
        <x:v>pre_ui_ipc</x:v>
      </x:c>
      <x:c r="K1614" s="12" t="str">
        <x:v>semantic</x:v>
      </x:c>
      <x:c r="L1614" s="13" t="n">
        <x:f>IF(G1614&lt;=I1614,0,MAX(0,L1613)+IF(E1614="via",MAX(0,G1614-MAX(F1614,I1614)),0))</x:f>
        <x:v>0</x:v>
      </x:c>
    </x:row>
    <x:row r="1615" ht="42" customHeight="1">
      <x:c r="A1615" s="7" t="str">
        <x:v>DP3-B-R3</x:v>
      </x:c>
      <x:c r="B1615" s="7" t="str">
        <x:v>U12</x:v>
      </x:c>
      <x:c r="C1615" s="7" t="str">
        <x:v>reuse_screen</x:v>
      </x:c>
      <x:c r="D1615" s="7" t="str">
        <x:v>이미 확정한 화면 대상 재사용</x:v>
      </x:c>
      <x:c r="E1615" s="7" t="str">
        <x:v>via</x:v>
      </x:c>
      <x:c r="F1615" s="14" t="n">
        <x:v>0.38</x:v>
      </x:c>
      <x:c r="G1615" s="14" t="n">
        <x:v>0.46</x:v>
      </x:c>
      <x:c r="H1615" s="14" t="n">
        <x:v>0.08</x:v>
      </x:c>
      <x:c r="I1615" s="14" t="n">
        <x:v>0</x:v>
      </x:c>
      <x:c r="J1615" s="7" t="str">
        <x:v>read, pre_adopt</x:v>
      </x:c>
      <x:c r="K1615" s="7" t="str">
        <x:v>none</x:v>
      </x:c>
      <x:c r="L1615" s="14" t="n">
        <x:f>IF(G1615&lt;=I1615,0,MAX(0,L1609,L1614)+IF(E1615="via",MAX(0,G1615-MAX(F1615,I1615)),0))</x:f>
        <x:v>0.46</x:v>
      </x:c>
    </x:row>
    <x:row r="1616" ht="42" customHeight="1">
      <x:c r="A1616" s="12" t="str">
        <x:v>DP3-B-R3</x:v>
      </x:c>
      <x:c r="B1616" s="12" t="str">
        <x:v>U12</x:v>
      </x:c>
      <x:c r="C1616" s="12" t="str">
        <x:v>meaning</x:v>
      </x:c>
      <x:c r="D1616" s="12" t="str">
        <x:v>최초 요청 의미 채택 packet 생성</x:v>
      </x:c>
      <x:c r="E1616" s="12" t="str">
        <x:v>via</x:v>
      </x:c>
      <x:c r="F1616" s="13" t="n">
        <x:v>0.46</x:v>
      </x:c>
      <x:c r="G1616" s="13" t="n">
        <x:v>1.56</x:v>
      </x:c>
      <x:c r="H1616" s="13" t="n">
        <x:v>1.1</x:v>
      </x:c>
      <x:c r="I1616" s="13" t="n">
        <x:v>0</x:v>
      </x:c>
      <x:c r="J1616" s="12" t="str">
        <x:v>reuse_screen</x:v>
      </x:c>
      <x:c r="K1616" s="12" t="str">
        <x:v>semantic</x:v>
      </x:c>
      <x:c r="L1616" s="13" t="n">
        <x:f>IF(G1616&lt;=I1616,0,MAX(0,L1615)+IF(E1616="via",MAX(0,G1616-MAX(F1616,I1616)),0))</x:f>
        <x:v>1.56</x:v>
      </x:c>
    </x:row>
    <x:row r="1617" ht="42" customHeight="1">
      <x:c r="A1617" s="7" t="str">
        <x:v>DP3-B-R3</x:v>
      </x:c>
      <x:c r="B1617" s="7" t="str">
        <x:v>U12</x:v>
      </x:c>
      <x:c r="C1617" s="7" t="str">
        <x:v>adopt</x:v>
      </x:c>
      <x:c r="D1617" s="7" t="str">
        <x:v>현재 revision과 권한 검사 및 채택</x:v>
      </x:c>
      <x:c r="E1617" s="7" t="str">
        <x:v>via</x:v>
      </x:c>
      <x:c r="F1617" s="14" t="n">
        <x:v>1.56</x:v>
      </x:c>
      <x:c r="G1617" s="14" t="n">
        <x:v>1.59</x:v>
      </x:c>
      <x:c r="H1617" s="14" t="n">
        <x:v>0.03</x:v>
      </x:c>
      <x:c r="I1617" s="14" t="n">
        <x:v>0</x:v>
      </x:c>
      <x:c r="J1617" s="7" t="str">
        <x:v>meaning</x:v>
      </x:c>
      <x:c r="K1617" s="7" t="str">
        <x:v>none</x:v>
      </x:c>
      <x:c r="L1617" s="14" t="n">
        <x:f>IF(G1617&lt;=I1617,0,MAX(0,L1616)+IF(E1617="via",MAX(0,G1617-MAX(F1617,I1617)),0))</x:f>
        <x:v>1.59</x:v>
      </x:c>
    </x:row>
    <x:row r="1618" ht="42" customHeight="1">
      <x:c r="A1618" s="12" t="str">
        <x:v>DP3-B-R3</x:v>
      </x:c>
      <x:c r="B1618" s="12" t="str">
        <x:v>U12</x:v>
      </x:c>
      <x:c r="C1618" s="12" t="str">
        <x:v>first_display</x:v>
      </x:c>
      <x:c r="D1618" s="12" t="str">
        <x:v>첫 구체적 채택 내용 화면 표시</x:v>
      </x:c>
      <x:c r="E1618" s="12" t="str">
        <x:v>via</x:v>
      </x:c>
      <x:c r="F1618" s="13" t="n">
        <x:v>1.59</x:v>
      </x:c>
      <x:c r="G1618" s="13" t="n">
        <x:v>1.6300000000000001</x:v>
      </x:c>
      <x:c r="H1618" s="13" t="n">
        <x:v>0.04</x:v>
      </x:c>
      <x:c r="I1618" s="13" t="n">
        <x:v>0</x:v>
      </x:c>
      <x:c r="J1618" s="12" t="str">
        <x:v>adopt</x:v>
      </x:c>
      <x:c r="K1618" s="12" t="str">
        <x:v>none</x:v>
      </x:c>
      <x:c r="L1618" s="13" t="n">
        <x:f>IF(G1618&lt;=I1618,0,MAX(0,L1617)+IF(E1618="via",MAX(0,G1618-MAX(F1618,I1618)),0))</x:f>
        <x:v>1.6300000000000001</x:v>
      </x:c>
    </x:row>
    <x:row r="1619" ht="42" customHeight="1">
      <x:c r="A1619" s="7" t="str">
        <x:v>DP3-B-R3</x:v>
      </x:c>
      <x:c r="B1619" s="7" t="str">
        <x:v>U12</x:v>
      </x:c>
      <x:c r="C1619" s="7" t="str">
        <x:v>agent_ingress</x:v>
      </x:c>
      <x:c r="D1619" s="7" t="str">
        <x:v>Agent 요청 전송</x:v>
      </x:c>
      <x:c r="E1619" s="7" t="str">
        <x:v>via</x:v>
      </x:c>
      <x:c r="F1619" s="14" t="n">
        <x:v>1.59</x:v>
      </x:c>
      <x:c r="G1619" s="14" t="n">
        <x:v>1.6300000000000001</x:v>
      </x:c>
      <x:c r="H1619" s="14" t="n">
        <x:v>0.04</x:v>
      </x:c>
      <x:c r="I1619" s="14" t="n">
        <x:v>0</x:v>
      </x:c>
      <x:c r="J1619" s="7" t="str">
        <x:v>adopt</x:v>
      </x:c>
      <x:c r="K1619" s="7" t="str">
        <x:v>none</x:v>
      </x:c>
      <x:c r="L1619" s="14" t="n">
        <x:f>IF(G1619&lt;=I1619,0,MAX(0,L1617)+IF(E1619="via",MAX(0,G1619-MAX(F1619,I1619)),0))</x:f>
        <x:v>1.6300000000000001</x:v>
      </x:c>
    </x:row>
    <x:row r="1620" ht="42" customHeight="1">
      <x:c r="A1620" s="12" t="str">
        <x:v>DP3-B-R3</x:v>
      </x:c>
      <x:c r="B1620" s="12" t="str">
        <x:v>U12</x:v>
      </x:c>
      <x:c r="C1620" s="12" t="str">
        <x:v>agent_result</x:v>
      </x:c>
      <x:c r="D1620" s="12" t="str">
        <x:v>외부 Agent 업무</x:v>
      </x:c>
      <x:c r="E1620" s="12" t="str">
        <x:v>external</x:v>
      </x:c>
      <x:c r="F1620" s="13" t="n">
        <x:v>1.6300000000000001</x:v>
      </x:c>
      <x:c r="G1620" s="13" t="n">
        <x:v>9.63</x:v>
      </x:c>
      <x:c r="H1620" s="13" t="n">
        <x:v>8</x:v>
      </x:c>
      <x:c r="I1620" s="13" t="n">
        <x:v>0</x:v>
      </x:c>
      <x:c r="J1620" s="12" t="str">
        <x:v>agent_ingress</x:v>
      </x:c>
      <x:c r="K1620" s="12" t="str">
        <x:v>none</x:v>
      </x:c>
      <x:c r="L1620" s="13" t="n">
        <x:f>IF(G1620&lt;=I1620,0,MAX(0,L1619)+IF(E1620="via",MAX(0,G1620-MAX(F1620,I1620)),0))</x:f>
        <x:v>1.6300000000000001</x:v>
      </x:c>
    </x:row>
    <x:row r="1621" ht="42" customHeight="1">
      <x:c r="A1621" s="7" t="str">
        <x:v>DP3-B-R3</x:v>
      </x:c>
      <x:c r="B1621" s="7" t="str">
        <x:v>U12</x:v>
      </x:c>
      <x:c r="C1621" s="7" t="str">
        <x:v>result_display</x:v>
      </x:c>
      <x:c r="D1621" s="7" t="str">
        <x:v>최종 결과 상세 표시</x:v>
      </x:c>
      <x:c r="E1621" s="7" t="str">
        <x:v>via</x:v>
      </x:c>
      <x:c r="F1621" s="14" t="n">
        <x:v>9.63</x:v>
      </x:c>
      <x:c r="G1621" s="14" t="n">
        <x:v>9.67</x:v>
      </x:c>
      <x:c r="H1621" s="14" t="n">
        <x:v>0.04</x:v>
      </x:c>
      <x:c r="I1621" s="14" t="n">
        <x:v>0</x:v>
      </x:c>
      <x:c r="J1621" s="7" t="str">
        <x:v>agent_result</x:v>
      </x:c>
      <x:c r="K1621" s="7" t="str">
        <x:v>none</x:v>
      </x:c>
      <x:c r="L1621" s="14" t="n">
        <x:f>IF(G1621&lt;=I1621,0,MAX(0,L1620)+IF(E1621="via",MAX(0,G1621-MAX(F1621,I1621)),0))</x:f>
        <x:v>1.6699999999999993</x:v>
      </x:c>
    </x:row>
    <x:row r="1622" ht="42" customHeight="1">
      <x:c r="A1622" s="12" t="str">
        <x:v>DP3-B-R3</x:v>
      </x:c>
      <x:c r="B1622" s="12" t="str">
        <x:v>U12</x:v>
      </x:c>
      <x:c r="C1622" s="12" t="str">
        <x:v>response_audio</x:v>
      </x:c>
      <x:c r="D1622" s="12" t="str">
        <x:v>선택한 응답 음성 생성</x:v>
      </x:c>
      <x:c r="E1622" s="12" t="str">
        <x:v>via</x:v>
      </x:c>
      <x:c r="F1622" s="13" t="n">
        <x:v>9.63</x:v>
      </x:c>
      <x:c r="G1622" s="13" t="n">
        <x:v>11.518</x:v>
      </x:c>
      <x:c r="H1622" s="13" t="n">
        <x:v>1.888</x:v>
      </x:c>
      <x:c r="I1622" s="13" t="n">
        <x:v>0</x:v>
      </x:c>
      <x:c r="J1622" s="12" t="str">
        <x:v>agent_result</x:v>
      </x:c>
      <x:c r="K1622" s="12" t="str">
        <x:v>speech</x:v>
      </x:c>
      <x:c r="L1622" s="13" t="n">
        <x:f>IF(G1622&lt;=I1622,0,MAX(0,L1620)+IF(E1622="via",MAX(0,G1622-MAX(F1622,I1622)),0))</x:f>
        <x:v>3.518</x:v>
      </x:c>
    </x:row>
    <x:row r="1623" ht="42" customHeight="1">
      <x:c r="A1623" s="7" t="str">
        <x:v>DP3-B-R3</x:v>
      </x:c>
      <x:c r="B1623" s="7" t="str">
        <x:v>U12</x:v>
      </x:c>
      <x:c r="C1623" s="7" t="str">
        <x:v>intent_audio</x:v>
      </x:c>
      <x:c r="D1623" s="7" t="str">
        <x:v>채택한 구체적 수행 의도의 짧은 음성</x:v>
      </x:c>
      <x:c r="E1623" s="7" t="str">
        <x:v>via</x:v>
      </x:c>
      <x:c r="F1623" s="14" t="n">
        <x:v>1.59</x:v>
      </x:c>
      <x:c r="G1623" s="14" t="n">
        <x:v>2.724</x:v>
      </x:c>
      <x:c r="H1623" s="14" t="n">
        <x:v>1.134</x:v>
      </x:c>
      <x:c r="I1623" s="14" t="n">
        <x:v>0</x:v>
      </x:c>
      <x:c r="J1623" s="7" t="str">
        <x:v>adopt</x:v>
      </x:c>
      <x:c r="K1623" s="7" t="str">
        <x:v>speech</x:v>
      </x:c>
      <x:c r="L1623" s="14" t="n">
        <x:f>IF(G1623&lt;=I1623,0,MAX(0,L1617)+IF(E1623="via",MAX(0,G1623-MAX(F1623,I1623)),0))</x:f>
        <x:v>2.724</x:v>
      </x:c>
    </x:row>
    <x:row r="1624" ht="42" customHeight="1">
      <x:c r="A1624" s="12" t="str">
        <x:v>DP3-B-R3</x:v>
      </x:c>
      <x:c r="B1624" s="12" t="str">
        <x:v>U12</x:v>
      </x:c>
      <x:c r="C1624" s="12" t="str">
        <x:v>first_chunk</x:v>
      </x:c>
      <x:c r="D1624" s="12" t="str">
        <x:v>같은 생성 job의 유효 첫 chunk 관측</x:v>
      </x:c>
      <x:c r="E1624" s="12" t="str">
        <x:v>via</x:v>
      </x:c>
      <x:c r="F1624" s="13" t="n">
        <x:v>1.59</x:v>
      </x:c>
      <x:c r="G1624" s="13" t="n">
        <x:v>2.024</x:v>
      </x:c>
      <x:c r="H1624" s="13" t="n">
        <x:v>0.434</x:v>
      </x:c>
      <x:c r="I1624" s="13" t="n">
        <x:v>0</x:v>
      </x:c>
      <x:c r="J1624" s="12" t="str">
        <x:v>adopt</x:v>
      </x:c>
      <x:c r="K1624" s="12" t="str">
        <x:v>none</x:v>
      </x:c>
      <x:c r="L1624" s="13" t="n">
        <x:f>IF(G1624&lt;=I1624,0,MAX(0,L1617)+IF(E1624="via",MAX(0,G1624-MAX(F1624,I1624)),0))</x:f>
        <x:v>2.024</x:v>
      </x:c>
    </x:row>
    <x:row r="1625" ht="42" customHeight="1">
      <x:c r="A1625" s="7" t="str">
        <x:v>DP3-B-R3</x:v>
      </x:c>
      <x:c r="B1625" s="7" t="str">
        <x:v>U12</x:v>
      </x:c>
      <x:c r="C1625" s="7" t="str">
        <x:v>first_audio_output</x:v>
      </x:c>
      <x:c r="D1625" s="7" t="str">
        <x:v>공통 장치의 첫 음성 출력</x:v>
      </x:c>
      <x:c r="E1625" s="7" t="str">
        <x:v>via</x:v>
      </x:c>
      <x:c r="F1625" s="14" t="n">
        <x:v>2.024</x:v>
      </x:c>
      <x:c r="G1625" s="14" t="n">
        <x:v>2.064</x:v>
      </x:c>
      <x:c r="H1625" s="14" t="n">
        <x:v>0.04</x:v>
      </x:c>
      <x:c r="I1625" s="14" t="n">
        <x:v>0</x:v>
      </x:c>
      <x:c r="J1625" s="7" t="str">
        <x:v>adopt, first_chunk</x:v>
      </x:c>
      <x:c r="K1625" s="7" t="str">
        <x:v>none</x:v>
      </x:c>
      <x:c r="L1625" s="14" t="n">
        <x:f>IF(G1625&lt;=I1625,0,MAX(0,L1617,L1624)+IF(E1625="via",MAX(0,G1625-MAX(F1625,I1625)),0))</x:f>
        <x:v>2.064</x:v>
      </x:c>
    </x:row>
    <x:row r="1626" ht="42" customHeight="1">
      <x:c r="A1626" s="12" t="str">
        <x:v>DP3-B-R3</x:v>
      </x:c>
      <x:c r="B1626" s="12" t="str">
        <x:v>U12</x:v>
      </x:c>
      <x:c r="C1626" s="12" t="str">
        <x:v>next_speech_selection</x:v>
      </x:c>
      <x:c r="D1626" s="12" t="str">
        <x:v>현재 발화 재생 후 다음 응답 선택</x:v>
      </x:c>
      <x:c r="E1626" s="12" t="str">
        <x:v>external</x:v>
      </x:c>
      <x:c r="F1626" s="13" t="n">
        <x:v>2.064</x:v>
      </x:c>
      <x:c r="G1626" s="13" t="n">
        <x:v>5.064</x:v>
      </x:c>
      <x:c r="H1626" s="13" t="n">
        <x:v>3</x:v>
      </x:c>
      <x:c r="I1626" s="13" t="n">
        <x:v>0</x:v>
      </x:c>
      <x:c r="J1626" s="12" t="str">
        <x:v>first_audio_output</x:v>
      </x:c>
      <x:c r="K1626" s="12" t="str">
        <x:v>none</x:v>
      </x:c>
      <x:c r="L1626" s="13" t="n">
        <x:f>IF(G1626&lt;=I1626,0,MAX(0,L1625)+IF(E1626="via",MAX(0,G1626-MAX(F1626,I1626)),0))</x:f>
        <x:v>2.064</x:v>
      </x:c>
    </x:row>
    <x:row r="1627" ht="42" customHeight="1">
      <x:c r="A1627" s="7" t="str">
        <x:v>DP3-B-R3</x:v>
      </x:c>
      <x:c r="B1627" s="7" t="str">
        <x:v>U12</x:v>
      </x:c>
      <x:c r="C1627" s="7" t="str">
        <x:v>terminal</x:v>
      </x:c>
      <x:c r="D1627" s="7" t="str">
        <x:v>공통 목표 최종 상태와 전체 음성 준비</x:v>
      </x:c>
      <x:c r="E1627" s="7" t="str">
        <x:v>via</x:v>
      </x:c>
      <x:c r="F1627" s="14" t="n">
        <x:v>11.518</x:v>
      </x:c>
      <x:c r="G1627" s="14" t="n">
        <x:v>11.518</x:v>
      </x:c>
      <x:c r="H1627" s="14" t="n">
        <x:v>0</x:v>
      </x:c>
      <x:c r="I1627" s="14" t="n">
        <x:v>0</x:v>
      </x:c>
      <x:c r="J1627" s="7" t="str">
        <x:v>result_display, response_audio, intent_audio, first_audio_output</x:v>
      </x:c>
      <x:c r="K1627" s="7" t="str">
        <x:v>none</x:v>
      </x:c>
      <x:c r="L1627" s="14" t="n">
        <x:f>IF(G1627&lt;=I1627,0,MAX(0,L1621,L1622,L1623,L1625)+IF(E1627="via",MAX(0,G1627-MAX(F1627,I1627)),0))</x:f>
        <x:v>3.518</x:v>
      </x:c>
    </x:row>
    <x:row r="1628" ht="42" customHeight="1">
      <x:c r="A1628" s="12" t="str">
        <x:v>DP3-B-R3</x:v>
      </x:c>
      <x:c r="B1628" s="12" t="str">
        <x:v>U13</x:v>
      </x:c>
      <x:c r="C1628" s="12" t="str">
        <x:v>input_end</x:v>
      </x:c>
      <x:c r="D1628" s="12" t="str">
        <x:v>사용자 입력 종료</x:v>
      </x:c>
      <x:c r="E1628" s="12" t="str">
        <x:v>external</x:v>
      </x:c>
      <x:c r="F1628" s="13" t="n">
        <x:v>0</x:v>
      </x:c>
      <x:c r="G1628" s="13" t="n">
        <x:v>0</x:v>
      </x:c>
      <x:c r="H1628" s="13" t="n">
        <x:v>0</x:v>
      </x:c>
      <x:c r="I1628" s="13" t="n">
        <x:v>0</x:v>
      </x:c>
      <x:c r="J1628" s="12" t="str"/>
      <x:c r="K1628" s="12" t="str">
        <x:v>none</x:v>
      </x:c>
      <x:c r="L1628" s="13" t="n">
        <x:f>IF(G1628&lt;=I1628,0,MAX(0)+IF(E1628="via",MAX(0,G1628-MAX(F1628,I1628)),0))</x:f>
        <x:v>0</x:v>
      </x:c>
    </x:row>
    <x:row r="1629" ht="42" customHeight="1">
      <x:c r="A1629" s="7" t="str">
        <x:v>DP3-B-R3</x:v>
      </x:c>
      <x:c r="B1629" s="7" t="str">
        <x:v>U13</x:v>
      </x:c>
      <x:c r="C1629" s="7" t="str">
        <x:v>intake</x:v>
      </x:c>
      <x:c r="D1629" s="7" t="str">
        <x:v>입력 확정</x:v>
      </x:c>
      <x:c r="E1629" s="7" t="str">
        <x:v>via</x:v>
      </x:c>
      <x:c r="F1629" s="14" t="n">
        <x:v>0</x:v>
      </x:c>
      <x:c r="G1629" s="14" t="n">
        <x:v>0.06</x:v>
      </x:c>
      <x:c r="H1629" s="14" t="n">
        <x:v>0.06</x:v>
      </x:c>
      <x:c r="I1629" s="14" t="n">
        <x:v>0</x:v>
      </x:c>
      <x:c r="J1629" s="7" t="str">
        <x:v>input_end</x:v>
      </x:c>
      <x:c r="K1629" s="7" t="str">
        <x:v>none</x:v>
      </x:c>
      <x:c r="L1629" s="14" t="n">
        <x:f>IF(G1629&lt;=I1629,0,MAX(0,L1628)+IF(E1629="via",MAX(0,G1629-MAX(F1629,I1629)),0))</x:f>
        <x:v>0.06</x:v>
      </x:c>
    </x:row>
    <x:row r="1630" ht="42" customHeight="1">
      <x:c r="A1630" s="12" t="str">
        <x:v>DP3-B-R3</x:v>
      </x:c>
      <x:c r="B1630" s="12" t="str">
        <x:v>U13</x:v>
      </x:c>
      <x:c r="C1630" s="12" t="str">
        <x:v>read</x:v>
      </x:c>
      <x:c r="D1630" s="12" t="str">
        <x:v>공통 허용 원본 조회</x:v>
      </x:c>
      <x:c r="E1630" s="12" t="str">
        <x:v>via</x:v>
      </x:c>
      <x:c r="F1630" s="13" t="n">
        <x:v>0.06</x:v>
      </x:c>
      <x:c r="G1630" s="13" t="n">
        <x:v>0.14</x:v>
      </x:c>
      <x:c r="H1630" s="13" t="n">
        <x:v>0.08</x:v>
      </x:c>
      <x:c r="I1630" s="13" t="n">
        <x:v>0</x:v>
      </x:c>
      <x:c r="J1630" s="12" t="str">
        <x:v>intake</x:v>
      </x:c>
      <x:c r="K1630" s="12" t="str">
        <x:v>none</x:v>
      </x:c>
      <x:c r="L1630" s="13" t="n">
        <x:f>IF(G1630&lt;=I1630,0,MAX(0,L1629)+IF(E1630="via",MAX(0,G1630-MAX(F1630,I1630)),0))</x:f>
        <x:v>0.14</x:v>
      </x:c>
    </x:row>
    <x:row r="1631" ht="42" customHeight="1">
      <x:c r="A1631" s="7" t="str">
        <x:v>DP3-B-R3</x:v>
      </x:c>
      <x:c r="B1631" s="7" t="str">
        <x:v>U13</x:v>
      </x:c>
      <x:c r="C1631" s="7" t="str">
        <x:v>meaning</x:v>
      </x:c>
      <x:c r="D1631" s="7" t="str">
        <x:v>최초 요청 의미 채택 packet 생성</x:v>
      </x:c>
      <x:c r="E1631" s="7" t="str">
        <x:v>via</x:v>
      </x:c>
      <x:c r="F1631" s="14" t="n">
        <x:v>0.14</x:v>
      </x:c>
      <x:c r="G1631" s="14" t="n">
        <x:v>1.2400000000000002</x:v>
      </x:c>
      <x:c r="H1631" s="14" t="n">
        <x:v>1.1</x:v>
      </x:c>
      <x:c r="I1631" s="14" t="n">
        <x:v>0</x:v>
      </x:c>
      <x:c r="J1631" s="7" t="str">
        <x:v>read</x:v>
      </x:c>
      <x:c r="K1631" s="7" t="str">
        <x:v>semantic</x:v>
      </x:c>
      <x:c r="L1631" s="14" t="n">
        <x:f>IF(G1631&lt;=I1631,0,MAX(0,L1630)+IF(E1631="via",MAX(0,G1631-MAX(F1631,I1631)),0))</x:f>
        <x:v>1.2400000000000002</x:v>
      </x:c>
    </x:row>
    <x:row r="1632" ht="42" customHeight="1">
      <x:c r="A1632" s="12" t="str">
        <x:v>DP3-B-R3</x:v>
      </x:c>
      <x:c r="B1632" s="12" t="str">
        <x:v>U13</x:v>
      </x:c>
      <x:c r="C1632" s="12" t="str">
        <x:v>adopt</x:v>
      </x:c>
      <x:c r="D1632" s="12" t="str">
        <x:v>현재 revision과 권한 검사 및 채택</x:v>
      </x:c>
      <x:c r="E1632" s="12" t="str">
        <x:v>via</x:v>
      </x:c>
      <x:c r="F1632" s="13" t="n">
        <x:v>1.2400000000000002</x:v>
      </x:c>
      <x:c r="G1632" s="13" t="n">
        <x:v>1.2700000000000002</x:v>
      </x:c>
      <x:c r="H1632" s="13" t="n">
        <x:v>0.03</x:v>
      </x:c>
      <x:c r="I1632" s="13" t="n">
        <x:v>0</x:v>
      </x:c>
      <x:c r="J1632" s="12" t="str">
        <x:v>meaning</x:v>
      </x:c>
      <x:c r="K1632" s="12" t="str">
        <x:v>none</x:v>
      </x:c>
      <x:c r="L1632" s="13" t="n">
        <x:f>IF(G1632&lt;=I1632,0,MAX(0,L1631)+IF(E1632="via",MAX(0,G1632-MAX(F1632,I1632)),0))</x:f>
        <x:v>1.2700000000000002</x:v>
      </x:c>
    </x:row>
    <x:row r="1633" ht="42" customHeight="1">
      <x:c r="A1633" s="7" t="str">
        <x:v>DP3-B-R3</x:v>
      </x:c>
      <x:c r="B1633" s="7" t="str">
        <x:v>U13</x:v>
      </x:c>
      <x:c r="C1633" s="7" t="str">
        <x:v>first_display</x:v>
      </x:c>
      <x:c r="D1633" s="7" t="str">
        <x:v>첫 구체적 채택 내용 화면 표시</x:v>
      </x:c>
      <x:c r="E1633" s="7" t="str">
        <x:v>via</x:v>
      </x:c>
      <x:c r="F1633" s="14" t="n">
        <x:v>1.2700000000000002</x:v>
      </x:c>
      <x:c r="G1633" s="14" t="n">
        <x:v>1.3100000000000003</x:v>
      </x:c>
      <x:c r="H1633" s="14" t="n">
        <x:v>0.04</x:v>
      </x:c>
      <x:c r="I1633" s="14" t="n">
        <x:v>0</x:v>
      </x:c>
      <x:c r="J1633" s="7" t="str">
        <x:v>adopt</x:v>
      </x:c>
      <x:c r="K1633" s="7" t="str">
        <x:v>none</x:v>
      </x:c>
      <x:c r="L1633" s="14" t="n">
        <x:f>IF(G1633&lt;=I1633,0,MAX(0,L1632)+IF(E1633="via",MAX(0,G1633-MAX(F1633,I1633)),0))</x:f>
        <x:v>1.3100000000000003</x:v>
      </x:c>
    </x:row>
    <x:row r="1634" ht="42" customHeight="1">
      <x:c r="A1634" s="12" t="str">
        <x:v>DP3-B-R3</x:v>
      </x:c>
      <x:c r="B1634" s="12" t="str">
        <x:v>U13</x:v>
      </x:c>
      <x:c r="C1634" s="12" t="str">
        <x:v>agent_ingress</x:v>
      </x:c>
      <x:c r="D1634" s="12" t="str">
        <x:v>Agent 요청 전송</x:v>
      </x:c>
      <x:c r="E1634" s="12" t="str">
        <x:v>via</x:v>
      </x:c>
      <x:c r="F1634" s="13" t="n">
        <x:v>1.2700000000000002</x:v>
      </x:c>
      <x:c r="G1634" s="13" t="n">
        <x:v>1.3100000000000003</x:v>
      </x:c>
      <x:c r="H1634" s="13" t="n">
        <x:v>0.04</x:v>
      </x:c>
      <x:c r="I1634" s="13" t="n">
        <x:v>0</x:v>
      </x:c>
      <x:c r="J1634" s="12" t="str">
        <x:v>adopt</x:v>
      </x:c>
      <x:c r="K1634" s="12" t="str">
        <x:v>none</x:v>
      </x:c>
      <x:c r="L1634" s="13" t="n">
        <x:f>IF(G1634&lt;=I1634,0,MAX(0,L1632)+IF(E1634="via",MAX(0,G1634-MAX(F1634,I1634)),0))</x:f>
        <x:v>1.3100000000000003</x:v>
      </x:c>
    </x:row>
    <x:row r="1635" ht="42" customHeight="1">
      <x:c r="A1635" s="7" t="str">
        <x:v>DP3-B-R3</x:v>
      </x:c>
      <x:c r="B1635" s="7" t="str">
        <x:v>U13</x:v>
      </x:c>
      <x:c r="C1635" s="7" t="str">
        <x:v>agent_result</x:v>
      </x:c>
      <x:c r="D1635" s="7" t="str">
        <x:v>외부 Agent 업무</x:v>
      </x:c>
      <x:c r="E1635" s="7" t="str">
        <x:v>external</x:v>
      </x:c>
      <x:c r="F1635" s="14" t="n">
        <x:v>1.3100000000000003</x:v>
      </x:c>
      <x:c r="G1635" s="14" t="n">
        <x:v>9.31</x:v>
      </x:c>
      <x:c r="H1635" s="14" t="n">
        <x:v>8</x:v>
      </x:c>
      <x:c r="I1635" s="14" t="n">
        <x:v>0</x:v>
      </x:c>
      <x:c r="J1635" s="7" t="str">
        <x:v>agent_ingress</x:v>
      </x:c>
      <x:c r="K1635" s="7" t="str">
        <x:v>none</x:v>
      </x:c>
      <x:c r="L1635" s="14" t="n">
        <x:f>IF(G1635&lt;=I1635,0,MAX(0,L1634)+IF(E1635="via",MAX(0,G1635-MAX(F1635,I1635)),0))</x:f>
        <x:v>1.3100000000000003</x:v>
      </x:c>
    </x:row>
    <x:row r="1636" ht="42" customHeight="1">
      <x:c r="A1636" s="12" t="str">
        <x:v>DP3-B-R3</x:v>
      </x:c>
      <x:c r="B1636" s="12" t="str">
        <x:v>U13</x:v>
      </x:c>
      <x:c r="C1636" s="12" t="str">
        <x:v>result_display</x:v>
      </x:c>
      <x:c r="D1636" s="12" t="str">
        <x:v>최종 결과 상세 표시</x:v>
      </x:c>
      <x:c r="E1636" s="12" t="str">
        <x:v>via</x:v>
      </x:c>
      <x:c r="F1636" s="13" t="n">
        <x:v>9.31</x:v>
      </x:c>
      <x:c r="G1636" s="13" t="n">
        <x:v>9.35</x:v>
      </x:c>
      <x:c r="H1636" s="13" t="n">
        <x:v>0.04</x:v>
      </x:c>
      <x:c r="I1636" s="13" t="n">
        <x:v>0</x:v>
      </x:c>
      <x:c r="J1636" s="12" t="str">
        <x:v>agent_result</x:v>
      </x:c>
      <x:c r="K1636" s="12" t="str">
        <x:v>none</x:v>
      </x:c>
      <x:c r="L1636" s="13" t="n">
        <x:f>IF(G1636&lt;=I1636,0,MAX(0,L1635)+IF(E1636="via",MAX(0,G1636-MAX(F1636,I1636)),0))</x:f>
        <x:v>1.3499999999999994</x:v>
      </x:c>
    </x:row>
    <x:row r="1637" ht="42" customHeight="1">
      <x:c r="A1637" s="7" t="str">
        <x:v>DP3-B-R3</x:v>
      </x:c>
      <x:c r="B1637" s="7" t="str">
        <x:v>U13</x:v>
      </x:c>
      <x:c r="C1637" s="7" t="str">
        <x:v>response_audio</x:v>
      </x:c>
      <x:c r="D1637" s="7" t="str">
        <x:v>선택한 응답 음성 생성</x:v>
      </x:c>
      <x:c r="E1637" s="7" t="str">
        <x:v>via</x:v>
      </x:c>
      <x:c r="F1637" s="14" t="n">
        <x:v>9.31</x:v>
      </x:c>
      <x:c r="G1637" s="14" t="n">
        <x:v>11.198</x:v>
      </x:c>
      <x:c r="H1637" s="14" t="n">
        <x:v>1.888</x:v>
      </x:c>
      <x:c r="I1637" s="14" t="n">
        <x:v>0</x:v>
      </x:c>
      <x:c r="J1637" s="7" t="str">
        <x:v>agent_result</x:v>
      </x:c>
      <x:c r="K1637" s="7" t="str">
        <x:v>speech</x:v>
      </x:c>
      <x:c r="L1637" s="14" t="n">
        <x:f>IF(G1637&lt;=I1637,0,MAX(0,L1635)+IF(E1637="via",MAX(0,G1637-MAX(F1637,I1637)),0))</x:f>
        <x:v>3.1980000000000004</x:v>
      </x:c>
    </x:row>
    <x:row r="1638" ht="42" customHeight="1">
      <x:c r="A1638" s="12" t="str">
        <x:v>DP3-B-R3</x:v>
      </x:c>
      <x:c r="B1638" s="12" t="str">
        <x:v>U13</x:v>
      </x:c>
      <x:c r="C1638" s="12" t="str">
        <x:v>intent_audio</x:v>
      </x:c>
      <x:c r="D1638" s="12" t="str">
        <x:v>채택한 구체적 수행 의도의 짧은 음성</x:v>
      </x:c>
      <x:c r="E1638" s="12" t="str">
        <x:v>via</x:v>
      </x:c>
      <x:c r="F1638" s="13" t="n">
        <x:v>1.2700000000000002</x:v>
      </x:c>
      <x:c r="G1638" s="13" t="n">
        <x:v>2.404</x:v>
      </x:c>
      <x:c r="H1638" s="13" t="n">
        <x:v>1.134</x:v>
      </x:c>
      <x:c r="I1638" s="13" t="n">
        <x:v>0</x:v>
      </x:c>
      <x:c r="J1638" s="12" t="str">
        <x:v>adopt</x:v>
      </x:c>
      <x:c r="K1638" s="12" t="str">
        <x:v>speech</x:v>
      </x:c>
      <x:c r="L1638" s="13" t="n">
        <x:f>IF(G1638&lt;=I1638,0,MAX(0,L1632)+IF(E1638="via",MAX(0,G1638-MAX(F1638,I1638)),0))</x:f>
        <x:v>2.404</x:v>
      </x:c>
    </x:row>
    <x:row r="1639" ht="42" customHeight="1">
      <x:c r="A1639" s="7" t="str">
        <x:v>DP3-B-R3</x:v>
      </x:c>
      <x:c r="B1639" s="7" t="str">
        <x:v>U13</x:v>
      </x:c>
      <x:c r="C1639" s="7" t="str">
        <x:v>first_chunk</x:v>
      </x:c>
      <x:c r="D1639" s="7" t="str">
        <x:v>같은 생성 job의 유효 첫 chunk 관측</x:v>
      </x:c>
      <x:c r="E1639" s="7" t="str">
        <x:v>via</x:v>
      </x:c>
      <x:c r="F1639" s="14" t="n">
        <x:v>1.2700000000000002</x:v>
      </x:c>
      <x:c r="G1639" s="14" t="n">
        <x:v>1.7040000000000002</x:v>
      </x:c>
      <x:c r="H1639" s="14" t="n">
        <x:v>0.434</x:v>
      </x:c>
      <x:c r="I1639" s="14" t="n">
        <x:v>0</x:v>
      </x:c>
      <x:c r="J1639" s="7" t="str">
        <x:v>adopt</x:v>
      </x:c>
      <x:c r="K1639" s="7" t="str">
        <x:v>none</x:v>
      </x:c>
      <x:c r="L1639" s="14" t="n">
        <x:f>IF(G1639&lt;=I1639,0,MAX(0,L1632)+IF(E1639="via",MAX(0,G1639-MAX(F1639,I1639)),0))</x:f>
        <x:v>1.7040000000000002</x:v>
      </x:c>
    </x:row>
    <x:row r="1640" ht="42" customHeight="1">
      <x:c r="A1640" s="12" t="str">
        <x:v>DP3-B-R3</x:v>
      </x:c>
      <x:c r="B1640" s="12" t="str">
        <x:v>U13</x:v>
      </x:c>
      <x:c r="C1640" s="12" t="str">
        <x:v>first_audio_output</x:v>
      </x:c>
      <x:c r="D1640" s="12" t="str">
        <x:v>공통 장치의 첫 음성 출력</x:v>
      </x:c>
      <x:c r="E1640" s="12" t="str">
        <x:v>via</x:v>
      </x:c>
      <x:c r="F1640" s="13" t="n">
        <x:v>1.7040000000000002</x:v>
      </x:c>
      <x:c r="G1640" s="13" t="n">
        <x:v>1.7440000000000002</x:v>
      </x:c>
      <x:c r="H1640" s="13" t="n">
        <x:v>0.04</x:v>
      </x:c>
      <x:c r="I1640" s="13" t="n">
        <x:v>0</x:v>
      </x:c>
      <x:c r="J1640" s="12" t="str">
        <x:v>adopt, first_chunk</x:v>
      </x:c>
      <x:c r="K1640" s="12" t="str">
        <x:v>none</x:v>
      </x:c>
      <x:c r="L1640" s="13" t="n">
        <x:f>IF(G1640&lt;=I1640,0,MAX(0,L1632,L1639)+IF(E1640="via",MAX(0,G1640-MAX(F1640,I1640)),0))</x:f>
        <x:v>1.7440000000000002</x:v>
      </x:c>
    </x:row>
    <x:row r="1641" ht="42" customHeight="1">
      <x:c r="A1641" s="7" t="str">
        <x:v>DP3-B-R3</x:v>
      </x:c>
      <x:c r="B1641" s="7" t="str">
        <x:v>U13</x:v>
      </x:c>
      <x:c r="C1641" s="7" t="str">
        <x:v>next_speech_selection</x:v>
      </x:c>
      <x:c r="D1641" s="7" t="str">
        <x:v>현재 발화 재생 후 다음 응답 선택</x:v>
      </x:c>
      <x:c r="E1641" s="7" t="str">
        <x:v>external</x:v>
      </x:c>
      <x:c r="F1641" s="14" t="n">
        <x:v>1.7440000000000002</x:v>
      </x:c>
      <x:c r="G1641" s="14" t="n">
        <x:v>4.744</x:v>
      </x:c>
      <x:c r="H1641" s="14" t="n">
        <x:v>3</x:v>
      </x:c>
      <x:c r="I1641" s="14" t="n">
        <x:v>0</x:v>
      </x:c>
      <x:c r="J1641" s="7" t="str">
        <x:v>first_audio_output</x:v>
      </x:c>
      <x:c r="K1641" s="7" t="str">
        <x:v>none</x:v>
      </x:c>
      <x:c r="L1641" s="14" t="n">
        <x:f>IF(G1641&lt;=I1641,0,MAX(0,L1640)+IF(E1641="via",MAX(0,G1641-MAX(F1641,I1641)),0))</x:f>
        <x:v>1.7440000000000002</x:v>
      </x:c>
    </x:row>
    <x:row r="1642" ht="42" customHeight="1">
      <x:c r="A1642" s="12" t="str">
        <x:v>DP3-B-R3</x:v>
      </x:c>
      <x:c r="B1642" s="12" t="str">
        <x:v>U13</x:v>
      </x:c>
      <x:c r="C1642" s="12" t="str">
        <x:v>terminal</x:v>
      </x:c>
      <x:c r="D1642" s="12" t="str">
        <x:v>공통 목표 최종 상태와 전체 음성 준비</x:v>
      </x:c>
      <x:c r="E1642" s="12" t="str">
        <x:v>via</x:v>
      </x:c>
      <x:c r="F1642" s="13" t="n">
        <x:v>11.198</x:v>
      </x:c>
      <x:c r="G1642" s="13" t="n">
        <x:v>11.198</x:v>
      </x:c>
      <x:c r="H1642" s="13" t="n">
        <x:v>0</x:v>
      </x:c>
      <x:c r="I1642" s="13" t="n">
        <x:v>0</x:v>
      </x:c>
      <x:c r="J1642" s="12" t="str">
        <x:v>result_display, response_audio, intent_audio, first_audio_output</x:v>
      </x:c>
      <x:c r="K1642" s="12" t="str">
        <x:v>none</x:v>
      </x:c>
      <x:c r="L1642" s="13" t="n">
        <x:f>IF(G1642&lt;=I1642,0,MAX(0,L1636,L1637,L1638,L1640)+IF(E1642="via",MAX(0,G1642-MAX(F1642,I1642)),0))</x:f>
        <x:v>3.1980000000000004</x:v>
      </x:c>
    </x:row>
    <x:row r="1643" ht="42" customHeight="1">
      <x:c r="A1643" s="7" t="str">
        <x:v>DP3-B-R3</x:v>
      </x:c>
      <x:c r="B1643" s="7" t="str">
        <x:v>U14</x:v>
      </x:c>
      <x:c r="C1643" s="7" t="str">
        <x:v>input_end</x:v>
      </x:c>
      <x:c r="D1643" s="7" t="str">
        <x:v>사용자 입력 종료</x:v>
      </x:c>
      <x:c r="E1643" s="7" t="str">
        <x:v>external</x:v>
      </x:c>
      <x:c r="F1643" s="14" t="n">
        <x:v>0</x:v>
      </x:c>
      <x:c r="G1643" s="14" t="n">
        <x:v>0</x:v>
      </x:c>
      <x:c r="H1643" s="14" t="n">
        <x:v>0</x:v>
      </x:c>
      <x:c r="I1643" s="14" t="n">
        <x:v>0</x:v>
      </x:c>
      <x:c r="J1643" s="7" t="str"/>
      <x:c r="K1643" s="7" t="str">
        <x:v>none</x:v>
      </x:c>
      <x:c r="L1643" s="14" t="n">
        <x:f>IF(G1643&lt;=I1643,0,MAX(0)+IF(E1643="via",MAX(0,G1643-MAX(F1643,I1643)),0))</x:f>
        <x:v>0</x:v>
      </x:c>
    </x:row>
    <x:row r="1644" ht="42" customHeight="1">
      <x:c r="A1644" s="12" t="str">
        <x:v>DP3-B-R3</x:v>
      </x:c>
      <x:c r="B1644" s="12" t="str">
        <x:v>U14</x:v>
      </x:c>
      <x:c r="C1644" s="12" t="str">
        <x:v>intake</x:v>
      </x:c>
      <x:c r="D1644" s="12" t="str">
        <x:v>입력 확정</x:v>
      </x:c>
      <x:c r="E1644" s="12" t="str">
        <x:v>via</x:v>
      </x:c>
      <x:c r="F1644" s="13" t="n">
        <x:v>0</x:v>
      </x:c>
      <x:c r="G1644" s="13" t="n">
        <x:v>0.3</x:v>
      </x:c>
      <x:c r="H1644" s="13" t="n">
        <x:v>0.3</x:v>
      </x:c>
      <x:c r="I1644" s="13" t="n">
        <x:v>0</x:v>
      </x:c>
      <x:c r="J1644" s="12" t="str">
        <x:v>input_end</x:v>
      </x:c>
      <x:c r="K1644" s="12" t="str">
        <x:v>none</x:v>
      </x:c>
      <x:c r="L1644" s="13" t="n">
        <x:f>IF(G1644&lt;=I1644,0,MAX(0,L1643)+IF(E1644="via",MAX(0,G1644-MAX(F1644,I1644)),0))</x:f>
        <x:v>0.3</x:v>
      </x:c>
    </x:row>
    <x:row r="1645" ht="42" customHeight="1">
      <x:c r="A1645" s="7" t="str">
        <x:v>DP3-B-R3</x:v>
      </x:c>
      <x:c r="B1645" s="7" t="str">
        <x:v>U14</x:v>
      </x:c>
      <x:c r="C1645" s="7" t="str">
        <x:v>read</x:v>
      </x:c>
      <x:c r="D1645" s="7" t="str">
        <x:v>공통 허용 원본 조회</x:v>
      </x:c>
      <x:c r="E1645" s="7" t="str">
        <x:v>via</x:v>
      </x:c>
      <x:c r="F1645" s="14" t="n">
        <x:v>0.3</x:v>
      </x:c>
      <x:c r="G1645" s="14" t="n">
        <x:v>0.38</x:v>
      </x:c>
      <x:c r="H1645" s="14" t="n">
        <x:v>0.08</x:v>
      </x:c>
      <x:c r="I1645" s="14" t="n">
        <x:v>0</x:v>
      </x:c>
      <x:c r="J1645" s="7" t="str">
        <x:v>intake</x:v>
      </x:c>
      <x:c r="K1645" s="7" t="str">
        <x:v>none</x:v>
      </x:c>
      <x:c r="L1645" s="14" t="n">
        <x:f>IF(G1645&lt;=I1645,0,MAX(0,L1644)+IF(E1645="via",MAX(0,G1645-MAX(F1645,I1645)),0))</x:f>
        <x:v>0.38</x:v>
      </x:c>
    </x:row>
    <x:row r="1646" ht="42" customHeight="1">
      <x:c r="A1646" s="12" t="str">
        <x:v>DP3-B-R3</x:v>
      </x:c>
      <x:c r="B1646" s="12" t="str">
        <x:v>U14</x:v>
      </x:c>
      <x:c r="C1646" s="12" t="str">
        <x:v>meaning</x:v>
      </x:c>
      <x:c r="D1646" s="12" t="str">
        <x:v>최초 요청 의미 채택 packet 생성</x:v>
      </x:c>
      <x:c r="E1646" s="12" t="str">
        <x:v>via</x:v>
      </x:c>
      <x:c r="F1646" s="13" t="n">
        <x:v>0.38</x:v>
      </x:c>
      <x:c r="G1646" s="13" t="n">
        <x:v>1.88</x:v>
      </x:c>
      <x:c r="H1646" s="13" t="n">
        <x:v>1.5</x:v>
      </x:c>
      <x:c r="I1646" s="13" t="n">
        <x:v>0</x:v>
      </x:c>
      <x:c r="J1646" s="12" t="str">
        <x:v>read</x:v>
      </x:c>
      <x:c r="K1646" s="12" t="str">
        <x:v>semantic</x:v>
      </x:c>
      <x:c r="L1646" s="13" t="n">
        <x:f>IF(G1646&lt;=I1646,0,MAX(0,L1645)+IF(E1646="via",MAX(0,G1646-MAX(F1646,I1646)),0))</x:f>
        <x:v>1.88</x:v>
      </x:c>
    </x:row>
    <x:row r="1647" ht="42" customHeight="1">
      <x:c r="A1647" s="7" t="str">
        <x:v>DP3-B-R3</x:v>
      </x:c>
      <x:c r="B1647" s="7" t="str">
        <x:v>U14</x:v>
      </x:c>
      <x:c r="C1647" s="7" t="str">
        <x:v>adopt</x:v>
      </x:c>
      <x:c r="D1647" s="7" t="str">
        <x:v>현재 revision과 권한 검사 및 채택</x:v>
      </x:c>
      <x:c r="E1647" s="7" t="str">
        <x:v>via</x:v>
      </x:c>
      <x:c r="F1647" s="14" t="n">
        <x:v>1.88</x:v>
      </x:c>
      <x:c r="G1647" s="14" t="n">
        <x:v>1.91</x:v>
      </x:c>
      <x:c r="H1647" s="14" t="n">
        <x:v>0.03</x:v>
      </x:c>
      <x:c r="I1647" s="14" t="n">
        <x:v>0</x:v>
      </x:c>
      <x:c r="J1647" s="7" t="str">
        <x:v>meaning</x:v>
      </x:c>
      <x:c r="K1647" s="7" t="str">
        <x:v>none</x:v>
      </x:c>
      <x:c r="L1647" s="14" t="n">
        <x:f>IF(G1647&lt;=I1647,0,MAX(0,L1646)+IF(E1647="via",MAX(0,G1647-MAX(F1647,I1647)),0))</x:f>
        <x:v>1.91</x:v>
      </x:c>
    </x:row>
    <x:row r="1648" ht="42" customHeight="1">
      <x:c r="A1648" s="12" t="str">
        <x:v>DP3-B-R3</x:v>
      </x:c>
      <x:c r="B1648" s="12" t="str">
        <x:v>U14</x:v>
      </x:c>
      <x:c r="C1648" s="12" t="str">
        <x:v>first_display</x:v>
      </x:c>
      <x:c r="D1648" s="12" t="str">
        <x:v>첫 구체적 채택 내용 화면 표시</x:v>
      </x:c>
      <x:c r="E1648" s="12" t="str">
        <x:v>via</x:v>
      </x:c>
      <x:c r="F1648" s="13" t="n">
        <x:v>1.91</x:v>
      </x:c>
      <x:c r="G1648" s="13" t="n">
        <x:v>1.95</x:v>
      </x:c>
      <x:c r="H1648" s="13" t="n">
        <x:v>0.04</x:v>
      </x:c>
      <x:c r="I1648" s="13" t="n">
        <x:v>0</x:v>
      </x:c>
      <x:c r="J1648" s="12" t="str">
        <x:v>adopt</x:v>
      </x:c>
      <x:c r="K1648" s="12" t="str">
        <x:v>none</x:v>
      </x:c>
      <x:c r="L1648" s="13" t="n">
        <x:f>IF(G1648&lt;=I1648,0,MAX(0,L1647)+IF(E1648="via",MAX(0,G1648-MAX(F1648,I1648)),0))</x:f>
        <x:v>1.95</x:v>
      </x:c>
    </x:row>
    <x:row r="1649" ht="42" customHeight="1">
      <x:c r="A1649" s="7" t="str">
        <x:v>DP3-B-R3</x:v>
      </x:c>
      <x:c r="B1649" s="7" t="str">
        <x:v>U14</x:v>
      </x:c>
      <x:c r="C1649" s="7" t="str">
        <x:v>agent_ingress</x:v>
      </x:c>
      <x:c r="D1649" s="7" t="str">
        <x:v>Agent 요청 전송</x:v>
      </x:c>
      <x:c r="E1649" s="7" t="str">
        <x:v>via</x:v>
      </x:c>
      <x:c r="F1649" s="14" t="n">
        <x:v>1.91</x:v>
      </x:c>
      <x:c r="G1649" s="14" t="n">
        <x:v>1.95</x:v>
      </x:c>
      <x:c r="H1649" s="14" t="n">
        <x:v>0.04</x:v>
      </x:c>
      <x:c r="I1649" s="14" t="n">
        <x:v>0</x:v>
      </x:c>
      <x:c r="J1649" s="7" t="str">
        <x:v>adopt</x:v>
      </x:c>
      <x:c r="K1649" s="7" t="str">
        <x:v>none</x:v>
      </x:c>
      <x:c r="L1649" s="14" t="n">
        <x:f>IF(G1649&lt;=I1649,0,MAX(0,L1647)+IF(E1649="via",MAX(0,G1649-MAX(F1649,I1649)),0))</x:f>
        <x:v>1.95</x:v>
      </x:c>
    </x:row>
    <x:row r="1650" ht="42" customHeight="1">
      <x:c r="A1650" s="12" t="str">
        <x:v>DP3-B-R3</x:v>
      </x:c>
      <x:c r="B1650" s="12" t="str">
        <x:v>U14</x:v>
      </x:c>
      <x:c r="C1650" s="12" t="str">
        <x:v>agent_result</x:v>
      </x:c>
      <x:c r="D1650" s="12" t="str">
        <x:v>외부 Agent 업무</x:v>
      </x:c>
      <x:c r="E1650" s="12" t="str">
        <x:v>external</x:v>
      </x:c>
      <x:c r="F1650" s="13" t="n">
        <x:v>1.95</x:v>
      </x:c>
      <x:c r="G1650" s="13" t="n">
        <x:v>9.95</x:v>
      </x:c>
      <x:c r="H1650" s="13" t="n">
        <x:v>8</x:v>
      </x:c>
      <x:c r="I1650" s="13" t="n">
        <x:v>0</x:v>
      </x:c>
      <x:c r="J1650" s="12" t="str">
        <x:v>agent_ingress</x:v>
      </x:c>
      <x:c r="K1650" s="12" t="str">
        <x:v>none</x:v>
      </x:c>
      <x:c r="L1650" s="13" t="n">
        <x:f>IF(G1650&lt;=I1650,0,MAX(0,L1649)+IF(E1650="via",MAX(0,G1650-MAX(F1650,I1650)),0))</x:f>
        <x:v>1.95</x:v>
      </x:c>
    </x:row>
    <x:row r="1651" ht="42" customHeight="1">
      <x:c r="A1651" s="7" t="str">
        <x:v>DP3-B-R3</x:v>
      </x:c>
      <x:c r="B1651" s="7" t="str">
        <x:v>U14</x:v>
      </x:c>
      <x:c r="C1651" s="7" t="str">
        <x:v>result_display</x:v>
      </x:c>
      <x:c r="D1651" s="7" t="str">
        <x:v>최종 결과 상세 표시</x:v>
      </x:c>
      <x:c r="E1651" s="7" t="str">
        <x:v>via</x:v>
      </x:c>
      <x:c r="F1651" s="14" t="n">
        <x:v>9.95</x:v>
      </x:c>
      <x:c r="G1651" s="14" t="n">
        <x:v>9.989999999999998</x:v>
      </x:c>
      <x:c r="H1651" s="14" t="n">
        <x:v>0.04</x:v>
      </x:c>
      <x:c r="I1651" s="14" t="n">
        <x:v>0</x:v>
      </x:c>
      <x:c r="J1651" s="7" t="str">
        <x:v>agent_result</x:v>
      </x:c>
      <x:c r="K1651" s="7" t="str">
        <x:v>none</x:v>
      </x:c>
      <x:c r="L1651" s="14" t="n">
        <x:f>IF(G1651&lt;=I1651,0,MAX(0,L1650)+IF(E1651="via",MAX(0,G1651-MAX(F1651,I1651)),0))</x:f>
        <x:v>1.989999999999999</x:v>
      </x:c>
    </x:row>
    <x:row r="1652" ht="42" customHeight="1">
      <x:c r="A1652" s="12" t="str">
        <x:v>DP3-B-R3</x:v>
      </x:c>
      <x:c r="B1652" s="12" t="str">
        <x:v>U14</x:v>
      </x:c>
      <x:c r="C1652" s="12" t="str">
        <x:v>response_audio</x:v>
      </x:c>
      <x:c r="D1652" s="12" t="str">
        <x:v>선택한 응답 음성 생성</x:v>
      </x:c>
      <x:c r="E1652" s="12" t="str">
        <x:v>via</x:v>
      </x:c>
      <x:c r="F1652" s="13" t="n">
        <x:v>9.95</x:v>
      </x:c>
      <x:c r="G1652" s="13" t="n">
        <x:v>11.838</x:v>
      </x:c>
      <x:c r="H1652" s="13" t="n">
        <x:v>1.888</x:v>
      </x:c>
      <x:c r="I1652" s="13" t="n">
        <x:v>0</x:v>
      </x:c>
      <x:c r="J1652" s="12" t="str">
        <x:v>agent_result</x:v>
      </x:c>
      <x:c r="K1652" s="12" t="str">
        <x:v>speech</x:v>
      </x:c>
      <x:c r="L1652" s="13" t="n">
        <x:f>IF(G1652&lt;=I1652,0,MAX(0,L1650)+IF(E1652="via",MAX(0,G1652-MAX(F1652,I1652)),0))</x:f>
        <x:v>3.838</x:v>
      </x:c>
    </x:row>
    <x:row r="1653" ht="42" customHeight="1">
      <x:c r="A1653" s="7" t="str">
        <x:v>DP3-B-R3</x:v>
      </x:c>
      <x:c r="B1653" s="7" t="str">
        <x:v>U14</x:v>
      </x:c>
      <x:c r="C1653" s="7" t="str">
        <x:v>intent_audio</x:v>
      </x:c>
      <x:c r="D1653" s="7" t="str">
        <x:v>채택한 구체적 수행 의도의 짧은 음성</x:v>
      </x:c>
      <x:c r="E1653" s="7" t="str">
        <x:v>via</x:v>
      </x:c>
      <x:c r="F1653" s="14" t="n">
        <x:v>1.91</x:v>
      </x:c>
      <x:c r="G1653" s="14" t="n">
        <x:v>3.0439999999999996</x:v>
      </x:c>
      <x:c r="H1653" s="14" t="n">
        <x:v>1.134</x:v>
      </x:c>
      <x:c r="I1653" s="14" t="n">
        <x:v>0</x:v>
      </x:c>
      <x:c r="J1653" s="7" t="str">
        <x:v>adopt</x:v>
      </x:c>
      <x:c r="K1653" s="7" t="str">
        <x:v>speech</x:v>
      </x:c>
      <x:c r="L1653" s="14" t="n">
        <x:f>IF(G1653&lt;=I1653,0,MAX(0,L1647)+IF(E1653="via",MAX(0,G1653-MAX(F1653,I1653)),0))</x:f>
        <x:v>3.0439999999999996</x:v>
      </x:c>
    </x:row>
    <x:row r="1654" ht="42" customHeight="1">
      <x:c r="A1654" s="12" t="str">
        <x:v>DP3-B-R3</x:v>
      </x:c>
      <x:c r="B1654" s="12" t="str">
        <x:v>U14</x:v>
      </x:c>
      <x:c r="C1654" s="12" t="str">
        <x:v>first_chunk</x:v>
      </x:c>
      <x:c r="D1654" s="12" t="str">
        <x:v>같은 생성 job의 유효 첫 chunk 관측</x:v>
      </x:c>
      <x:c r="E1654" s="12" t="str">
        <x:v>via</x:v>
      </x:c>
      <x:c r="F1654" s="13" t="n">
        <x:v>1.91</x:v>
      </x:c>
      <x:c r="G1654" s="13" t="n">
        <x:v>2.344</x:v>
      </x:c>
      <x:c r="H1654" s="13" t="n">
        <x:v>0.434</x:v>
      </x:c>
      <x:c r="I1654" s="13" t="n">
        <x:v>0</x:v>
      </x:c>
      <x:c r="J1654" s="12" t="str">
        <x:v>adopt</x:v>
      </x:c>
      <x:c r="K1654" s="12" t="str">
        <x:v>none</x:v>
      </x:c>
      <x:c r="L1654" s="13" t="n">
        <x:f>IF(G1654&lt;=I1654,0,MAX(0,L1647)+IF(E1654="via",MAX(0,G1654-MAX(F1654,I1654)),0))</x:f>
        <x:v>2.344</x:v>
      </x:c>
    </x:row>
    <x:row r="1655" ht="42" customHeight="1">
      <x:c r="A1655" s="7" t="str">
        <x:v>DP3-B-R3</x:v>
      </x:c>
      <x:c r="B1655" s="7" t="str">
        <x:v>U14</x:v>
      </x:c>
      <x:c r="C1655" s="7" t="str">
        <x:v>first_audio_output</x:v>
      </x:c>
      <x:c r="D1655" s="7" t="str">
        <x:v>공통 장치의 첫 음성 출력</x:v>
      </x:c>
      <x:c r="E1655" s="7" t="str">
        <x:v>via</x:v>
      </x:c>
      <x:c r="F1655" s="14" t="n">
        <x:v>2.344</x:v>
      </x:c>
      <x:c r="G1655" s="14" t="n">
        <x:v>2.384</x:v>
      </x:c>
      <x:c r="H1655" s="14" t="n">
        <x:v>0.04</x:v>
      </x:c>
      <x:c r="I1655" s="14" t="n">
        <x:v>0</x:v>
      </x:c>
      <x:c r="J1655" s="7" t="str">
        <x:v>adopt, first_chunk</x:v>
      </x:c>
      <x:c r="K1655" s="7" t="str">
        <x:v>none</x:v>
      </x:c>
      <x:c r="L1655" s="14" t="n">
        <x:f>IF(G1655&lt;=I1655,0,MAX(0,L1647,L1654)+IF(E1655="via",MAX(0,G1655-MAX(F1655,I1655)),0))</x:f>
        <x:v>2.384</x:v>
      </x:c>
    </x:row>
    <x:row r="1656" ht="42" customHeight="1">
      <x:c r="A1656" s="12" t="str">
        <x:v>DP3-B-R3</x:v>
      </x:c>
      <x:c r="B1656" s="12" t="str">
        <x:v>U14</x:v>
      </x:c>
      <x:c r="C1656" s="12" t="str">
        <x:v>next_speech_selection</x:v>
      </x:c>
      <x:c r="D1656" s="12" t="str">
        <x:v>현재 발화 재생 후 다음 응답 선택</x:v>
      </x:c>
      <x:c r="E1656" s="12" t="str">
        <x:v>external</x:v>
      </x:c>
      <x:c r="F1656" s="13" t="n">
        <x:v>2.384</x:v>
      </x:c>
      <x:c r="G1656" s="13" t="n">
        <x:v>5.384</x:v>
      </x:c>
      <x:c r="H1656" s="13" t="n">
        <x:v>3</x:v>
      </x:c>
      <x:c r="I1656" s="13" t="n">
        <x:v>0</x:v>
      </x:c>
      <x:c r="J1656" s="12" t="str">
        <x:v>first_audio_output</x:v>
      </x:c>
      <x:c r="K1656" s="12" t="str">
        <x:v>none</x:v>
      </x:c>
      <x:c r="L1656" s="13" t="n">
        <x:f>IF(G1656&lt;=I1656,0,MAX(0,L1655)+IF(E1656="via",MAX(0,G1656-MAX(F1656,I1656)),0))</x:f>
        <x:v>2.384</x:v>
      </x:c>
    </x:row>
    <x:row r="1657" ht="42" customHeight="1">
      <x:c r="A1657" s="7" t="str">
        <x:v>DP3-B-R3</x:v>
      </x:c>
      <x:c r="B1657" s="7" t="str">
        <x:v>U14</x:v>
      </x:c>
      <x:c r="C1657" s="7" t="str">
        <x:v>terminal</x:v>
      </x:c>
      <x:c r="D1657" s="7" t="str">
        <x:v>공통 목표 최종 상태와 전체 음성 준비</x:v>
      </x:c>
      <x:c r="E1657" s="7" t="str">
        <x:v>via</x:v>
      </x:c>
      <x:c r="F1657" s="14" t="n">
        <x:v>11.838</x:v>
      </x:c>
      <x:c r="G1657" s="14" t="n">
        <x:v>11.838</x:v>
      </x:c>
      <x:c r="H1657" s="14" t="n">
        <x:v>0</x:v>
      </x:c>
      <x:c r="I1657" s="14" t="n">
        <x:v>0</x:v>
      </x:c>
      <x:c r="J1657" s="7" t="str">
        <x:v>result_display, response_audio, intent_audio, first_audio_output</x:v>
      </x:c>
      <x:c r="K1657" s="7" t="str">
        <x:v>none</x:v>
      </x:c>
      <x:c r="L1657" s="14" t="n">
        <x:f>IF(G1657&lt;=I1657,0,MAX(0,L1651,L1652,L1653,L1655)+IF(E1657="via",MAX(0,G1657-MAX(F1657,I1657)),0))</x:f>
        <x:v>3.838</x:v>
      </x:c>
    </x:row>
    <x:row r="1658" ht="42" customHeight="1">
      <x:c r="A1658" s="12" t="str">
        <x:v>DP3-B-R3</x:v>
      </x:c>
      <x:c r="B1658" s="12" t="str">
        <x:v>U15</x:v>
      </x:c>
      <x:c r="C1658" s="12" t="str">
        <x:v>input_end</x:v>
      </x:c>
      <x:c r="D1658" s="12" t="str">
        <x:v>사용자 입력 종료</x:v>
      </x:c>
      <x:c r="E1658" s="12" t="str">
        <x:v>external</x:v>
      </x:c>
      <x:c r="F1658" s="13" t="n">
        <x:v>0</x:v>
      </x:c>
      <x:c r="G1658" s="13" t="n">
        <x:v>0</x:v>
      </x:c>
      <x:c r="H1658" s="13" t="n">
        <x:v>0</x:v>
      </x:c>
      <x:c r="I1658" s="13" t="n">
        <x:v>0</x:v>
      </x:c>
      <x:c r="J1658" s="12" t="str"/>
      <x:c r="K1658" s="12" t="str">
        <x:v>none</x:v>
      </x:c>
      <x:c r="L1658" s="13" t="n">
        <x:f>IF(G1658&lt;=I1658,0,MAX(0)+IF(E1658="via",MAX(0,G1658-MAX(F1658,I1658)),0))</x:f>
        <x:v>0</x:v>
      </x:c>
    </x:row>
    <x:row r="1659" ht="42" customHeight="1">
      <x:c r="A1659" s="7" t="str">
        <x:v>DP3-B-R3</x:v>
      </x:c>
      <x:c r="B1659" s="7" t="str">
        <x:v>U15</x:v>
      </x:c>
      <x:c r="C1659" s="7" t="str">
        <x:v>intake</x:v>
      </x:c>
      <x:c r="D1659" s="7" t="str">
        <x:v>입력 확정</x:v>
      </x:c>
      <x:c r="E1659" s="7" t="str">
        <x:v>via</x:v>
      </x:c>
      <x:c r="F1659" s="14" t="n">
        <x:v>0</x:v>
      </x:c>
      <x:c r="G1659" s="14" t="n">
        <x:v>0.06</x:v>
      </x:c>
      <x:c r="H1659" s="14" t="n">
        <x:v>0.06</x:v>
      </x:c>
      <x:c r="I1659" s="14" t="n">
        <x:v>0</x:v>
      </x:c>
      <x:c r="J1659" s="7" t="str">
        <x:v>input_end</x:v>
      </x:c>
      <x:c r="K1659" s="7" t="str">
        <x:v>none</x:v>
      </x:c>
      <x:c r="L1659" s="14" t="n">
        <x:f>IF(G1659&lt;=I1659,0,MAX(0,L1658)+IF(E1659="via",MAX(0,G1659-MAX(F1659,I1659)),0))</x:f>
        <x:v>0.06</x:v>
      </x:c>
    </x:row>
    <x:row r="1660" ht="42" customHeight="1">
      <x:c r="A1660" s="12" t="str">
        <x:v>DP3-B-R3</x:v>
      </x:c>
      <x:c r="B1660" s="12" t="str">
        <x:v>U15</x:v>
      </x:c>
      <x:c r="C1660" s="12" t="str">
        <x:v>read</x:v>
      </x:c>
      <x:c r="D1660" s="12" t="str">
        <x:v>공통 허용 원본 조회</x:v>
      </x:c>
      <x:c r="E1660" s="12" t="str">
        <x:v>via</x:v>
      </x:c>
      <x:c r="F1660" s="13" t="n">
        <x:v>0.06</x:v>
      </x:c>
      <x:c r="G1660" s="13" t="n">
        <x:v>0.14</x:v>
      </x:c>
      <x:c r="H1660" s="13" t="n">
        <x:v>0.08</x:v>
      </x:c>
      <x:c r="I1660" s="13" t="n">
        <x:v>0</x:v>
      </x:c>
      <x:c r="J1660" s="12" t="str">
        <x:v>intake</x:v>
      </x:c>
      <x:c r="K1660" s="12" t="str">
        <x:v>none</x:v>
      </x:c>
      <x:c r="L1660" s="13" t="n">
        <x:f>IF(G1660&lt;=I1660,0,MAX(0,L1659)+IF(E1660="via",MAX(0,G1660-MAX(F1660,I1660)),0))</x:f>
        <x:v>0.14</x:v>
      </x:c>
    </x:row>
    <x:row r="1661" ht="42" customHeight="1">
      <x:c r="A1661" s="7" t="str">
        <x:v>DP3-B-R3</x:v>
      </x:c>
      <x:c r="B1661" s="7" t="str">
        <x:v>U15</x:v>
      </x:c>
      <x:c r="C1661" s="7" t="str">
        <x:v>meaning</x:v>
      </x:c>
      <x:c r="D1661" s="7" t="str">
        <x:v>최초 요청 의미 채택 packet 생성</x:v>
      </x:c>
      <x:c r="E1661" s="7" t="str">
        <x:v>via</x:v>
      </x:c>
      <x:c r="F1661" s="14" t="n">
        <x:v>0.14</x:v>
      </x:c>
      <x:c r="G1661" s="14" t="n">
        <x:v>1.2400000000000002</x:v>
      </x:c>
      <x:c r="H1661" s="14" t="n">
        <x:v>1.1</x:v>
      </x:c>
      <x:c r="I1661" s="14" t="n">
        <x:v>0</x:v>
      </x:c>
      <x:c r="J1661" s="7" t="str">
        <x:v>read</x:v>
      </x:c>
      <x:c r="K1661" s="7" t="str">
        <x:v>semantic</x:v>
      </x:c>
      <x:c r="L1661" s="14" t="n">
        <x:f>IF(G1661&lt;=I1661,0,MAX(0,L1660)+IF(E1661="via",MAX(0,G1661-MAX(F1661,I1661)),0))</x:f>
        <x:v>1.2400000000000002</x:v>
      </x:c>
    </x:row>
    <x:row r="1662" ht="42" customHeight="1">
      <x:c r="A1662" s="12" t="str">
        <x:v>DP3-B-R3</x:v>
      </x:c>
      <x:c r="B1662" s="12" t="str">
        <x:v>U15</x:v>
      </x:c>
      <x:c r="C1662" s="12" t="str">
        <x:v>adopt</x:v>
      </x:c>
      <x:c r="D1662" s="12" t="str">
        <x:v>현재 revision과 권한 검사 및 채택</x:v>
      </x:c>
      <x:c r="E1662" s="12" t="str">
        <x:v>via</x:v>
      </x:c>
      <x:c r="F1662" s="13" t="n">
        <x:v>1.2400000000000002</x:v>
      </x:c>
      <x:c r="G1662" s="13" t="n">
        <x:v>1.2700000000000002</x:v>
      </x:c>
      <x:c r="H1662" s="13" t="n">
        <x:v>0.03</x:v>
      </x:c>
      <x:c r="I1662" s="13" t="n">
        <x:v>0</x:v>
      </x:c>
      <x:c r="J1662" s="12" t="str">
        <x:v>meaning</x:v>
      </x:c>
      <x:c r="K1662" s="12" t="str">
        <x:v>none</x:v>
      </x:c>
      <x:c r="L1662" s="13" t="n">
        <x:f>IF(G1662&lt;=I1662,0,MAX(0,L1661)+IF(E1662="via",MAX(0,G1662-MAX(F1662,I1662)),0))</x:f>
        <x:v>1.2700000000000002</x:v>
      </x:c>
    </x:row>
    <x:row r="1663" ht="42" customHeight="1">
      <x:c r="A1663" s="7" t="str">
        <x:v>DP3-B-R3</x:v>
      </x:c>
      <x:c r="B1663" s="7" t="str">
        <x:v>U15</x:v>
      </x:c>
      <x:c r="C1663" s="7" t="str">
        <x:v>first_display</x:v>
      </x:c>
      <x:c r="D1663" s="7" t="str">
        <x:v>첫 구체적 채택 내용 화면 표시</x:v>
      </x:c>
      <x:c r="E1663" s="7" t="str">
        <x:v>via</x:v>
      </x:c>
      <x:c r="F1663" s="14" t="n">
        <x:v>1.2700000000000002</x:v>
      </x:c>
      <x:c r="G1663" s="14" t="n">
        <x:v>1.3100000000000003</x:v>
      </x:c>
      <x:c r="H1663" s="14" t="n">
        <x:v>0.04</x:v>
      </x:c>
      <x:c r="I1663" s="14" t="n">
        <x:v>0</x:v>
      </x:c>
      <x:c r="J1663" s="7" t="str">
        <x:v>adopt</x:v>
      </x:c>
      <x:c r="K1663" s="7" t="str">
        <x:v>none</x:v>
      </x:c>
      <x:c r="L1663" s="14" t="n">
        <x:f>IF(G1663&lt;=I1663,0,MAX(0,L1662)+IF(E1663="via",MAX(0,G1663-MAX(F1663,I1663)),0))</x:f>
        <x:v>1.3100000000000003</x:v>
      </x:c>
    </x:row>
    <x:row r="1664" ht="42" customHeight="1">
      <x:c r="A1664" s="12" t="str">
        <x:v>DP3-B-R3</x:v>
      </x:c>
      <x:c r="B1664" s="12" t="str">
        <x:v>U15</x:v>
      </x:c>
      <x:c r="C1664" s="12" t="str">
        <x:v>agent_ingress</x:v>
      </x:c>
      <x:c r="D1664" s="12" t="str">
        <x:v>Agent 요청 전송</x:v>
      </x:c>
      <x:c r="E1664" s="12" t="str">
        <x:v>via</x:v>
      </x:c>
      <x:c r="F1664" s="13" t="n">
        <x:v>1.2700000000000002</x:v>
      </x:c>
      <x:c r="G1664" s="13" t="n">
        <x:v>1.3100000000000003</x:v>
      </x:c>
      <x:c r="H1664" s="13" t="n">
        <x:v>0.04</x:v>
      </x:c>
      <x:c r="I1664" s="13" t="n">
        <x:v>0</x:v>
      </x:c>
      <x:c r="J1664" s="12" t="str">
        <x:v>adopt</x:v>
      </x:c>
      <x:c r="K1664" s="12" t="str">
        <x:v>none</x:v>
      </x:c>
      <x:c r="L1664" s="13" t="n">
        <x:f>IF(G1664&lt;=I1664,0,MAX(0,L1662)+IF(E1664="via",MAX(0,G1664-MAX(F1664,I1664)),0))</x:f>
        <x:v>1.3100000000000003</x:v>
      </x:c>
    </x:row>
    <x:row r="1665" ht="42" customHeight="1">
      <x:c r="A1665" s="7" t="str">
        <x:v>DP3-B-R3</x:v>
      </x:c>
      <x:c r="B1665" s="7" t="str">
        <x:v>U15</x:v>
      </x:c>
      <x:c r="C1665" s="7" t="str">
        <x:v>agent_result</x:v>
      </x:c>
      <x:c r="D1665" s="7" t="str">
        <x:v>외부 Agent 업무</x:v>
      </x:c>
      <x:c r="E1665" s="7" t="str">
        <x:v>external</x:v>
      </x:c>
      <x:c r="F1665" s="14" t="n">
        <x:v>1.3100000000000003</x:v>
      </x:c>
      <x:c r="G1665" s="14" t="n">
        <x:v>9.31</x:v>
      </x:c>
      <x:c r="H1665" s="14" t="n">
        <x:v>8</x:v>
      </x:c>
      <x:c r="I1665" s="14" t="n">
        <x:v>0</x:v>
      </x:c>
      <x:c r="J1665" s="7" t="str">
        <x:v>agent_ingress</x:v>
      </x:c>
      <x:c r="K1665" s="7" t="str">
        <x:v>none</x:v>
      </x:c>
      <x:c r="L1665" s="14" t="n">
        <x:f>IF(G1665&lt;=I1665,0,MAX(0,L1664)+IF(E1665="via",MAX(0,G1665-MAX(F1665,I1665)),0))</x:f>
        <x:v>1.3100000000000003</x:v>
      </x:c>
    </x:row>
    <x:row r="1666" ht="42" customHeight="1">
      <x:c r="A1666" s="12" t="str">
        <x:v>DP3-B-R3</x:v>
      </x:c>
      <x:c r="B1666" s="12" t="str">
        <x:v>U15</x:v>
      </x:c>
      <x:c r="C1666" s="12" t="str">
        <x:v>result_display</x:v>
      </x:c>
      <x:c r="D1666" s="12" t="str">
        <x:v>최종 결과 상세 표시</x:v>
      </x:c>
      <x:c r="E1666" s="12" t="str">
        <x:v>via</x:v>
      </x:c>
      <x:c r="F1666" s="13" t="n">
        <x:v>9.31</x:v>
      </x:c>
      <x:c r="G1666" s="13" t="n">
        <x:v>9.35</x:v>
      </x:c>
      <x:c r="H1666" s="13" t="n">
        <x:v>0.04</x:v>
      </x:c>
      <x:c r="I1666" s="13" t="n">
        <x:v>0</x:v>
      </x:c>
      <x:c r="J1666" s="12" t="str">
        <x:v>agent_result</x:v>
      </x:c>
      <x:c r="K1666" s="12" t="str">
        <x:v>none</x:v>
      </x:c>
      <x:c r="L1666" s="13" t="n">
        <x:f>IF(G1666&lt;=I1666,0,MAX(0,L1665)+IF(E1666="via",MAX(0,G1666-MAX(F1666,I1666)),0))</x:f>
        <x:v>1.3499999999999994</x:v>
      </x:c>
    </x:row>
    <x:row r="1667" ht="42" customHeight="1">
      <x:c r="A1667" s="7" t="str">
        <x:v>DP3-B-R3</x:v>
      </x:c>
      <x:c r="B1667" s="7" t="str">
        <x:v>U15</x:v>
      </x:c>
      <x:c r="C1667" s="7" t="str">
        <x:v>response_audio</x:v>
      </x:c>
      <x:c r="D1667" s="7" t="str">
        <x:v>선택한 응답 음성 생성</x:v>
      </x:c>
      <x:c r="E1667" s="7" t="str">
        <x:v>via</x:v>
      </x:c>
      <x:c r="F1667" s="14" t="n">
        <x:v>9.31</x:v>
      </x:c>
      <x:c r="G1667" s="14" t="n">
        <x:v>11.198</x:v>
      </x:c>
      <x:c r="H1667" s="14" t="n">
        <x:v>1.888</x:v>
      </x:c>
      <x:c r="I1667" s="14" t="n">
        <x:v>0</x:v>
      </x:c>
      <x:c r="J1667" s="7" t="str">
        <x:v>agent_result</x:v>
      </x:c>
      <x:c r="K1667" s="7" t="str">
        <x:v>speech</x:v>
      </x:c>
      <x:c r="L1667" s="14" t="n">
        <x:f>IF(G1667&lt;=I1667,0,MAX(0,L1665)+IF(E1667="via",MAX(0,G1667-MAX(F1667,I1667)),0))</x:f>
        <x:v>3.1980000000000004</x:v>
      </x:c>
    </x:row>
    <x:row r="1668" ht="42" customHeight="1">
      <x:c r="A1668" s="12" t="str">
        <x:v>DP3-B-R3</x:v>
      </x:c>
      <x:c r="B1668" s="12" t="str">
        <x:v>U15</x:v>
      </x:c>
      <x:c r="C1668" s="12" t="str">
        <x:v>intent_audio</x:v>
      </x:c>
      <x:c r="D1668" s="12" t="str">
        <x:v>채택한 구체적 수행 의도의 짧은 음성</x:v>
      </x:c>
      <x:c r="E1668" s="12" t="str">
        <x:v>via</x:v>
      </x:c>
      <x:c r="F1668" s="13" t="n">
        <x:v>1.2700000000000002</x:v>
      </x:c>
      <x:c r="G1668" s="13" t="n">
        <x:v>2.404</x:v>
      </x:c>
      <x:c r="H1668" s="13" t="n">
        <x:v>1.134</x:v>
      </x:c>
      <x:c r="I1668" s="13" t="n">
        <x:v>0</x:v>
      </x:c>
      <x:c r="J1668" s="12" t="str">
        <x:v>adopt</x:v>
      </x:c>
      <x:c r="K1668" s="12" t="str">
        <x:v>speech</x:v>
      </x:c>
      <x:c r="L1668" s="13" t="n">
        <x:f>IF(G1668&lt;=I1668,0,MAX(0,L1662)+IF(E1668="via",MAX(0,G1668-MAX(F1668,I1668)),0))</x:f>
        <x:v>2.404</x:v>
      </x:c>
    </x:row>
    <x:row r="1669" ht="42" customHeight="1">
      <x:c r="A1669" s="7" t="str">
        <x:v>DP3-B-R3</x:v>
      </x:c>
      <x:c r="B1669" s="7" t="str">
        <x:v>U15</x:v>
      </x:c>
      <x:c r="C1669" s="7" t="str">
        <x:v>first_chunk</x:v>
      </x:c>
      <x:c r="D1669" s="7" t="str">
        <x:v>같은 생성 job의 유효 첫 chunk 관측</x:v>
      </x:c>
      <x:c r="E1669" s="7" t="str">
        <x:v>via</x:v>
      </x:c>
      <x:c r="F1669" s="14" t="n">
        <x:v>1.2700000000000002</x:v>
      </x:c>
      <x:c r="G1669" s="14" t="n">
        <x:v>1.7040000000000002</x:v>
      </x:c>
      <x:c r="H1669" s="14" t="n">
        <x:v>0.434</x:v>
      </x:c>
      <x:c r="I1669" s="14" t="n">
        <x:v>0</x:v>
      </x:c>
      <x:c r="J1669" s="7" t="str">
        <x:v>adopt</x:v>
      </x:c>
      <x:c r="K1669" s="7" t="str">
        <x:v>none</x:v>
      </x:c>
      <x:c r="L1669" s="14" t="n">
        <x:f>IF(G1669&lt;=I1669,0,MAX(0,L1662)+IF(E1669="via",MAX(0,G1669-MAX(F1669,I1669)),0))</x:f>
        <x:v>1.7040000000000002</x:v>
      </x:c>
    </x:row>
    <x:row r="1670" ht="42" customHeight="1">
      <x:c r="A1670" s="12" t="str">
        <x:v>DP3-B-R3</x:v>
      </x:c>
      <x:c r="B1670" s="12" t="str">
        <x:v>U15</x:v>
      </x:c>
      <x:c r="C1670" s="12" t="str">
        <x:v>first_audio_output</x:v>
      </x:c>
      <x:c r="D1670" s="12" t="str">
        <x:v>공통 장치의 첫 음성 출력</x:v>
      </x:c>
      <x:c r="E1670" s="12" t="str">
        <x:v>via</x:v>
      </x:c>
      <x:c r="F1670" s="13" t="n">
        <x:v>1.7040000000000002</x:v>
      </x:c>
      <x:c r="G1670" s="13" t="n">
        <x:v>1.7440000000000002</x:v>
      </x:c>
      <x:c r="H1670" s="13" t="n">
        <x:v>0.04</x:v>
      </x:c>
      <x:c r="I1670" s="13" t="n">
        <x:v>0</x:v>
      </x:c>
      <x:c r="J1670" s="12" t="str">
        <x:v>adopt, first_chunk</x:v>
      </x:c>
      <x:c r="K1670" s="12" t="str">
        <x:v>none</x:v>
      </x:c>
      <x:c r="L1670" s="13" t="n">
        <x:f>IF(G1670&lt;=I1670,0,MAX(0,L1662,L1669)+IF(E1670="via",MAX(0,G1670-MAX(F1670,I1670)),0))</x:f>
        <x:v>1.7440000000000002</x:v>
      </x:c>
    </x:row>
    <x:row r="1671" ht="42" customHeight="1">
      <x:c r="A1671" s="7" t="str">
        <x:v>DP3-B-R3</x:v>
      </x:c>
      <x:c r="B1671" s="7" t="str">
        <x:v>U15</x:v>
      </x:c>
      <x:c r="C1671" s="7" t="str">
        <x:v>next_speech_selection</x:v>
      </x:c>
      <x:c r="D1671" s="7" t="str">
        <x:v>현재 발화 재생 후 다음 응답 선택</x:v>
      </x:c>
      <x:c r="E1671" s="7" t="str">
        <x:v>external</x:v>
      </x:c>
      <x:c r="F1671" s="14" t="n">
        <x:v>1.7440000000000002</x:v>
      </x:c>
      <x:c r="G1671" s="14" t="n">
        <x:v>4.744</x:v>
      </x:c>
      <x:c r="H1671" s="14" t="n">
        <x:v>3</x:v>
      </x:c>
      <x:c r="I1671" s="14" t="n">
        <x:v>0</x:v>
      </x:c>
      <x:c r="J1671" s="7" t="str">
        <x:v>first_audio_output</x:v>
      </x:c>
      <x:c r="K1671" s="7" t="str">
        <x:v>none</x:v>
      </x:c>
      <x:c r="L1671" s="14" t="n">
        <x:f>IF(G1671&lt;=I1671,0,MAX(0,L1670)+IF(E1671="via",MAX(0,G1671-MAX(F1671,I1671)),0))</x:f>
        <x:v>1.7440000000000002</x:v>
      </x:c>
    </x:row>
    <x:row r="1672" ht="42" customHeight="1">
      <x:c r="A1672" s="12" t="str">
        <x:v>DP3-B-R3</x:v>
      </x:c>
      <x:c r="B1672" s="12" t="str">
        <x:v>U15</x:v>
      </x:c>
      <x:c r="C1672" s="12" t="str">
        <x:v>terminal</x:v>
      </x:c>
      <x:c r="D1672" s="12" t="str">
        <x:v>공통 목표 최종 상태와 전체 음성 준비</x:v>
      </x:c>
      <x:c r="E1672" s="12" t="str">
        <x:v>via</x:v>
      </x:c>
      <x:c r="F1672" s="13" t="n">
        <x:v>11.198</x:v>
      </x:c>
      <x:c r="G1672" s="13" t="n">
        <x:v>11.198</x:v>
      </x:c>
      <x:c r="H1672" s="13" t="n">
        <x:v>0</x:v>
      </x:c>
      <x:c r="I1672" s="13" t="n">
        <x:v>0</x:v>
      </x:c>
      <x:c r="J1672" s="12" t="str">
        <x:v>result_display, response_audio, intent_audio, first_audio_output</x:v>
      </x:c>
      <x:c r="K1672" s="12" t="str">
        <x:v>none</x:v>
      </x:c>
      <x:c r="L1672" s="13" t="n">
        <x:f>IF(G1672&lt;=I1672,0,MAX(0,L1666,L1667,L1668,L1670)+IF(E1672="via",MAX(0,G1672-MAX(F1672,I1672)),0))</x:f>
        <x:v>3.1980000000000004</x:v>
      </x:c>
    </x:row>
    <x:row r="1673" ht="42" customHeight="1">
      <x:c r="A1673" s="7" t="str">
        <x:v>DP3-B-R3</x:v>
      </x:c>
      <x:c r="B1673" s="7" t="str">
        <x:v>U16</x:v>
      </x:c>
      <x:c r="C1673" s="7" t="str">
        <x:v>original_work</x:v>
      </x:c>
      <x:c r="D1673" s="7" t="str">
        <x:v>원래 목표의 최초 VIA 처리</x:v>
      </x:c>
      <x:c r="E1673" s="7" t="str">
        <x:v>via</x:v>
      </x:c>
      <x:c r="F1673" s="14" t="n">
        <x:v>-6</x:v>
      </x:c>
      <x:c r="G1673" s="14" t="n">
        <x:v>-4</x:v>
      </x:c>
      <x:c r="H1673" s="14" t="n">
        <x:v>2</x:v>
      </x:c>
      <x:c r="I1673" s="14" t="n">
        <x:v>-6</x:v>
      </x:c>
      <x:c r="J1673" s="7" t="str"/>
      <x:c r="K1673" s="7" t="str">
        <x:v>none</x:v>
      </x:c>
      <x:c r="L1673" s="14" t="n">
        <x:f>IF(G1673&lt;=I1673,0,MAX(0)+IF(E1673="via",MAX(0,G1673-MAX(F1673,I1673)),0))</x:f>
        <x:v>2</x:v>
      </x:c>
    </x:row>
    <x:row r="1674" ht="42" customHeight="1">
      <x:c r="A1674" s="12" t="str">
        <x:v>DP3-B-R3</x:v>
      </x:c>
      <x:c r="B1674" s="12" t="str">
        <x:v>U16</x:v>
      </x:c>
      <x:c r="C1674" s="12" t="str">
        <x:v>input_end</x:v>
      </x:c>
      <x:c r="D1674" s="12" t="str">
        <x:v>사용자 입력 종료</x:v>
      </x:c>
      <x:c r="E1674" s="12" t="str">
        <x:v>external</x:v>
      </x:c>
      <x:c r="F1674" s="13" t="n">
        <x:v>0</x:v>
      </x:c>
      <x:c r="G1674" s="13" t="n">
        <x:v>0</x:v>
      </x:c>
      <x:c r="H1674" s="13" t="n">
        <x:v>0</x:v>
      </x:c>
      <x:c r="I1674" s="13" t="n">
        <x:v>-6</x:v>
      </x:c>
      <x:c r="J1674" s="12" t="str">
        <x:v>original_work</x:v>
      </x:c>
      <x:c r="K1674" s="12" t="str">
        <x:v>none</x:v>
      </x:c>
      <x:c r="L1674" s="13" t="n">
        <x:f>IF(G1674&lt;=I1674,0,MAX(0,L1673)+IF(E1674="via",MAX(0,G1674-MAX(F1674,I1674)),0))</x:f>
        <x:v>2</x:v>
      </x:c>
    </x:row>
    <x:row r="1675" ht="42" customHeight="1">
      <x:c r="A1675" s="7" t="str">
        <x:v>DP3-B-R3</x:v>
      </x:c>
      <x:c r="B1675" s="7" t="str">
        <x:v>U16</x:v>
      </x:c>
      <x:c r="C1675" s="7" t="str">
        <x:v>intake</x:v>
      </x:c>
      <x:c r="D1675" s="7" t="str">
        <x:v>입력 확정</x:v>
      </x:c>
      <x:c r="E1675" s="7" t="str">
        <x:v>via</x:v>
      </x:c>
      <x:c r="F1675" s="14" t="n">
        <x:v>0</x:v>
      </x:c>
      <x:c r="G1675" s="14" t="n">
        <x:v>0.3</x:v>
      </x:c>
      <x:c r="H1675" s="14" t="n">
        <x:v>0.3</x:v>
      </x:c>
      <x:c r="I1675" s="14" t="n">
        <x:v>-6</x:v>
      </x:c>
      <x:c r="J1675" s="7" t="str">
        <x:v>input_end</x:v>
      </x:c>
      <x:c r="K1675" s="7" t="str">
        <x:v>none</x:v>
      </x:c>
      <x:c r="L1675" s="14" t="n">
        <x:f>IF(G1675&lt;=I1675,0,MAX(0,L1674)+IF(E1675="via",MAX(0,G1675-MAX(F1675,I1675)),0))</x:f>
        <x:v>2.3</x:v>
      </x:c>
    </x:row>
    <x:row r="1676" ht="42" customHeight="1">
      <x:c r="A1676" s="12" t="str">
        <x:v>DP3-B-R3</x:v>
      </x:c>
      <x:c r="B1676" s="12" t="str">
        <x:v>U16</x:v>
      </x:c>
      <x:c r="C1676" s="12" t="str">
        <x:v>read</x:v>
      </x:c>
      <x:c r="D1676" s="12" t="str">
        <x:v>공통 허용 원본 조회</x:v>
      </x:c>
      <x:c r="E1676" s="12" t="str">
        <x:v>via</x:v>
      </x:c>
      <x:c r="F1676" s="13" t="n">
        <x:v>0.3</x:v>
      </x:c>
      <x:c r="G1676" s="13" t="n">
        <x:v>0.38</x:v>
      </x:c>
      <x:c r="H1676" s="13" t="n">
        <x:v>0.08</x:v>
      </x:c>
      <x:c r="I1676" s="13" t="n">
        <x:v>-6</x:v>
      </x:c>
      <x:c r="J1676" s="12" t="str">
        <x:v>intake</x:v>
      </x:c>
      <x:c r="K1676" s="12" t="str">
        <x:v>none</x:v>
      </x:c>
      <x:c r="L1676" s="13" t="n">
        <x:f>IF(G1676&lt;=I1676,0,MAX(0,L1675)+IF(E1676="via",MAX(0,G1676-MAX(F1676,I1676)),0))</x:f>
        <x:v>2.38</x:v>
      </x:c>
    </x:row>
    <x:row r="1677" ht="42" customHeight="1">
      <x:c r="A1677" s="7" t="str">
        <x:v>DP3-B-R3</x:v>
      </x:c>
      <x:c r="B1677" s="7" t="str">
        <x:v>U16</x:v>
      </x:c>
      <x:c r="C1677" s="7" t="str">
        <x:v>meaning</x:v>
      </x:c>
      <x:c r="D1677" s="7" t="str">
        <x:v>최초 요청 의미 채택 packet 생성</x:v>
      </x:c>
      <x:c r="E1677" s="7" t="str">
        <x:v>via</x:v>
      </x:c>
      <x:c r="F1677" s="14" t="n">
        <x:v>0.38</x:v>
      </x:c>
      <x:c r="G1677" s="14" t="n">
        <x:v>1.88</x:v>
      </x:c>
      <x:c r="H1677" s="14" t="n">
        <x:v>1.5</x:v>
      </x:c>
      <x:c r="I1677" s="14" t="n">
        <x:v>-6</x:v>
      </x:c>
      <x:c r="J1677" s="7" t="str">
        <x:v>read</x:v>
      </x:c>
      <x:c r="K1677" s="7" t="str">
        <x:v>semantic</x:v>
      </x:c>
      <x:c r="L1677" s="14" t="n">
        <x:f>IF(G1677&lt;=I1677,0,MAX(0,L1676)+IF(E1677="via",MAX(0,G1677-MAX(F1677,I1677)),0))</x:f>
        <x:v>3.88</x:v>
      </x:c>
    </x:row>
    <x:row r="1678" ht="42" customHeight="1">
      <x:c r="A1678" s="12" t="str">
        <x:v>DP3-B-R3</x:v>
      </x:c>
      <x:c r="B1678" s="12" t="str">
        <x:v>U16</x:v>
      </x:c>
      <x:c r="C1678" s="12" t="str">
        <x:v>adopt</x:v>
      </x:c>
      <x:c r="D1678" s="12" t="str">
        <x:v>현재 revision과 권한 검사 및 채택</x:v>
      </x:c>
      <x:c r="E1678" s="12" t="str">
        <x:v>via</x:v>
      </x:c>
      <x:c r="F1678" s="13" t="n">
        <x:v>1.88</x:v>
      </x:c>
      <x:c r="G1678" s="13" t="n">
        <x:v>1.91</x:v>
      </x:c>
      <x:c r="H1678" s="13" t="n">
        <x:v>0.03</x:v>
      </x:c>
      <x:c r="I1678" s="13" t="n">
        <x:v>-6</x:v>
      </x:c>
      <x:c r="J1678" s="12" t="str">
        <x:v>meaning</x:v>
      </x:c>
      <x:c r="K1678" s="12" t="str">
        <x:v>none</x:v>
      </x:c>
      <x:c r="L1678" s="13" t="n">
        <x:f>IF(G1678&lt;=I1678,0,MAX(0,L1677)+IF(E1678="via",MAX(0,G1678-MAX(F1678,I1678)),0))</x:f>
        <x:v>3.91</x:v>
      </x:c>
    </x:row>
    <x:row r="1679" ht="42" customHeight="1">
      <x:c r="A1679" s="7" t="str">
        <x:v>DP3-B-R3</x:v>
      </x:c>
      <x:c r="B1679" s="7" t="str">
        <x:v>U16</x:v>
      </x:c>
      <x:c r="C1679" s="7" t="str">
        <x:v>first_display</x:v>
      </x:c>
      <x:c r="D1679" s="7" t="str">
        <x:v>첫 구체적 채택 내용 화면 표시</x:v>
      </x:c>
      <x:c r="E1679" s="7" t="str">
        <x:v>via</x:v>
      </x:c>
      <x:c r="F1679" s="14" t="n">
        <x:v>1.91</x:v>
      </x:c>
      <x:c r="G1679" s="14" t="n">
        <x:v>1.95</x:v>
      </x:c>
      <x:c r="H1679" s="14" t="n">
        <x:v>0.04</x:v>
      </x:c>
      <x:c r="I1679" s="14" t="n">
        <x:v>-6</x:v>
      </x:c>
      <x:c r="J1679" s="7" t="str">
        <x:v>adopt</x:v>
      </x:c>
      <x:c r="K1679" s="7" t="str">
        <x:v>none</x:v>
      </x:c>
      <x:c r="L1679" s="14" t="n">
        <x:f>IF(G1679&lt;=I1679,0,MAX(0,L1678)+IF(E1679="via",MAX(0,G1679-MAX(F1679,I1679)),0))</x:f>
        <x:v>3.95</x:v>
      </x:c>
    </x:row>
    <x:row r="1680" ht="42" customHeight="1">
      <x:c r="A1680" s="12" t="str">
        <x:v>DP3-B-R3</x:v>
      </x:c>
      <x:c r="B1680" s="12" t="str">
        <x:v>U16</x:v>
      </x:c>
      <x:c r="C1680" s="12" t="str">
        <x:v>agent_ingress</x:v>
      </x:c>
      <x:c r="D1680" s="12" t="str">
        <x:v>Agent 요청 전송</x:v>
      </x:c>
      <x:c r="E1680" s="12" t="str">
        <x:v>via</x:v>
      </x:c>
      <x:c r="F1680" s="13" t="n">
        <x:v>1.91</x:v>
      </x:c>
      <x:c r="G1680" s="13" t="n">
        <x:v>1.95</x:v>
      </x:c>
      <x:c r="H1680" s="13" t="n">
        <x:v>0.04</x:v>
      </x:c>
      <x:c r="I1680" s="13" t="n">
        <x:v>-6</x:v>
      </x:c>
      <x:c r="J1680" s="12" t="str">
        <x:v>adopt</x:v>
      </x:c>
      <x:c r="K1680" s="12" t="str">
        <x:v>none</x:v>
      </x:c>
      <x:c r="L1680" s="13" t="n">
        <x:f>IF(G1680&lt;=I1680,0,MAX(0,L1678)+IF(E1680="via",MAX(0,G1680-MAX(F1680,I1680)),0))</x:f>
        <x:v>3.95</x:v>
      </x:c>
    </x:row>
    <x:row r="1681" ht="42" customHeight="1">
      <x:c r="A1681" s="7" t="str">
        <x:v>DP3-B-R3</x:v>
      </x:c>
      <x:c r="B1681" s="7" t="str">
        <x:v>U16</x:v>
      </x:c>
      <x:c r="C1681" s="7" t="str">
        <x:v>agent_result</x:v>
      </x:c>
      <x:c r="D1681" s="7" t="str">
        <x:v>외부 Agent 업무</x:v>
      </x:c>
      <x:c r="E1681" s="7" t="str">
        <x:v>external</x:v>
      </x:c>
      <x:c r="F1681" s="14" t="n">
        <x:v>1.95</x:v>
      </x:c>
      <x:c r="G1681" s="14" t="n">
        <x:v>9.95</x:v>
      </x:c>
      <x:c r="H1681" s="14" t="n">
        <x:v>8</x:v>
      </x:c>
      <x:c r="I1681" s="14" t="n">
        <x:v>-6</x:v>
      </x:c>
      <x:c r="J1681" s="7" t="str">
        <x:v>agent_ingress</x:v>
      </x:c>
      <x:c r="K1681" s="7" t="str">
        <x:v>none</x:v>
      </x:c>
      <x:c r="L1681" s="14" t="n">
        <x:f>IF(G1681&lt;=I1681,0,MAX(0,L1680)+IF(E1681="via",MAX(0,G1681-MAX(F1681,I1681)),0))</x:f>
        <x:v>3.95</x:v>
      </x:c>
    </x:row>
    <x:row r="1682" ht="42" customHeight="1">
      <x:c r="A1682" s="12" t="str">
        <x:v>DP3-B-R3</x:v>
      </x:c>
      <x:c r="B1682" s="12" t="str">
        <x:v>U16</x:v>
      </x:c>
      <x:c r="C1682" s="12" t="str">
        <x:v>result_display</x:v>
      </x:c>
      <x:c r="D1682" s="12" t="str">
        <x:v>최종 결과 상세 표시</x:v>
      </x:c>
      <x:c r="E1682" s="12" t="str">
        <x:v>via</x:v>
      </x:c>
      <x:c r="F1682" s="13" t="n">
        <x:v>9.95</x:v>
      </x:c>
      <x:c r="G1682" s="13" t="n">
        <x:v>9.989999999999998</x:v>
      </x:c>
      <x:c r="H1682" s="13" t="n">
        <x:v>0.04</x:v>
      </x:c>
      <x:c r="I1682" s="13" t="n">
        <x:v>-6</x:v>
      </x:c>
      <x:c r="J1682" s="12" t="str">
        <x:v>agent_result</x:v>
      </x:c>
      <x:c r="K1682" s="12" t="str">
        <x:v>none</x:v>
      </x:c>
      <x:c r="L1682" s="13" t="n">
        <x:f>IF(G1682&lt;=I1682,0,MAX(0,L1681)+IF(E1682="via",MAX(0,G1682-MAX(F1682,I1682)),0))</x:f>
        <x:v>3.9899999999999993</x:v>
      </x:c>
    </x:row>
    <x:row r="1683" ht="42" customHeight="1">
      <x:c r="A1683" s="7" t="str">
        <x:v>DP3-B-R3</x:v>
      </x:c>
      <x:c r="B1683" s="7" t="str">
        <x:v>U16</x:v>
      </x:c>
      <x:c r="C1683" s="7" t="str">
        <x:v>response_audio</x:v>
      </x:c>
      <x:c r="D1683" s="7" t="str">
        <x:v>선택한 응답 음성 생성</x:v>
      </x:c>
      <x:c r="E1683" s="7" t="str">
        <x:v>via</x:v>
      </x:c>
      <x:c r="F1683" s="14" t="n">
        <x:v>9.95</x:v>
      </x:c>
      <x:c r="G1683" s="14" t="n">
        <x:v>11.838</x:v>
      </x:c>
      <x:c r="H1683" s="14" t="n">
        <x:v>1.888</x:v>
      </x:c>
      <x:c r="I1683" s="14" t="n">
        <x:v>-6</x:v>
      </x:c>
      <x:c r="J1683" s="7" t="str">
        <x:v>agent_result</x:v>
      </x:c>
      <x:c r="K1683" s="7" t="str">
        <x:v>speech</x:v>
      </x:c>
      <x:c r="L1683" s="14" t="n">
        <x:f>IF(G1683&lt;=I1683,0,MAX(0,L1681)+IF(E1683="via",MAX(0,G1683-MAX(F1683,I1683)),0))</x:f>
        <x:v>5.838</x:v>
      </x:c>
    </x:row>
    <x:row r="1684" ht="42" customHeight="1">
      <x:c r="A1684" s="12" t="str">
        <x:v>DP3-B-R3</x:v>
      </x:c>
      <x:c r="B1684" s="12" t="str">
        <x:v>U16</x:v>
      </x:c>
      <x:c r="C1684" s="12" t="str">
        <x:v>intent_audio</x:v>
      </x:c>
      <x:c r="D1684" s="12" t="str">
        <x:v>채택한 구체적 수행 의도의 짧은 음성</x:v>
      </x:c>
      <x:c r="E1684" s="12" t="str">
        <x:v>via</x:v>
      </x:c>
      <x:c r="F1684" s="13" t="n">
        <x:v>1.91</x:v>
      </x:c>
      <x:c r="G1684" s="13" t="n">
        <x:v>3.0439999999999996</x:v>
      </x:c>
      <x:c r="H1684" s="13" t="n">
        <x:v>1.134</x:v>
      </x:c>
      <x:c r="I1684" s="13" t="n">
        <x:v>-6</x:v>
      </x:c>
      <x:c r="J1684" s="12" t="str">
        <x:v>adopt</x:v>
      </x:c>
      <x:c r="K1684" s="12" t="str">
        <x:v>speech</x:v>
      </x:c>
      <x:c r="L1684" s="13" t="n">
        <x:f>IF(G1684&lt;=I1684,0,MAX(0,L1678)+IF(E1684="via",MAX(0,G1684-MAX(F1684,I1684)),0))</x:f>
        <x:v>5.044</x:v>
      </x:c>
    </x:row>
    <x:row r="1685" ht="42" customHeight="1">
      <x:c r="A1685" s="7" t="str">
        <x:v>DP3-B-R3</x:v>
      </x:c>
      <x:c r="B1685" s="7" t="str">
        <x:v>U16</x:v>
      </x:c>
      <x:c r="C1685" s="7" t="str">
        <x:v>first_chunk</x:v>
      </x:c>
      <x:c r="D1685" s="7" t="str">
        <x:v>같은 생성 job의 유효 첫 chunk 관측</x:v>
      </x:c>
      <x:c r="E1685" s="7" t="str">
        <x:v>via</x:v>
      </x:c>
      <x:c r="F1685" s="14" t="n">
        <x:v>1.91</x:v>
      </x:c>
      <x:c r="G1685" s="14" t="n">
        <x:v>2.344</x:v>
      </x:c>
      <x:c r="H1685" s="14" t="n">
        <x:v>0.434</x:v>
      </x:c>
      <x:c r="I1685" s="14" t="n">
        <x:v>-6</x:v>
      </x:c>
      <x:c r="J1685" s="7" t="str">
        <x:v>adopt</x:v>
      </x:c>
      <x:c r="K1685" s="7" t="str">
        <x:v>none</x:v>
      </x:c>
      <x:c r="L1685" s="14" t="n">
        <x:f>IF(G1685&lt;=I1685,0,MAX(0,L1678)+IF(E1685="via",MAX(0,G1685-MAX(F1685,I1685)),0))</x:f>
        <x:v>4.344</x:v>
      </x:c>
    </x:row>
    <x:row r="1686" ht="42" customHeight="1">
      <x:c r="A1686" s="12" t="str">
        <x:v>DP3-B-R3</x:v>
      </x:c>
      <x:c r="B1686" s="12" t="str">
        <x:v>U16</x:v>
      </x:c>
      <x:c r="C1686" s="12" t="str">
        <x:v>first_audio_output</x:v>
      </x:c>
      <x:c r="D1686" s="12" t="str">
        <x:v>공통 장치의 첫 음성 출력</x:v>
      </x:c>
      <x:c r="E1686" s="12" t="str">
        <x:v>via</x:v>
      </x:c>
      <x:c r="F1686" s="13" t="n">
        <x:v>2.344</x:v>
      </x:c>
      <x:c r="G1686" s="13" t="n">
        <x:v>2.384</x:v>
      </x:c>
      <x:c r="H1686" s="13" t="n">
        <x:v>0.04</x:v>
      </x:c>
      <x:c r="I1686" s="13" t="n">
        <x:v>-6</x:v>
      </x:c>
      <x:c r="J1686" s="12" t="str">
        <x:v>adopt, first_chunk</x:v>
      </x:c>
      <x:c r="K1686" s="12" t="str">
        <x:v>none</x:v>
      </x:c>
      <x:c r="L1686" s="13" t="n">
        <x:f>IF(G1686&lt;=I1686,0,MAX(0,L1678,L1685)+IF(E1686="via",MAX(0,G1686-MAX(F1686,I1686)),0))</x:f>
        <x:v>4.384</x:v>
      </x:c>
    </x:row>
    <x:row r="1687" ht="42" customHeight="1">
      <x:c r="A1687" s="7" t="str">
        <x:v>DP3-B-R3</x:v>
      </x:c>
      <x:c r="B1687" s="7" t="str">
        <x:v>U16</x:v>
      </x:c>
      <x:c r="C1687" s="7" t="str">
        <x:v>next_speech_selection</x:v>
      </x:c>
      <x:c r="D1687" s="7" t="str">
        <x:v>현재 발화 재생 후 다음 응답 선택</x:v>
      </x:c>
      <x:c r="E1687" s="7" t="str">
        <x:v>external</x:v>
      </x:c>
      <x:c r="F1687" s="14" t="n">
        <x:v>2.384</x:v>
      </x:c>
      <x:c r="G1687" s="14" t="n">
        <x:v>5.384</x:v>
      </x:c>
      <x:c r="H1687" s="14" t="n">
        <x:v>3</x:v>
      </x:c>
      <x:c r="I1687" s="14" t="n">
        <x:v>-6</x:v>
      </x:c>
      <x:c r="J1687" s="7" t="str">
        <x:v>first_audio_output</x:v>
      </x:c>
      <x:c r="K1687" s="7" t="str">
        <x:v>none</x:v>
      </x:c>
      <x:c r="L1687" s="14" t="n">
        <x:f>IF(G1687&lt;=I1687,0,MAX(0,L1686)+IF(E1687="via",MAX(0,G1687-MAX(F1687,I1687)),0))</x:f>
        <x:v>4.384</x:v>
      </x:c>
    </x:row>
    <x:row r="1688" ht="42" customHeight="1">
      <x:c r="A1688" s="12" t="str">
        <x:v>DP3-B-R3</x:v>
      </x:c>
      <x:c r="B1688" s="12" t="str">
        <x:v>U16</x:v>
      </x:c>
      <x:c r="C1688" s="12" t="str">
        <x:v>terminal</x:v>
      </x:c>
      <x:c r="D1688" s="12" t="str">
        <x:v>공통 목표 최종 상태와 전체 음성 준비</x:v>
      </x:c>
      <x:c r="E1688" s="12" t="str">
        <x:v>via</x:v>
      </x:c>
      <x:c r="F1688" s="13" t="n">
        <x:v>11.838</x:v>
      </x:c>
      <x:c r="G1688" s="13" t="n">
        <x:v>11.838</x:v>
      </x:c>
      <x:c r="H1688" s="13" t="n">
        <x:v>0</x:v>
      </x:c>
      <x:c r="I1688" s="13" t="n">
        <x:v>-6</x:v>
      </x:c>
      <x:c r="J1688" s="12" t="str">
        <x:v>result_display, response_audio, intent_audio, first_audio_output</x:v>
      </x:c>
      <x:c r="K1688" s="12" t="str">
        <x:v>none</x:v>
      </x:c>
      <x:c r="L1688" s="13" t="n">
        <x:f>IF(G1688&lt;=I1688,0,MAX(0,L1682,L1683,L1684,L1686)+IF(E1688="via",MAX(0,G1688-MAX(F1688,I1688)),0))</x:f>
        <x:v>5.838</x:v>
      </x:c>
    </x:row>
    <x:row r="1689" ht="42" customHeight="1">
      <x:c r="A1689" s="7" t="str">
        <x:v>DP3-B-R3</x:v>
      </x:c>
      <x:c r="B1689" s="7" t="str">
        <x:v>U17</x:v>
      </x:c>
      <x:c r="C1689" s="7" t="str">
        <x:v>input_end</x:v>
      </x:c>
      <x:c r="D1689" s="7" t="str">
        <x:v>사용자 입력 종료</x:v>
      </x:c>
      <x:c r="E1689" s="7" t="str">
        <x:v>external</x:v>
      </x:c>
      <x:c r="F1689" s="14" t="n">
        <x:v>0</x:v>
      </x:c>
      <x:c r="G1689" s="14" t="n">
        <x:v>0</x:v>
      </x:c>
      <x:c r="H1689" s="14" t="n">
        <x:v>0</x:v>
      </x:c>
      <x:c r="I1689" s="14" t="n">
        <x:v>0</x:v>
      </x:c>
      <x:c r="J1689" s="7" t="str"/>
      <x:c r="K1689" s="7" t="str">
        <x:v>none</x:v>
      </x:c>
      <x:c r="L1689" s="14" t="n">
        <x:f>IF(G1689&lt;=I1689,0,MAX(0)+IF(E1689="via",MAX(0,G1689-MAX(F1689,I1689)),0))</x:f>
        <x:v>0</x:v>
      </x:c>
    </x:row>
    <x:row r="1690" ht="42" customHeight="1">
      <x:c r="A1690" s="12" t="str">
        <x:v>DP3-B-R3</x:v>
      </x:c>
      <x:c r="B1690" s="12" t="str">
        <x:v>U17</x:v>
      </x:c>
      <x:c r="C1690" s="12" t="str">
        <x:v>intake</x:v>
      </x:c>
      <x:c r="D1690" s="12" t="str">
        <x:v>입력 확정</x:v>
      </x:c>
      <x:c r="E1690" s="12" t="str">
        <x:v>via</x:v>
      </x:c>
      <x:c r="F1690" s="13" t="n">
        <x:v>0</x:v>
      </x:c>
      <x:c r="G1690" s="13" t="n">
        <x:v>0.3</x:v>
      </x:c>
      <x:c r="H1690" s="13" t="n">
        <x:v>0.3</x:v>
      </x:c>
      <x:c r="I1690" s="13" t="n">
        <x:v>0</x:v>
      </x:c>
      <x:c r="J1690" s="12" t="str">
        <x:v>input_end</x:v>
      </x:c>
      <x:c r="K1690" s="12" t="str">
        <x:v>none</x:v>
      </x:c>
      <x:c r="L1690" s="13" t="n">
        <x:f>IF(G1690&lt;=I1690,0,MAX(0,L1689)+IF(E1690="via",MAX(0,G1690-MAX(F1690,I1690)),0))</x:f>
        <x:v>0.3</x:v>
      </x:c>
    </x:row>
    <x:row r="1691" ht="42" customHeight="1">
      <x:c r="A1691" s="7" t="str">
        <x:v>DP3-B-R3</x:v>
      </x:c>
      <x:c r="B1691" s="7" t="str">
        <x:v>U17</x:v>
      </x:c>
      <x:c r="C1691" s="7" t="str">
        <x:v>read</x:v>
      </x:c>
      <x:c r="D1691" s="7" t="str">
        <x:v>공통 허용 원본 조회</x:v>
      </x:c>
      <x:c r="E1691" s="7" t="str">
        <x:v>via</x:v>
      </x:c>
      <x:c r="F1691" s="14" t="n">
        <x:v>0.3</x:v>
      </x:c>
      <x:c r="G1691" s="14" t="n">
        <x:v>0.38</x:v>
      </x:c>
      <x:c r="H1691" s="14" t="n">
        <x:v>0.08</x:v>
      </x:c>
      <x:c r="I1691" s="14" t="n">
        <x:v>0</x:v>
      </x:c>
      <x:c r="J1691" s="7" t="str">
        <x:v>intake</x:v>
      </x:c>
      <x:c r="K1691" s="7" t="str">
        <x:v>none</x:v>
      </x:c>
      <x:c r="L1691" s="14" t="n">
        <x:f>IF(G1691&lt;=I1691,0,MAX(0,L1690)+IF(E1691="via",MAX(0,G1691-MAX(F1691,I1691)),0))</x:f>
        <x:v>0.38</x:v>
      </x:c>
    </x:row>
    <x:row r="1692" ht="42" customHeight="1">
      <x:c r="A1692" s="12" t="str">
        <x:v>DP3-B-R3</x:v>
      </x:c>
      <x:c r="B1692" s="12" t="str">
        <x:v>U17</x:v>
      </x:c>
      <x:c r="C1692" s="12" t="str">
        <x:v>meaning</x:v>
      </x:c>
      <x:c r="D1692" s="12" t="str">
        <x:v>최초 요청 의미 채택 packet 생성</x:v>
      </x:c>
      <x:c r="E1692" s="12" t="str">
        <x:v>via</x:v>
      </x:c>
      <x:c r="F1692" s="13" t="n">
        <x:v>0.38</x:v>
      </x:c>
      <x:c r="G1692" s="13" t="n">
        <x:v>1.48</x:v>
      </x:c>
      <x:c r="H1692" s="13" t="n">
        <x:v>1.1</x:v>
      </x:c>
      <x:c r="I1692" s="13" t="n">
        <x:v>0</x:v>
      </x:c>
      <x:c r="J1692" s="12" t="str">
        <x:v>read</x:v>
      </x:c>
      <x:c r="K1692" s="12" t="str">
        <x:v>semantic</x:v>
      </x:c>
      <x:c r="L1692" s="13" t="n">
        <x:f>IF(G1692&lt;=I1692,0,MAX(0,L1691)+IF(E1692="via",MAX(0,G1692-MAX(F1692,I1692)),0))</x:f>
        <x:v>1.48</x:v>
      </x:c>
    </x:row>
    <x:row r="1693" ht="42" customHeight="1">
      <x:c r="A1693" s="7" t="str">
        <x:v>DP3-B-R3</x:v>
      </x:c>
      <x:c r="B1693" s="7" t="str">
        <x:v>U17</x:v>
      </x:c>
      <x:c r="C1693" s="7" t="str">
        <x:v>adopt</x:v>
      </x:c>
      <x:c r="D1693" s="7" t="str">
        <x:v>현재 revision과 권한 검사 및 채택</x:v>
      </x:c>
      <x:c r="E1693" s="7" t="str">
        <x:v>via</x:v>
      </x:c>
      <x:c r="F1693" s="14" t="n">
        <x:v>1.48</x:v>
      </x:c>
      <x:c r="G1693" s="14" t="n">
        <x:v>1.51</x:v>
      </x:c>
      <x:c r="H1693" s="14" t="n">
        <x:v>0.03</x:v>
      </x:c>
      <x:c r="I1693" s="14" t="n">
        <x:v>0</x:v>
      </x:c>
      <x:c r="J1693" s="7" t="str">
        <x:v>meaning</x:v>
      </x:c>
      <x:c r="K1693" s="7" t="str">
        <x:v>none</x:v>
      </x:c>
      <x:c r="L1693" s="14" t="n">
        <x:f>IF(G1693&lt;=I1693,0,MAX(0,L1692)+IF(E1693="via",MAX(0,G1693-MAX(F1693,I1693)),0))</x:f>
        <x:v>1.51</x:v>
      </x:c>
    </x:row>
    <x:row r="1694" ht="42" customHeight="1">
      <x:c r="A1694" s="12" t="str">
        <x:v>DP3-B-R3</x:v>
      </x:c>
      <x:c r="B1694" s="12" t="str">
        <x:v>U17</x:v>
      </x:c>
      <x:c r="C1694" s="12" t="str">
        <x:v>first_display</x:v>
      </x:c>
      <x:c r="D1694" s="12" t="str">
        <x:v>첫 구체적 채택 내용 화면 표시</x:v>
      </x:c>
      <x:c r="E1694" s="12" t="str">
        <x:v>via</x:v>
      </x:c>
      <x:c r="F1694" s="13" t="n">
        <x:v>1.51</x:v>
      </x:c>
      <x:c r="G1694" s="13" t="n">
        <x:v>1.55</x:v>
      </x:c>
      <x:c r="H1694" s="13" t="n">
        <x:v>0.04</x:v>
      </x:c>
      <x:c r="I1694" s="13" t="n">
        <x:v>0</x:v>
      </x:c>
      <x:c r="J1694" s="12" t="str">
        <x:v>adopt</x:v>
      </x:c>
      <x:c r="K1694" s="12" t="str">
        <x:v>none</x:v>
      </x:c>
      <x:c r="L1694" s="13" t="n">
        <x:f>IF(G1694&lt;=I1694,0,MAX(0,L1693)+IF(E1694="via",MAX(0,G1694-MAX(F1694,I1694)),0))</x:f>
        <x:v>1.55</x:v>
      </x:c>
    </x:row>
    <x:row r="1695" ht="42" customHeight="1">
      <x:c r="A1695" s="7" t="str">
        <x:v>DP3-B-R3</x:v>
      </x:c>
      <x:c r="B1695" s="7" t="str">
        <x:v>U17</x:v>
      </x:c>
      <x:c r="C1695" s="7" t="str">
        <x:v>question_arrival</x:v>
      </x:c>
      <x:c r="D1695" s="7" t="str">
        <x:v>Agent 질문 텍스트 도착</x:v>
      </x:c>
      <x:c r="E1695" s="7" t="str">
        <x:v>external</x:v>
      </x:c>
      <x:c r="F1695" s="14" t="n">
        <x:v>-2</x:v>
      </x:c>
      <x:c r="G1695" s="14" t="n">
        <x:v>-2</x:v>
      </x:c>
      <x:c r="H1695" s="14" t="n">
        <x:v>0</x:v>
      </x:c>
      <x:c r="I1695" s="14" t="n">
        <x:v>0</x:v>
      </x:c>
      <x:c r="J1695" s="7" t="str"/>
      <x:c r="K1695" s="7" t="str">
        <x:v>none</x:v>
      </x:c>
      <x:c r="L1695" s="14" t="n">
        <x:f>IF(G1695&lt;=I1695,0,MAX(0)+IF(E1695="via",MAX(0,G1695-MAX(F1695,I1695)),0))</x:f>
        <x:v>0</x:v>
      </x:c>
    </x:row>
    <x:row r="1696" ht="42" customHeight="1">
      <x:c r="A1696" s="12" t="str">
        <x:v>DP3-B-R3</x:v>
      </x:c>
      <x:c r="B1696" s="12" t="str">
        <x:v>U17</x:v>
      </x:c>
      <x:c r="C1696" s="12" t="str">
        <x:v>question_audio</x:v>
      </x:c>
      <x:c r="D1696" s="12" t="str">
        <x:v>선택한 응답 음성 생성</x:v>
      </x:c>
      <x:c r="E1696" s="12" t="str">
        <x:v>via</x:v>
      </x:c>
      <x:c r="F1696" s="13" t="n">
        <x:v>-2</x:v>
      </x:c>
      <x:c r="G1696" s="13" t="n">
        <x:v>0.3906666666666667</x:v>
      </x:c>
      <x:c r="H1696" s="13" t="n">
        <x:v>2.3906666666666667</x:v>
      </x:c>
      <x:c r="I1696" s="13" t="n">
        <x:v>0</x:v>
      </x:c>
      <x:c r="J1696" s="12" t="str">
        <x:v>question_arrival</x:v>
      </x:c>
      <x:c r="K1696" s="12" t="str">
        <x:v>speech</x:v>
      </x:c>
      <x:c r="L1696" s="13" t="n">
        <x:f>IF(G1696&lt;=I1696,0,MAX(0,L1695)+IF(E1696="via",MAX(0,G1696-MAX(F1696,I1696)),0))</x:f>
        <x:v>0.3906666666666667</x:v>
      </x:c>
    </x:row>
    <x:row r="1697" ht="42" customHeight="1">
      <x:c r="A1697" s="7" t="str">
        <x:v>DP3-B-R3</x:v>
      </x:c>
      <x:c r="B1697" s="7" t="str">
        <x:v>U17</x:v>
      </x:c>
      <x:c r="C1697" s="7" t="str">
        <x:v>first_chunk</x:v>
      </x:c>
      <x:c r="D1697" s="7" t="str">
        <x:v>같은 생성 job의 유효 첫 chunk 관측</x:v>
      </x:c>
      <x:c r="E1697" s="7" t="str">
        <x:v>via</x:v>
      </x:c>
      <x:c r="F1697" s="14" t="n">
        <x:v>-2</x:v>
      </x:c>
      <x:c r="G1697" s="14" t="n">
        <x:v>-1.5593333333333335</x:v>
      </x:c>
      <x:c r="H1697" s="14" t="n">
        <x:v>0.44066666666666665</x:v>
      </x:c>
      <x:c r="I1697" s="14" t="n">
        <x:v>0</x:v>
      </x:c>
      <x:c r="J1697" s="7" t="str">
        <x:v>question_arrival</x:v>
      </x:c>
      <x:c r="K1697" s="7" t="str">
        <x:v>none</x:v>
      </x:c>
      <x:c r="L1697" s="14" t="n">
        <x:f>IF(G1697&lt;=I1697,0,MAX(0,L1695)+IF(E1697="via",MAX(0,G1697-MAX(F1697,I1697)),0))</x:f>
        <x:v>0</x:v>
      </x:c>
    </x:row>
    <x:row r="1698" ht="42" customHeight="1">
      <x:c r="A1698" s="12" t="str">
        <x:v>DP3-B-R3</x:v>
      </x:c>
      <x:c r="B1698" s="12" t="str">
        <x:v>U17</x:v>
      </x:c>
      <x:c r="C1698" s="12" t="str">
        <x:v>first_audio_output</x:v>
      </x:c>
      <x:c r="D1698" s="12" t="str">
        <x:v>공통 장치의 첫 음성 출력</x:v>
      </x:c>
      <x:c r="E1698" s="12" t="str">
        <x:v>via</x:v>
      </x:c>
      <x:c r="F1698" s="13" t="n">
        <x:v>1.51</x:v>
      </x:c>
      <x:c r="G1698" s="13" t="n">
        <x:v>1.55</x:v>
      </x:c>
      <x:c r="H1698" s="13" t="n">
        <x:v>0.04</x:v>
      </x:c>
      <x:c r="I1698" s="13" t="n">
        <x:v>0</x:v>
      </x:c>
      <x:c r="J1698" s="12" t="str">
        <x:v>adopt, first_chunk</x:v>
      </x:c>
      <x:c r="K1698" s="12" t="str">
        <x:v>none</x:v>
      </x:c>
      <x:c r="L1698" s="13" t="n">
        <x:f>IF(G1698&lt;=I1698,0,MAX(0,L1693,L1697)+IF(E1698="via",MAX(0,G1698-MAX(F1698,I1698)),0))</x:f>
        <x:v>1.55</x:v>
      </x:c>
    </x:row>
    <x:row r="1699" ht="42" customHeight="1">
      <x:c r="A1699" s="7" t="str">
        <x:v>DP3-B-R3</x:v>
      </x:c>
      <x:c r="B1699" s="7" t="str">
        <x:v>U17</x:v>
      </x:c>
      <x:c r="C1699" s="7" t="str">
        <x:v>terminal</x:v>
      </x:c>
      <x:c r="D1699" s="7" t="str">
        <x:v>공통 목표 최종 상태와 전체 음성 준비</x:v>
      </x:c>
      <x:c r="E1699" s="7" t="str">
        <x:v>via</x:v>
      </x:c>
      <x:c r="F1699" s="14" t="n">
        <x:v>1.55</x:v>
      </x:c>
      <x:c r="G1699" s="14" t="n">
        <x:v>1.55</x:v>
      </x:c>
      <x:c r="H1699" s="14" t="n">
        <x:v>0</x:v>
      </x:c>
      <x:c r="I1699" s="14" t="n">
        <x:v>0</x:v>
      </x:c>
      <x:c r="J1699" s="7" t="str">
        <x:v>first_display, question_audio, first_audio_output</x:v>
      </x:c>
      <x:c r="K1699" s="7" t="str">
        <x:v>none</x:v>
      </x:c>
      <x:c r="L1699" s="14" t="n">
        <x:f>IF(G1699&lt;=I1699,0,MAX(0,L1694,L1696,L1698)+IF(E1699="via",MAX(0,G1699-MAX(F1699,I1699)),0))</x:f>
        <x:v>1.55</x:v>
      </x:c>
    </x:row>
    <x:row r="1700" ht="42" customHeight="1">
      <x:c r="A1700" s="12" t="str">
        <x:v>DP3-B-R3</x:v>
      </x:c>
      <x:c r="B1700" s="12" t="str">
        <x:v>U18</x:v>
      </x:c>
      <x:c r="C1700" s="12" t="str">
        <x:v>input_end</x:v>
      </x:c>
      <x:c r="D1700" s="12" t="str">
        <x:v>사용자 입력 종료</x:v>
      </x:c>
      <x:c r="E1700" s="12" t="str">
        <x:v>external</x:v>
      </x:c>
      <x:c r="F1700" s="13" t="n">
        <x:v>0</x:v>
      </x:c>
      <x:c r="G1700" s="13" t="n">
        <x:v>0</x:v>
      </x:c>
      <x:c r="H1700" s="13" t="n">
        <x:v>0</x:v>
      </x:c>
      <x:c r="I1700" s="13" t="n">
        <x:v>0</x:v>
      </x:c>
      <x:c r="J1700" s="12" t="str"/>
      <x:c r="K1700" s="12" t="str">
        <x:v>none</x:v>
      </x:c>
      <x:c r="L1700" s="13" t="n">
        <x:f>IF(G1700&lt;=I1700,0,MAX(0)+IF(E1700="via",MAX(0,G1700-MAX(F1700,I1700)),0))</x:f>
        <x:v>0</x:v>
      </x:c>
    </x:row>
    <x:row r="1701" ht="42" customHeight="1">
      <x:c r="A1701" s="7" t="str">
        <x:v>DP3-B-R3</x:v>
      </x:c>
      <x:c r="B1701" s="7" t="str">
        <x:v>U18</x:v>
      </x:c>
      <x:c r="C1701" s="7" t="str">
        <x:v>intake</x:v>
      </x:c>
      <x:c r="D1701" s="7" t="str">
        <x:v>입력 확정</x:v>
      </x:c>
      <x:c r="E1701" s="7" t="str">
        <x:v>via</x:v>
      </x:c>
      <x:c r="F1701" s="14" t="n">
        <x:v>0</x:v>
      </x:c>
      <x:c r="G1701" s="14" t="n">
        <x:v>0.3</x:v>
      </x:c>
      <x:c r="H1701" s="14" t="n">
        <x:v>0.3</x:v>
      </x:c>
      <x:c r="I1701" s="14" t="n">
        <x:v>0</x:v>
      </x:c>
      <x:c r="J1701" s="7" t="str">
        <x:v>input_end</x:v>
      </x:c>
      <x:c r="K1701" s="7" t="str">
        <x:v>none</x:v>
      </x:c>
      <x:c r="L1701" s="14" t="n">
        <x:f>IF(G1701&lt;=I1701,0,MAX(0,L1700)+IF(E1701="via",MAX(0,G1701-MAX(F1701,I1701)),0))</x:f>
        <x:v>0.3</x:v>
      </x:c>
    </x:row>
    <x:row r="1702" ht="42" customHeight="1">
      <x:c r="A1702" s="12" t="str">
        <x:v>DP3-B-R3</x:v>
      </x:c>
      <x:c r="B1702" s="12" t="str">
        <x:v>U18</x:v>
      </x:c>
      <x:c r="C1702" s="12" t="str">
        <x:v>read</x:v>
      </x:c>
      <x:c r="D1702" s="12" t="str">
        <x:v>공통 허용 원본 조회</x:v>
      </x:c>
      <x:c r="E1702" s="12" t="str">
        <x:v>via</x:v>
      </x:c>
      <x:c r="F1702" s="13" t="n">
        <x:v>0.3</x:v>
      </x:c>
      <x:c r="G1702" s="13" t="n">
        <x:v>0.38</x:v>
      </x:c>
      <x:c r="H1702" s="13" t="n">
        <x:v>0.08</x:v>
      </x:c>
      <x:c r="I1702" s="13" t="n">
        <x:v>0</x:v>
      </x:c>
      <x:c r="J1702" s="12" t="str">
        <x:v>intake</x:v>
      </x:c>
      <x:c r="K1702" s="12" t="str">
        <x:v>none</x:v>
      </x:c>
      <x:c r="L1702" s="13" t="n">
        <x:f>IF(G1702&lt;=I1702,0,MAX(0,L1701)+IF(E1702="via",MAX(0,G1702-MAX(F1702,I1702)),0))</x:f>
        <x:v>0.38</x:v>
      </x:c>
    </x:row>
    <x:row r="1703" ht="42" customHeight="1">
      <x:c r="A1703" s="7" t="str">
        <x:v>DP3-B-R3</x:v>
      </x:c>
      <x:c r="B1703" s="7" t="str">
        <x:v>U18</x:v>
      </x:c>
      <x:c r="C1703" s="7" t="str">
        <x:v>meaning</x:v>
      </x:c>
      <x:c r="D1703" s="7" t="str">
        <x:v>최초 요청 의미 채택 packet 생성</x:v>
      </x:c>
      <x:c r="E1703" s="7" t="str">
        <x:v>via</x:v>
      </x:c>
      <x:c r="F1703" s="14" t="n">
        <x:v>0.38</x:v>
      </x:c>
      <x:c r="G1703" s="14" t="n">
        <x:v>1.48</x:v>
      </x:c>
      <x:c r="H1703" s="14" t="n">
        <x:v>1.1</x:v>
      </x:c>
      <x:c r="I1703" s="14" t="n">
        <x:v>0</x:v>
      </x:c>
      <x:c r="J1703" s="7" t="str">
        <x:v>read</x:v>
      </x:c>
      <x:c r="K1703" s="7" t="str">
        <x:v>semantic</x:v>
      </x:c>
      <x:c r="L1703" s="14" t="n">
        <x:f>IF(G1703&lt;=I1703,0,MAX(0,L1702)+IF(E1703="via",MAX(0,G1703-MAX(F1703,I1703)),0))</x:f>
        <x:v>1.48</x:v>
      </x:c>
    </x:row>
    <x:row r="1704" ht="42" customHeight="1">
      <x:c r="A1704" s="12" t="str">
        <x:v>DP3-B-R3</x:v>
      </x:c>
      <x:c r="B1704" s="12" t="str">
        <x:v>U18</x:v>
      </x:c>
      <x:c r="C1704" s="12" t="str">
        <x:v>adopt</x:v>
      </x:c>
      <x:c r="D1704" s="12" t="str">
        <x:v>현재 revision과 권한 검사 및 채택</x:v>
      </x:c>
      <x:c r="E1704" s="12" t="str">
        <x:v>via</x:v>
      </x:c>
      <x:c r="F1704" s="13" t="n">
        <x:v>1.48</x:v>
      </x:c>
      <x:c r="G1704" s="13" t="n">
        <x:v>1.51</x:v>
      </x:c>
      <x:c r="H1704" s="13" t="n">
        <x:v>0.03</x:v>
      </x:c>
      <x:c r="I1704" s="13" t="n">
        <x:v>0</x:v>
      </x:c>
      <x:c r="J1704" s="12" t="str">
        <x:v>meaning</x:v>
      </x:c>
      <x:c r="K1704" s="12" t="str">
        <x:v>none</x:v>
      </x:c>
      <x:c r="L1704" s="13" t="n">
        <x:f>IF(G1704&lt;=I1704,0,MAX(0,L1703)+IF(E1704="via",MAX(0,G1704-MAX(F1704,I1704)),0))</x:f>
        <x:v>1.51</x:v>
      </x:c>
    </x:row>
    <x:row r="1705" ht="42" customHeight="1">
      <x:c r="A1705" s="7" t="str">
        <x:v>DP3-B-R3</x:v>
      </x:c>
      <x:c r="B1705" s="7" t="str">
        <x:v>U18</x:v>
      </x:c>
      <x:c r="C1705" s="7" t="str">
        <x:v>first_display</x:v>
      </x:c>
      <x:c r="D1705" s="7" t="str">
        <x:v>첫 구체적 채택 내용 화면 표시</x:v>
      </x:c>
      <x:c r="E1705" s="7" t="str">
        <x:v>via</x:v>
      </x:c>
      <x:c r="F1705" s="14" t="n">
        <x:v>1.51</x:v>
      </x:c>
      <x:c r="G1705" s="14" t="n">
        <x:v>1.55</x:v>
      </x:c>
      <x:c r="H1705" s="14" t="n">
        <x:v>0.04</x:v>
      </x:c>
      <x:c r="I1705" s="14" t="n">
        <x:v>0</x:v>
      </x:c>
      <x:c r="J1705" s="7" t="str">
        <x:v>adopt</x:v>
      </x:c>
      <x:c r="K1705" s="7" t="str">
        <x:v>none</x:v>
      </x:c>
      <x:c r="L1705" s="14" t="n">
        <x:f>IF(G1705&lt;=I1705,0,MAX(0,L1704)+IF(E1705="via",MAX(0,G1705-MAX(F1705,I1705)),0))</x:f>
        <x:v>1.55</x:v>
      </x:c>
    </x:row>
    <x:row r="1706" ht="42" customHeight="1">
      <x:c r="A1706" s="12" t="str">
        <x:v>DP3-B-R3</x:v>
      </x:c>
      <x:c r="B1706" s="12" t="str">
        <x:v>U18</x:v>
      </x:c>
      <x:c r="C1706" s="12" t="str">
        <x:v>question_arrival</x:v>
      </x:c>
      <x:c r="D1706" s="12" t="str">
        <x:v>Agent 질문 텍스트 도착</x:v>
      </x:c>
      <x:c r="E1706" s="12" t="str">
        <x:v>external</x:v>
      </x:c>
      <x:c r="F1706" s="13" t="n">
        <x:v>-2</x:v>
      </x:c>
      <x:c r="G1706" s="13" t="n">
        <x:v>-2</x:v>
      </x:c>
      <x:c r="H1706" s="13" t="n">
        <x:v>0</x:v>
      </x:c>
      <x:c r="I1706" s="13" t="n">
        <x:v>0</x:v>
      </x:c>
      <x:c r="J1706" s="12" t="str"/>
      <x:c r="K1706" s="12" t="str">
        <x:v>none</x:v>
      </x:c>
      <x:c r="L1706" s="13" t="n">
        <x:f>IF(G1706&lt;=I1706,0,MAX(0)+IF(E1706="via",MAX(0,G1706-MAX(F1706,I1706)),0))</x:f>
        <x:v>0</x:v>
      </x:c>
    </x:row>
    <x:row r="1707" ht="42" customHeight="1">
      <x:c r="A1707" s="7" t="str">
        <x:v>DP3-B-R3</x:v>
      </x:c>
      <x:c r="B1707" s="7" t="str">
        <x:v>U18</x:v>
      </x:c>
      <x:c r="C1707" s="7" t="str">
        <x:v>question_audio</x:v>
      </x:c>
      <x:c r="D1707" s="7" t="str">
        <x:v>선택한 응답 음성 생성</x:v>
      </x:c>
      <x:c r="E1707" s="7" t="str">
        <x:v>via</x:v>
      </x:c>
      <x:c r="F1707" s="14" t="n">
        <x:v>-2</x:v>
      </x:c>
      <x:c r="G1707" s="14" t="n">
        <x:v>0.3906666666666667</x:v>
      </x:c>
      <x:c r="H1707" s="14" t="n">
        <x:v>2.3906666666666667</x:v>
      </x:c>
      <x:c r="I1707" s="14" t="n">
        <x:v>0</x:v>
      </x:c>
      <x:c r="J1707" s="7" t="str">
        <x:v>question_arrival</x:v>
      </x:c>
      <x:c r="K1707" s="7" t="str">
        <x:v>speech</x:v>
      </x:c>
      <x:c r="L1707" s="14" t="n">
        <x:f>IF(G1707&lt;=I1707,0,MAX(0,L1706)+IF(E1707="via",MAX(0,G1707-MAX(F1707,I1707)),0))</x:f>
        <x:v>0.3906666666666667</x:v>
      </x:c>
    </x:row>
    <x:row r="1708" ht="42" customHeight="1">
      <x:c r="A1708" s="12" t="str">
        <x:v>DP3-B-R3</x:v>
      </x:c>
      <x:c r="B1708" s="12" t="str">
        <x:v>U18</x:v>
      </x:c>
      <x:c r="C1708" s="12" t="str">
        <x:v>obsolete_audio</x:v>
      </x:c>
      <x:c r="D1708" s="12" t="str">
        <x:v>철회되는 보고서의 선행 생성</x:v>
      </x:c>
      <x:c r="E1708" s="12" t="str">
        <x:v>via</x:v>
      </x:c>
      <x:c r="F1708" s="13" t="n">
        <x:v>-2</x:v>
      </x:c>
      <x:c r="G1708" s="13" t="n">
        <x:v>0.8933333333333335</x:v>
      </x:c>
      <x:c r="H1708" s="13" t="n">
        <x:v>2.8933333333333335</x:v>
      </x:c>
      <x:c r="I1708" s="13" t="n">
        <x:v>0</x:v>
      </x:c>
      <x:c r="J1708" s="12" t="str"/>
      <x:c r="K1708" s="12" t="str">
        <x:v>speech</x:v>
      </x:c>
      <x:c r="L1708" s="13" t="n">
        <x:f>IF(G1708&lt;=I1708,0,MAX(0)+IF(E1708="via",MAX(0,G1708-MAX(F1708,I1708)),0))</x:f>
        <x:v>0.8933333333333335</x:v>
      </x:c>
    </x:row>
    <x:row r="1709" ht="42" customHeight="1">
      <x:c r="A1709" s="7" t="str">
        <x:v>DP3-B-R3</x:v>
      </x:c>
      <x:c r="B1709" s="7" t="str">
        <x:v>U18</x:v>
      </x:c>
      <x:c r="C1709" s="7" t="str">
        <x:v>first_chunk</x:v>
      </x:c>
      <x:c r="D1709" s="7" t="str">
        <x:v>같은 생성 job의 유효 첫 chunk 관측</x:v>
      </x:c>
      <x:c r="E1709" s="7" t="str">
        <x:v>via</x:v>
      </x:c>
      <x:c r="F1709" s="14" t="n">
        <x:v>-2</x:v>
      </x:c>
      <x:c r="G1709" s="14" t="n">
        <x:v>-1.5593333333333335</x:v>
      </x:c>
      <x:c r="H1709" s="14" t="n">
        <x:v>0.44066666666666665</x:v>
      </x:c>
      <x:c r="I1709" s="14" t="n">
        <x:v>0</x:v>
      </x:c>
      <x:c r="J1709" s="7" t="str">
        <x:v>question_arrival</x:v>
      </x:c>
      <x:c r="K1709" s="7" t="str">
        <x:v>none</x:v>
      </x:c>
      <x:c r="L1709" s="14" t="n">
        <x:f>IF(G1709&lt;=I1709,0,MAX(0,L1706)+IF(E1709="via",MAX(0,G1709-MAX(F1709,I1709)),0))</x:f>
        <x:v>0</x:v>
      </x:c>
    </x:row>
    <x:row r="1710" ht="42" customHeight="1">
      <x:c r="A1710" s="12" t="str">
        <x:v>DP3-B-R3</x:v>
      </x:c>
      <x:c r="B1710" s="12" t="str">
        <x:v>U18</x:v>
      </x:c>
      <x:c r="C1710" s="12" t="str">
        <x:v>first_audio_output</x:v>
      </x:c>
      <x:c r="D1710" s="12" t="str">
        <x:v>공통 장치의 첫 음성 출력</x:v>
      </x:c>
      <x:c r="E1710" s="12" t="str">
        <x:v>via</x:v>
      </x:c>
      <x:c r="F1710" s="13" t="n">
        <x:v>1.51</x:v>
      </x:c>
      <x:c r="G1710" s="13" t="n">
        <x:v>1.55</x:v>
      </x:c>
      <x:c r="H1710" s="13" t="n">
        <x:v>0.04</x:v>
      </x:c>
      <x:c r="I1710" s="13" t="n">
        <x:v>0</x:v>
      </x:c>
      <x:c r="J1710" s="12" t="str">
        <x:v>adopt, first_chunk</x:v>
      </x:c>
      <x:c r="K1710" s="12" t="str">
        <x:v>none</x:v>
      </x:c>
      <x:c r="L1710" s="13" t="n">
        <x:f>IF(G1710&lt;=I1710,0,MAX(0,L1704,L1709)+IF(E1710="via",MAX(0,G1710-MAX(F1710,I1710)),0))</x:f>
        <x:v>1.55</x:v>
      </x:c>
    </x:row>
    <x:row r="1711" ht="42" customHeight="1">
      <x:c r="A1711" s="7" t="str">
        <x:v>DP3-B-R3</x:v>
      </x:c>
      <x:c r="B1711" s="7" t="str">
        <x:v>U18</x:v>
      </x:c>
      <x:c r="C1711" s="7" t="str">
        <x:v>terminal</x:v>
      </x:c>
      <x:c r="D1711" s="7" t="str">
        <x:v>공통 목표 최종 상태와 전체 음성 준비</x:v>
      </x:c>
      <x:c r="E1711" s="7" t="str">
        <x:v>via</x:v>
      </x:c>
      <x:c r="F1711" s="14" t="n">
        <x:v>1.55</x:v>
      </x:c>
      <x:c r="G1711" s="14" t="n">
        <x:v>1.55</x:v>
      </x:c>
      <x:c r="H1711" s="14" t="n">
        <x:v>0</x:v>
      </x:c>
      <x:c r="I1711" s="14" t="n">
        <x:v>0</x:v>
      </x:c>
      <x:c r="J1711" s="7" t="str">
        <x:v>first_display, question_audio, first_audio_output, obsolete_audio</x:v>
      </x:c>
      <x:c r="K1711" s="7" t="str">
        <x:v>none</x:v>
      </x:c>
      <x:c r="L1711" s="14" t="n">
        <x:f>IF(G1711&lt;=I1711,0,MAX(0,L1705,L1707,L1710,L1708)+IF(E1711="via",MAX(0,G1711-MAX(F1711,I1711)),0))</x:f>
        <x:v>1.55</x:v>
      </x:c>
    </x:row>
    <x:row r="1712" ht="42" customHeight="1">
      <x:c r="A1712" s="12" t="str">
        <x:v>DP3-B-R3</x:v>
      </x:c>
      <x:c r="B1712" s="12" t="str">
        <x:v>U19</x:v>
      </x:c>
      <x:c r="C1712" s="12" t="str">
        <x:v>input_end</x:v>
      </x:c>
      <x:c r="D1712" s="12" t="str">
        <x:v>사용자 입력 종료</x:v>
      </x:c>
      <x:c r="E1712" s="12" t="str">
        <x:v>external</x:v>
      </x:c>
      <x:c r="F1712" s="13" t="n">
        <x:v>0</x:v>
      </x:c>
      <x:c r="G1712" s="13" t="n">
        <x:v>0</x:v>
      </x:c>
      <x:c r="H1712" s="13" t="n">
        <x:v>0</x:v>
      </x:c>
      <x:c r="I1712" s="13" t="n">
        <x:v>0</x:v>
      </x:c>
      <x:c r="J1712" s="12" t="str"/>
      <x:c r="K1712" s="12" t="str">
        <x:v>none</x:v>
      </x:c>
      <x:c r="L1712" s="13" t="n">
        <x:f>IF(G1712&lt;=I1712,0,MAX(0)+IF(E1712="via",MAX(0,G1712-MAX(F1712,I1712)),0))</x:f>
        <x:v>0</x:v>
      </x:c>
    </x:row>
    <x:row r="1713" ht="42" customHeight="1">
      <x:c r="A1713" s="7" t="str">
        <x:v>DP3-B-R3</x:v>
      </x:c>
      <x:c r="B1713" s="7" t="str">
        <x:v>U19</x:v>
      </x:c>
      <x:c r="C1713" s="7" t="str">
        <x:v>intake</x:v>
      </x:c>
      <x:c r="D1713" s="7" t="str">
        <x:v>입력 확정</x:v>
      </x:c>
      <x:c r="E1713" s="7" t="str">
        <x:v>via</x:v>
      </x:c>
      <x:c r="F1713" s="14" t="n">
        <x:v>0</x:v>
      </x:c>
      <x:c r="G1713" s="14" t="n">
        <x:v>0.3</x:v>
      </x:c>
      <x:c r="H1713" s="14" t="n">
        <x:v>0.3</x:v>
      </x:c>
      <x:c r="I1713" s="14" t="n">
        <x:v>0</x:v>
      </x:c>
      <x:c r="J1713" s="7" t="str">
        <x:v>input_end</x:v>
      </x:c>
      <x:c r="K1713" s="7" t="str">
        <x:v>none</x:v>
      </x:c>
      <x:c r="L1713" s="14" t="n">
        <x:f>IF(G1713&lt;=I1713,0,MAX(0,L1712)+IF(E1713="via",MAX(0,G1713-MAX(F1713,I1713)),0))</x:f>
        <x:v>0.3</x:v>
      </x:c>
    </x:row>
    <x:row r="1714" ht="42" customHeight="1">
      <x:c r="A1714" s="12" t="str">
        <x:v>DP3-B-R3</x:v>
      </x:c>
      <x:c r="B1714" s="12" t="str">
        <x:v>U19</x:v>
      </x:c>
      <x:c r="C1714" s="12" t="str">
        <x:v>read</x:v>
      </x:c>
      <x:c r="D1714" s="12" t="str">
        <x:v>공통 허용 원본 조회</x:v>
      </x:c>
      <x:c r="E1714" s="12" t="str">
        <x:v>via</x:v>
      </x:c>
      <x:c r="F1714" s="13" t="n">
        <x:v>0.3</x:v>
      </x:c>
      <x:c r="G1714" s="13" t="n">
        <x:v>0.38</x:v>
      </x:c>
      <x:c r="H1714" s="13" t="n">
        <x:v>0.08</x:v>
      </x:c>
      <x:c r="I1714" s="13" t="n">
        <x:v>0</x:v>
      </x:c>
      <x:c r="J1714" s="12" t="str">
        <x:v>intake</x:v>
      </x:c>
      <x:c r="K1714" s="12" t="str">
        <x:v>none</x:v>
      </x:c>
      <x:c r="L1714" s="13" t="n">
        <x:f>IF(G1714&lt;=I1714,0,MAX(0,L1713)+IF(E1714="via",MAX(0,G1714-MAX(F1714,I1714)),0))</x:f>
        <x:v>0.38</x:v>
      </x:c>
    </x:row>
    <x:row r="1715" ht="42" customHeight="1">
      <x:c r="A1715" s="7" t="str">
        <x:v>DP3-B-R3</x:v>
      </x:c>
      <x:c r="B1715" s="7" t="str">
        <x:v>U19</x:v>
      </x:c>
      <x:c r="C1715" s="7" t="str">
        <x:v>meaning</x:v>
      </x:c>
      <x:c r="D1715" s="7" t="str">
        <x:v>최초 요청 의미 채택 packet 생성</x:v>
      </x:c>
      <x:c r="E1715" s="7" t="str">
        <x:v>via</x:v>
      </x:c>
      <x:c r="F1715" s="14" t="n">
        <x:v>0.38</x:v>
      </x:c>
      <x:c r="G1715" s="14" t="n">
        <x:v>1.48</x:v>
      </x:c>
      <x:c r="H1715" s="14" t="n">
        <x:v>1.1</x:v>
      </x:c>
      <x:c r="I1715" s="14" t="n">
        <x:v>0</x:v>
      </x:c>
      <x:c r="J1715" s="7" t="str">
        <x:v>read</x:v>
      </x:c>
      <x:c r="K1715" s="7" t="str">
        <x:v>semantic</x:v>
      </x:c>
      <x:c r="L1715" s="14" t="n">
        <x:f>IF(G1715&lt;=I1715,0,MAX(0,L1714)+IF(E1715="via",MAX(0,G1715-MAX(F1715,I1715)),0))</x:f>
        <x:v>1.48</x:v>
      </x:c>
    </x:row>
    <x:row r="1716" ht="42" customHeight="1">
      <x:c r="A1716" s="12" t="str">
        <x:v>DP3-B-R3</x:v>
      </x:c>
      <x:c r="B1716" s="12" t="str">
        <x:v>U19</x:v>
      </x:c>
      <x:c r="C1716" s="12" t="str">
        <x:v>adopt</x:v>
      </x:c>
      <x:c r="D1716" s="12" t="str">
        <x:v>현재 revision과 권한 검사 및 채택</x:v>
      </x:c>
      <x:c r="E1716" s="12" t="str">
        <x:v>via</x:v>
      </x:c>
      <x:c r="F1716" s="13" t="n">
        <x:v>1.48</x:v>
      </x:c>
      <x:c r="G1716" s="13" t="n">
        <x:v>1.51</x:v>
      </x:c>
      <x:c r="H1716" s="13" t="n">
        <x:v>0.03</x:v>
      </x:c>
      <x:c r="I1716" s="13" t="n">
        <x:v>0</x:v>
      </x:c>
      <x:c r="J1716" s="12" t="str">
        <x:v>meaning</x:v>
      </x:c>
      <x:c r="K1716" s="12" t="str">
        <x:v>none</x:v>
      </x:c>
      <x:c r="L1716" s="13" t="n">
        <x:f>IF(G1716&lt;=I1716,0,MAX(0,L1715)+IF(E1716="via",MAX(0,G1716-MAX(F1716,I1716)),0))</x:f>
        <x:v>1.51</x:v>
      </x:c>
    </x:row>
    <x:row r="1717" ht="42" customHeight="1">
      <x:c r="A1717" s="7" t="str">
        <x:v>DP3-B-R3</x:v>
      </x:c>
      <x:c r="B1717" s="7" t="str">
        <x:v>U19</x:v>
      </x:c>
      <x:c r="C1717" s="7" t="str">
        <x:v>first_display</x:v>
      </x:c>
      <x:c r="D1717" s="7" t="str">
        <x:v>첫 구체적 채택 내용 화면 표시</x:v>
      </x:c>
      <x:c r="E1717" s="7" t="str">
        <x:v>via</x:v>
      </x:c>
      <x:c r="F1717" s="14" t="n">
        <x:v>1.51</x:v>
      </x:c>
      <x:c r="G1717" s="14" t="n">
        <x:v>1.55</x:v>
      </x:c>
      <x:c r="H1717" s="14" t="n">
        <x:v>0.04</x:v>
      </x:c>
      <x:c r="I1717" s="14" t="n">
        <x:v>0</x:v>
      </x:c>
      <x:c r="J1717" s="7" t="str">
        <x:v>adopt</x:v>
      </x:c>
      <x:c r="K1717" s="7" t="str">
        <x:v>none</x:v>
      </x:c>
      <x:c r="L1717" s="14" t="n">
        <x:f>IF(G1717&lt;=I1717,0,MAX(0,L1716)+IF(E1717="via",MAX(0,G1717-MAX(F1717,I1717)),0))</x:f>
        <x:v>1.55</x:v>
      </x:c>
    </x:row>
    <x:row r="1718" ht="42" customHeight="1">
      <x:c r="A1718" s="12" t="str">
        <x:v>DP3-B-R3</x:v>
      </x:c>
      <x:c r="B1718" s="12" t="str">
        <x:v>U19</x:v>
      </x:c>
      <x:c r="C1718" s="12" t="str">
        <x:v>question_arrival</x:v>
      </x:c>
      <x:c r="D1718" s="12" t="str">
        <x:v>Agent 질문 텍스트 도착</x:v>
      </x:c>
      <x:c r="E1718" s="12" t="str">
        <x:v>external</x:v>
      </x:c>
      <x:c r="F1718" s="13" t="n">
        <x:v>-0.5</x:v>
      </x:c>
      <x:c r="G1718" s="13" t="n">
        <x:v>-0.5</x:v>
      </x:c>
      <x:c r="H1718" s="13" t="n">
        <x:v>0</x:v>
      </x:c>
      <x:c r="I1718" s="13" t="n">
        <x:v>0</x:v>
      </x:c>
      <x:c r="J1718" s="12" t="str"/>
      <x:c r="K1718" s="12" t="str">
        <x:v>none</x:v>
      </x:c>
      <x:c r="L1718" s="13" t="n">
        <x:f>IF(G1718&lt;=I1718,0,MAX(0)+IF(E1718="via",MAX(0,G1718-MAX(F1718,I1718)),0))</x:f>
        <x:v>0</x:v>
      </x:c>
    </x:row>
    <x:row r="1719" ht="42" customHeight="1">
      <x:c r="A1719" s="7" t="str">
        <x:v>DP3-B-R3</x:v>
      </x:c>
      <x:c r="B1719" s="7" t="str">
        <x:v>U19</x:v>
      </x:c>
      <x:c r="C1719" s="7" t="str">
        <x:v>question_audio</x:v>
      </x:c>
      <x:c r="D1719" s="7" t="str">
        <x:v>선택한 응답 음성 생성</x:v>
      </x:c>
      <x:c r="E1719" s="7" t="str">
        <x:v>via</x:v>
      </x:c>
      <x:c r="F1719" s="14" t="n">
        <x:v>-0.5</x:v>
      </x:c>
      <x:c r="G1719" s="14" t="n">
        <x:v>1.388</x:v>
      </x:c>
      <x:c r="H1719" s="14" t="n">
        <x:v>1.888</x:v>
      </x:c>
      <x:c r="I1719" s="14" t="n">
        <x:v>0</x:v>
      </x:c>
      <x:c r="J1719" s="7" t="str">
        <x:v>question_arrival</x:v>
      </x:c>
      <x:c r="K1719" s="7" t="str">
        <x:v>speech</x:v>
      </x:c>
      <x:c r="L1719" s="14" t="n">
        <x:f>IF(G1719&lt;=I1719,0,MAX(0,L1718)+IF(E1719="via",MAX(0,G1719-MAX(F1719,I1719)),0))</x:f>
        <x:v>1.388</x:v>
      </x:c>
    </x:row>
    <x:row r="1720" ht="42" customHeight="1">
      <x:c r="A1720" s="12" t="str">
        <x:v>DP3-B-R3</x:v>
      </x:c>
      <x:c r="B1720" s="12" t="str">
        <x:v>U19</x:v>
      </x:c>
      <x:c r="C1720" s="12" t="str">
        <x:v>old_audio</x:v>
      </x:c>
      <x:c r="D1720" s="12" t="str">
        <x:v>중단 전 설명 생성</x:v>
      </x:c>
      <x:c r="E1720" s="12" t="str">
        <x:v>via</x:v>
      </x:c>
      <x:c r="F1720" s="13" t="n">
        <x:v>-2</x:v>
      </x:c>
      <x:c r="G1720" s="13" t="n">
        <x:v>7.428000000000001</x:v>
      </x:c>
      <x:c r="H1720" s="13" t="n">
        <x:v>9.428</x:v>
      </x:c>
      <x:c r="I1720" s="13" t="n">
        <x:v>0</x:v>
      </x:c>
      <x:c r="J1720" s="12" t="str"/>
      <x:c r="K1720" s="12" t="str">
        <x:v>speech</x:v>
      </x:c>
      <x:c r="L1720" s="13" t="n">
        <x:f>IF(G1720&lt;=I1720,0,MAX(0)+IF(E1720="via",MAX(0,G1720-MAX(F1720,I1720)),0))</x:f>
        <x:v>7.428000000000001</x:v>
      </x:c>
    </x:row>
    <x:row r="1721" ht="42" customHeight="1">
      <x:c r="A1721" s="7" t="str">
        <x:v>DP3-B-R3</x:v>
      </x:c>
      <x:c r="B1721" s="7" t="str">
        <x:v>U19</x:v>
      </x:c>
      <x:c r="C1721" s="7" t="str">
        <x:v>first_chunk</x:v>
      </x:c>
      <x:c r="D1721" s="7" t="str">
        <x:v>같은 생성 job의 유효 첫 chunk 관측</x:v>
      </x:c>
      <x:c r="E1721" s="7" t="str">
        <x:v>via</x:v>
      </x:c>
      <x:c r="F1721" s="14" t="n">
        <x:v>-0.5</x:v>
      </x:c>
      <x:c r="G1721" s="14" t="n">
        <x:v>-0.062</x:v>
      </x:c>
      <x:c r="H1721" s="14" t="n">
        <x:v>0.438</x:v>
      </x:c>
      <x:c r="I1721" s="14" t="n">
        <x:v>0</x:v>
      </x:c>
      <x:c r="J1721" s="7" t="str">
        <x:v>question_arrival</x:v>
      </x:c>
      <x:c r="K1721" s="7" t="str">
        <x:v>none</x:v>
      </x:c>
      <x:c r="L1721" s="14" t="n">
        <x:f>IF(G1721&lt;=I1721,0,MAX(0,L1718)+IF(E1721="via",MAX(0,G1721-MAX(F1721,I1721)),0))</x:f>
        <x:v>0</x:v>
      </x:c>
    </x:row>
    <x:row r="1722" ht="42" customHeight="1">
      <x:c r="A1722" s="12" t="str">
        <x:v>DP3-B-R3</x:v>
      </x:c>
      <x:c r="B1722" s="12" t="str">
        <x:v>U19</x:v>
      </x:c>
      <x:c r="C1722" s="12" t="str">
        <x:v>first_audio_output</x:v>
      </x:c>
      <x:c r="D1722" s="12" t="str">
        <x:v>공통 장치의 첫 음성 출력</x:v>
      </x:c>
      <x:c r="E1722" s="12" t="str">
        <x:v>via</x:v>
      </x:c>
      <x:c r="F1722" s="13" t="n">
        <x:v>1.51</x:v>
      </x:c>
      <x:c r="G1722" s="13" t="n">
        <x:v>1.55</x:v>
      </x:c>
      <x:c r="H1722" s="13" t="n">
        <x:v>0.04</x:v>
      </x:c>
      <x:c r="I1722" s="13" t="n">
        <x:v>0</x:v>
      </x:c>
      <x:c r="J1722" s="12" t="str">
        <x:v>adopt, first_chunk</x:v>
      </x:c>
      <x:c r="K1722" s="12" t="str">
        <x:v>none</x:v>
      </x:c>
      <x:c r="L1722" s="13" t="n">
        <x:f>IF(G1722&lt;=I1722,0,MAX(0,L1716,L1721)+IF(E1722="via",MAX(0,G1722-MAX(F1722,I1722)),0))</x:f>
        <x:v>1.55</x:v>
      </x:c>
    </x:row>
    <x:row r="1723" ht="42" customHeight="1">
      <x:c r="A1723" s="7" t="str">
        <x:v>DP3-B-R3</x:v>
      </x:c>
      <x:c r="B1723" s="7" t="str">
        <x:v>U19</x:v>
      </x:c>
      <x:c r="C1723" s="7" t="str">
        <x:v>question_play</x:v>
      </x:c>
      <x:c r="D1723" s="7" t="str">
        <x:v>첫 출력부터 질문 순수 재생 및 차례</x:v>
      </x:c>
      <x:c r="E1723" s="7" t="str">
        <x:v>external</x:v>
      </x:c>
      <x:c r="F1723" s="14" t="n">
        <x:v>1.55</x:v>
      </x:c>
      <x:c r="G1723" s="14" t="n">
        <x:v>7.55</x:v>
      </x:c>
      <x:c r="H1723" s="14" t="n">
        <x:v>6</x:v>
      </x:c>
      <x:c r="I1723" s="14" t="n">
        <x:v>0</x:v>
      </x:c>
      <x:c r="J1723" s="7" t="str">
        <x:v>first_audio_output</x:v>
      </x:c>
      <x:c r="K1723" s="7" t="str">
        <x:v>none</x:v>
      </x:c>
      <x:c r="L1723" s="14" t="n">
        <x:f>IF(G1723&lt;=I1723,0,MAX(0,L1722)+IF(E1723="via",MAX(0,G1723-MAX(F1723,I1723)),0))</x:f>
        <x:v>1.55</x:v>
      </x:c>
    </x:row>
    <x:row r="1724" ht="42" customHeight="1">
      <x:c r="A1724" s="12" t="str">
        <x:v>DP3-B-R3</x:v>
      </x:c>
      <x:c r="B1724" s="12" t="str">
        <x:v>U19</x:v>
      </x:c>
      <x:c r="C1724" s="12" t="str">
        <x:v>terminal</x:v>
      </x:c>
      <x:c r="D1724" s="12" t="str">
        <x:v>공통 목표 최종 상태와 전체 음성 준비</x:v>
      </x:c>
      <x:c r="E1724" s="12" t="str">
        <x:v>via</x:v>
      </x:c>
      <x:c r="F1724" s="13" t="n">
        <x:v>7.55</x:v>
      </x:c>
      <x:c r="G1724" s="13" t="n">
        <x:v>7.55</x:v>
      </x:c>
      <x:c r="H1724" s="13" t="n">
        <x:v>0</x:v>
      </x:c>
      <x:c r="I1724" s="13" t="n">
        <x:v>0</x:v>
      </x:c>
      <x:c r="J1724" s="12" t="str">
        <x:v>first_display, question_audio, first_audio_output, question_play, old_audio</x:v>
      </x:c>
      <x:c r="K1724" s="12" t="str">
        <x:v>none</x:v>
      </x:c>
      <x:c r="L1724" s="13" t="n">
        <x:f>IF(G1724&lt;=I1724,0,MAX(0,L1717,L1719,L1722,L1723,L1720)+IF(E1724="via",MAX(0,G1724-MAX(F1724,I1724)),0))</x:f>
        <x:v>7.428000000000001</x:v>
      </x:c>
    </x:row>
    <x:row r="1725" ht="42" customHeight="1">
      <x:c r="A1725" s="7" t="str">
        <x:v>DP3-B-R3</x:v>
      </x:c>
      <x:c r="B1725" s="7" t="str">
        <x:v>U20</x:v>
      </x:c>
      <x:c r="C1725" s="7" t="str">
        <x:v>input_end</x:v>
      </x:c>
      <x:c r="D1725" s="7" t="str">
        <x:v>사용자 입력 종료</x:v>
      </x:c>
      <x:c r="E1725" s="7" t="str">
        <x:v>external</x:v>
      </x:c>
      <x:c r="F1725" s="14" t="n">
        <x:v>0</x:v>
      </x:c>
      <x:c r="G1725" s="14" t="n">
        <x:v>0</x:v>
      </x:c>
      <x:c r="H1725" s="14" t="n">
        <x:v>0</x:v>
      </x:c>
      <x:c r="I1725" s="14" t="n">
        <x:v>0</x:v>
      </x:c>
      <x:c r="J1725" s="7" t="str"/>
      <x:c r="K1725" s="7" t="str">
        <x:v>none</x:v>
      </x:c>
      <x:c r="L1725" s="14" t="n">
        <x:f>IF(G1725&lt;=I1725,0,MAX(0)+IF(E1725="via",MAX(0,G1725-MAX(F1725,I1725)),0))</x:f>
        <x:v>0</x:v>
      </x:c>
    </x:row>
    <x:row r="1726" ht="42" customHeight="1">
      <x:c r="A1726" s="12" t="str">
        <x:v>DP3-B-R3</x:v>
      </x:c>
      <x:c r="B1726" s="12" t="str">
        <x:v>U20</x:v>
      </x:c>
      <x:c r="C1726" s="12" t="str">
        <x:v>intake</x:v>
      </x:c>
      <x:c r="D1726" s="12" t="str">
        <x:v>입력 확정</x:v>
      </x:c>
      <x:c r="E1726" s="12" t="str">
        <x:v>via</x:v>
      </x:c>
      <x:c r="F1726" s="13" t="n">
        <x:v>0</x:v>
      </x:c>
      <x:c r="G1726" s="13" t="n">
        <x:v>0.3</x:v>
      </x:c>
      <x:c r="H1726" s="13" t="n">
        <x:v>0.3</x:v>
      </x:c>
      <x:c r="I1726" s="13" t="n">
        <x:v>0</x:v>
      </x:c>
      <x:c r="J1726" s="12" t="str">
        <x:v>input_end</x:v>
      </x:c>
      <x:c r="K1726" s="12" t="str">
        <x:v>none</x:v>
      </x:c>
      <x:c r="L1726" s="13" t="n">
        <x:f>IF(G1726&lt;=I1726,0,MAX(0,L1725)+IF(E1726="via",MAX(0,G1726-MAX(F1726,I1726)),0))</x:f>
        <x:v>0.3</x:v>
      </x:c>
    </x:row>
    <x:row r="1727" ht="42" customHeight="1">
      <x:c r="A1727" s="7" t="str">
        <x:v>DP3-B-R3</x:v>
      </x:c>
      <x:c r="B1727" s="7" t="str">
        <x:v>U20</x:v>
      </x:c>
      <x:c r="C1727" s="7" t="str">
        <x:v>read</x:v>
      </x:c>
      <x:c r="D1727" s="7" t="str">
        <x:v>공통 허용 원본 조회</x:v>
      </x:c>
      <x:c r="E1727" s="7" t="str">
        <x:v>via</x:v>
      </x:c>
      <x:c r="F1727" s="14" t="n">
        <x:v>0.3</x:v>
      </x:c>
      <x:c r="G1727" s="14" t="n">
        <x:v>0.38</x:v>
      </x:c>
      <x:c r="H1727" s="14" t="n">
        <x:v>0.08</x:v>
      </x:c>
      <x:c r="I1727" s="14" t="n">
        <x:v>0</x:v>
      </x:c>
      <x:c r="J1727" s="7" t="str">
        <x:v>intake</x:v>
      </x:c>
      <x:c r="K1727" s="7" t="str">
        <x:v>none</x:v>
      </x:c>
      <x:c r="L1727" s="14" t="n">
        <x:f>IF(G1727&lt;=I1727,0,MAX(0,L1726)+IF(E1727="via",MAX(0,G1727-MAX(F1727,I1727)),0))</x:f>
        <x:v>0.38</x:v>
      </x:c>
    </x:row>
    <x:row r="1728" ht="42" customHeight="1">
      <x:c r="A1728" s="12" t="str">
        <x:v>DP3-B-R3</x:v>
      </x:c>
      <x:c r="B1728" s="12" t="str">
        <x:v>U20</x:v>
      </x:c>
      <x:c r="C1728" s="12" t="str">
        <x:v>meaning</x:v>
      </x:c>
      <x:c r="D1728" s="12" t="str">
        <x:v>최초 요청 의미 채택 packet 생성</x:v>
      </x:c>
      <x:c r="E1728" s="12" t="str">
        <x:v>via</x:v>
      </x:c>
      <x:c r="F1728" s="13" t="n">
        <x:v>0.38</x:v>
      </x:c>
      <x:c r="G1728" s="13" t="n">
        <x:v>1.48</x:v>
      </x:c>
      <x:c r="H1728" s="13" t="n">
        <x:v>1.1</x:v>
      </x:c>
      <x:c r="I1728" s="13" t="n">
        <x:v>0</x:v>
      </x:c>
      <x:c r="J1728" s="12" t="str">
        <x:v>read</x:v>
      </x:c>
      <x:c r="K1728" s="12" t="str">
        <x:v>semantic</x:v>
      </x:c>
      <x:c r="L1728" s="13" t="n">
        <x:f>IF(G1728&lt;=I1728,0,MAX(0,L1727)+IF(E1728="via",MAX(0,G1728-MAX(F1728,I1728)),0))</x:f>
        <x:v>1.48</x:v>
      </x:c>
    </x:row>
    <x:row r="1729" ht="42" customHeight="1">
      <x:c r="A1729" s="7" t="str">
        <x:v>DP3-B-R3</x:v>
      </x:c>
      <x:c r="B1729" s="7" t="str">
        <x:v>U20</x:v>
      </x:c>
      <x:c r="C1729" s="7" t="str">
        <x:v>adopt</x:v>
      </x:c>
      <x:c r="D1729" s="7" t="str">
        <x:v>현재 revision과 권한 검사 및 채택</x:v>
      </x:c>
      <x:c r="E1729" s="7" t="str">
        <x:v>via</x:v>
      </x:c>
      <x:c r="F1729" s="14" t="n">
        <x:v>1.48</x:v>
      </x:c>
      <x:c r="G1729" s="14" t="n">
        <x:v>1.51</x:v>
      </x:c>
      <x:c r="H1729" s="14" t="n">
        <x:v>0.03</x:v>
      </x:c>
      <x:c r="I1729" s="14" t="n">
        <x:v>0</x:v>
      </x:c>
      <x:c r="J1729" s="7" t="str">
        <x:v>meaning</x:v>
      </x:c>
      <x:c r="K1729" s="7" t="str">
        <x:v>none</x:v>
      </x:c>
      <x:c r="L1729" s="14" t="n">
        <x:f>IF(G1729&lt;=I1729,0,MAX(0,L1728)+IF(E1729="via",MAX(0,G1729-MAX(F1729,I1729)),0))</x:f>
        <x:v>1.51</x:v>
      </x:c>
    </x:row>
    <x:row r="1730" ht="42" customHeight="1">
      <x:c r="A1730" s="12" t="str">
        <x:v>DP3-B-R3</x:v>
      </x:c>
      <x:c r="B1730" s="12" t="str">
        <x:v>U20</x:v>
      </x:c>
      <x:c r="C1730" s="12" t="str">
        <x:v>first_display</x:v>
      </x:c>
      <x:c r="D1730" s="12" t="str">
        <x:v>첫 구체적 채택 내용 화면 표시</x:v>
      </x:c>
      <x:c r="E1730" s="12" t="str">
        <x:v>via</x:v>
      </x:c>
      <x:c r="F1730" s="13" t="n">
        <x:v>1.51</x:v>
      </x:c>
      <x:c r="G1730" s="13" t="n">
        <x:v>1.55</x:v>
      </x:c>
      <x:c r="H1730" s="13" t="n">
        <x:v>0.04</x:v>
      </x:c>
      <x:c r="I1730" s="13" t="n">
        <x:v>0</x:v>
      </x:c>
      <x:c r="J1730" s="12" t="str">
        <x:v>adopt</x:v>
      </x:c>
      <x:c r="K1730" s="12" t="str">
        <x:v>none</x:v>
      </x:c>
      <x:c r="L1730" s="13" t="n">
        <x:f>IF(G1730&lt;=I1730,0,MAX(0,L1729)+IF(E1730="via",MAX(0,G1730-MAX(F1730,I1730)),0))</x:f>
        <x:v>1.55</x:v>
      </x:c>
    </x:row>
    <x:row r="1731" ht="42" customHeight="1">
      <x:c r="A1731" s="7" t="str">
        <x:v>DP3-B-R3</x:v>
      </x:c>
      <x:c r="B1731" s="7" t="str">
        <x:v>U20</x:v>
      </x:c>
      <x:c r="C1731" s="7" t="str">
        <x:v>existing_audio</x:v>
      </x:c>
      <x:c r="D1731" s="7" t="str">
        <x:v>공통 유효 audio 초기 상태</x:v>
      </x:c>
      <x:c r="E1731" s="7" t="str">
        <x:v>external</x:v>
      </x:c>
      <x:c r="F1731" s="14" t="n">
        <x:v>-12</x:v>
      </x:c>
      <x:c r="G1731" s="14" t="n">
        <x:v>-12</x:v>
      </x:c>
      <x:c r="H1731" s="14" t="n">
        <x:v>0</x:v>
      </x:c>
      <x:c r="I1731" s="14" t="n">
        <x:v>0</x:v>
      </x:c>
      <x:c r="J1731" s="7" t="str"/>
      <x:c r="K1731" s="7" t="str">
        <x:v>none</x:v>
      </x:c>
      <x:c r="L1731" s="14" t="n">
        <x:f>IF(G1731&lt;=I1731,0,MAX(0)+IF(E1731="via",MAX(0,G1731-MAX(F1731,I1731)),0))</x:f>
        <x:v>0</x:v>
      </x:c>
    </x:row>
    <x:row r="1732" ht="42" customHeight="1">
      <x:c r="A1732" s="12" t="str">
        <x:v>DP3-B-R3</x:v>
      </x:c>
      <x:c r="B1732" s="12" t="str">
        <x:v>U20</x:v>
      </x:c>
      <x:c r="C1732" s="12" t="str">
        <x:v>first_audio_output</x:v>
      </x:c>
      <x:c r="D1732" s="12" t="str">
        <x:v>공통 장치의 첫 음성 출력</x:v>
      </x:c>
      <x:c r="E1732" s="12" t="str">
        <x:v>via</x:v>
      </x:c>
      <x:c r="F1732" s="13" t="n">
        <x:v>1.51</x:v>
      </x:c>
      <x:c r="G1732" s="13" t="n">
        <x:v>1.55</x:v>
      </x:c>
      <x:c r="H1732" s="13" t="n">
        <x:v>0.04</x:v>
      </x:c>
      <x:c r="I1732" s="13" t="n">
        <x:v>0</x:v>
      </x:c>
      <x:c r="J1732" s="12" t="str">
        <x:v>adopt, existing_audio</x:v>
      </x:c>
      <x:c r="K1732" s="12" t="str">
        <x:v>none</x:v>
      </x:c>
      <x:c r="L1732" s="13" t="n">
        <x:f>IF(G1732&lt;=I1732,0,MAX(0,L1729,L1731)+IF(E1732="via",MAX(0,G1732-MAX(F1732,I1732)),0))</x:f>
        <x:v>1.55</x:v>
      </x:c>
    </x:row>
    <x:row r="1733" ht="42" customHeight="1">
      <x:c r="A1733" s="7" t="str">
        <x:v>DP3-B-R3</x:v>
      </x:c>
      <x:c r="B1733" s="7" t="str">
        <x:v>U20</x:v>
      </x:c>
      <x:c r="C1733" s="7" t="str">
        <x:v>terminal</x:v>
      </x:c>
      <x:c r="D1733" s="7" t="str">
        <x:v>공통 목표 최종 상태와 전체 음성 준비</x:v>
      </x:c>
      <x:c r="E1733" s="7" t="str">
        <x:v>via</x:v>
      </x:c>
      <x:c r="F1733" s="14" t="n">
        <x:v>1.55</x:v>
      </x:c>
      <x:c r="G1733" s="14" t="n">
        <x:v>1.55</x:v>
      </x:c>
      <x:c r="H1733" s="14" t="n">
        <x:v>0</x:v>
      </x:c>
      <x:c r="I1733" s="14" t="n">
        <x:v>0</x:v>
      </x:c>
      <x:c r="J1733" s="7" t="str">
        <x:v>first_display, existing_audio, first_audio_output</x:v>
      </x:c>
      <x:c r="K1733" s="7" t="str">
        <x:v>none</x:v>
      </x:c>
      <x:c r="L1733" s="14" t="n">
        <x:f>IF(G1733&lt;=I1733,0,MAX(0,L1730,L1731,L1732)+IF(E1733="via",MAX(0,G1733-MAX(F1733,I1733)),0))</x:f>
        <x:v>1.55</x:v>
      </x:c>
    </x:row>
    <x:row r="1734" ht="42" customHeight="1">
      <x:c r="A1734" s="12" t="str">
        <x:v>DP3-B-R3</x:v>
      </x:c>
      <x:c r="B1734" s="12" t="str">
        <x:v>U21</x:v>
      </x:c>
      <x:c r="C1734" s="12" t="str">
        <x:v>bg1</x:v>
      </x:c>
      <x:c r="D1734" s="12" t="str">
        <x:v>진행 중인 현재 대화의 의미 step</x:v>
      </x:c>
      <x:c r="E1734" s="12" t="str">
        <x:v>via</x:v>
      </x:c>
      <x:c r="F1734" s="13" t="n">
        <x:v>-1</x:v>
      </x:c>
      <x:c r="G1734" s="13" t="n">
        <x:v>2.4</x:v>
      </x:c>
      <x:c r="H1734" s="13" t="n">
        <x:v>3.4</x:v>
      </x:c>
      <x:c r="I1734" s="13" t="n">
        <x:v>0</x:v>
      </x:c>
      <x:c r="J1734" s="12" t="str"/>
      <x:c r="K1734" s="12" t="str">
        <x:v>semantic</x:v>
      </x:c>
      <x:c r="L1734" s="13" t="n">
        <x:f>IF(G1734&lt;=I1734,0,MAX(0)+IF(E1734="via",MAX(0,G1734-MAX(F1734,I1734)),0))</x:f>
        <x:v>2.4</x:v>
      </x:c>
    </x:row>
    <x:row r="1735" ht="42" customHeight="1">
      <x:c r="A1735" s="7" t="str">
        <x:v>DP3-B-R3</x:v>
      </x:c>
      <x:c r="B1735" s="7" t="str">
        <x:v>U21</x:v>
      </x:c>
      <x:c r="C1735" s="7" t="str">
        <x:v>input_end</x:v>
      </x:c>
      <x:c r="D1735" s="7" t="str">
        <x:v>사용자 입력 종료</x:v>
      </x:c>
      <x:c r="E1735" s="7" t="str">
        <x:v>external</x:v>
      </x:c>
      <x:c r="F1735" s="14" t="n">
        <x:v>0</x:v>
      </x:c>
      <x:c r="G1735" s="14" t="n">
        <x:v>0</x:v>
      </x:c>
      <x:c r="H1735" s="14" t="n">
        <x:v>0</x:v>
      </x:c>
      <x:c r="I1735" s="14" t="n">
        <x:v>0</x:v>
      </x:c>
      <x:c r="J1735" s="7" t="str"/>
      <x:c r="K1735" s="7" t="str">
        <x:v>none</x:v>
      </x:c>
      <x:c r="L1735" s="14" t="n">
        <x:f>IF(G1735&lt;=I1735,0,MAX(0)+IF(E1735="via",MAX(0,G1735-MAX(F1735,I1735)),0))</x:f>
        <x:v>0</x:v>
      </x:c>
    </x:row>
    <x:row r="1736" ht="42" customHeight="1">
      <x:c r="A1736" s="12" t="str">
        <x:v>DP3-B-R3</x:v>
      </x:c>
      <x:c r="B1736" s="12" t="str">
        <x:v>U21</x:v>
      </x:c>
      <x:c r="C1736" s="12" t="str">
        <x:v>intake</x:v>
      </x:c>
      <x:c r="D1736" s="12" t="str">
        <x:v>입력 확정</x:v>
      </x:c>
      <x:c r="E1736" s="12" t="str">
        <x:v>via</x:v>
      </x:c>
      <x:c r="F1736" s="13" t="n">
        <x:v>0</x:v>
      </x:c>
      <x:c r="G1736" s="13" t="n">
        <x:v>0.3</x:v>
      </x:c>
      <x:c r="H1736" s="13" t="n">
        <x:v>0.3</x:v>
      </x:c>
      <x:c r="I1736" s="13" t="n">
        <x:v>0</x:v>
      </x:c>
      <x:c r="J1736" s="12" t="str">
        <x:v>input_end</x:v>
      </x:c>
      <x:c r="K1736" s="12" t="str">
        <x:v>none</x:v>
      </x:c>
      <x:c r="L1736" s="13" t="n">
        <x:f>IF(G1736&lt;=I1736,0,MAX(0,L1735)+IF(E1736="via",MAX(0,G1736-MAX(F1736,I1736)),0))</x:f>
        <x:v>0.3</x:v>
      </x:c>
    </x:row>
    <x:row r="1737" ht="42" customHeight="1">
      <x:c r="A1737" s="7" t="str">
        <x:v>DP3-B-R3</x:v>
      </x:c>
      <x:c r="B1737" s="7" t="str">
        <x:v>U21</x:v>
      </x:c>
      <x:c r="C1737" s="7" t="str">
        <x:v>read</x:v>
      </x:c>
      <x:c r="D1737" s="7" t="str">
        <x:v>공통 허용 원본 조회</x:v>
      </x:c>
      <x:c r="E1737" s="7" t="str">
        <x:v>via</x:v>
      </x:c>
      <x:c r="F1737" s="14" t="n">
        <x:v>0.3</x:v>
      </x:c>
      <x:c r="G1737" s="14" t="n">
        <x:v>0.38</x:v>
      </x:c>
      <x:c r="H1737" s="14" t="n">
        <x:v>0.08</x:v>
      </x:c>
      <x:c r="I1737" s="14" t="n">
        <x:v>0</x:v>
      </x:c>
      <x:c r="J1737" s="7" t="str">
        <x:v>intake</x:v>
      </x:c>
      <x:c r="K1737" s="7" t="str">
        <x:v>none</x:v>
      </x:c>
      <x:c r="L1737" s="14" t="n">
        <x:f>IF(G1737&lt;=I1737,0,MAX(0,L1736)+IF(E1737="via",MAX(0,G1737-MAX(F1737,I1737)),0))</x:f>
        <x:v>0.38</x:v>
      </x:c>
    </x:row>
    <x:row r="1738" ht="42" customHeight="1">
      <x:c r="A1738" s="12" t="str">
        <x:v>DP3-B-R3</x:v>
      </x:c>
      <x:c r="B1738" s="12" t="str">
        <x:v>U21</x:v>
      </x:c>
      <x:c r="C1738" s="12" t="str">
        <x:v>now_ui_boot</x:v>
      </x:c>
      <x:c r="D1738" s="12" t="str">
        <x:v>ui runtime 시작</x:v>
      </x:c>
      <x:c r="E1738" s="12" t="str">
        <x:v>via</x:v>
      </x:c>
      <x:c r="F1738" s="13" t="n">
        <x:v>0.38</x:v>
      </x:c>
      <x:c r="G1738" s="13" t="n">
        <x:v>1.58</x:v>
      </x:c>
      <x:c r="H1738" s="13" t="n">
        <x:v>1.2</x:v>
      </x:c>
      <x:c r="I1738" s="13" t="n">
        <x:v>0</x:v>
      </x:c>
      <x:c r="J1738" s="12" t="str">
        <x:v>read</x:v>
      </x:c>
      <x:c r="K1738" s="12" t="str">
        <x:v>visual</x:v>
      </x:c>
      <x:c r="L1738" s="13" t="n">
        <x:f>IF(G1738&lt;=I1738,0,MAX(0,L1737)+IF(E1738="via",MAX(0,G1738-MAX(F1738,I1738)),0))</x:f>
        <x:v>1.58</x:v>
      </x:c>
    </x:row>
    <x:row r="1739" ht="42" customHeight="1">
      <x:c r="A1739" s="7" t="str">
        <x:v>DP3-B-R3</x:v>
      </x:c>
      <x:c r="B1739" s="7" t="str">
        <x:v>U21</x:v>
      </x:c>
      <x:c r="C1739" s="7" t="str">
        <x:v>now_ui_load</x:v>
      </x:c>
      <x:c r="D1739" s="7" t="str">
        <x:v>ui 모델 적재</x:v>
      </x:c>
      <x:c r="E1739" s="7" t="str">
        <x:v>via</x:v>
      </x:c>
      <x:c r="F1739" s="14" t="n">
        <x:v>1.58</x:v>
      </x:c>
      <x:c r="G1739" s="14" t="n">
        <x:v>2.68</x:v>
      </x:c>
      <x:c r="H1739" s="14" t="n">
        <x:v>1.1</x:v>
      </x:c>
      <x:c r="I1739" s="14" t="n">
        <x:v>0</x:v>
      </x:c>
      <x:c r="J1739" s="7" t="str">
        <x:v>read, now_ui_boot</x:v>
      </x:c>
      <x:c r="K1739" s="7" t="str">
        <x:v>visual</x:v>
      </x:c>
      <x:c r="L1739" s="14" t="n">
        <x:f>IF(G1739&lt;=I1739,0,MAX(0,L1737,L1738)+IF(E1739="via",MAX(0,G1739-MAX(F1739,I1739)),0))</x:f>
        <x:v>2.68</x:v>
      </x:c>
    </x:row>
    <x:row r="1740" ht="42" customHeight="1">
      <x:c r="A1740" s="12" t="str">
        <x:v>DP3-B-R3</x:v>
      </x:c>
      <x:c r="B1740" s="12" t="str">
        <x:v>U21</x:v>
      </x:c>
      <x:c r="C1740" s="12" t="str">
        <x:v>now_ui_infer</x:v>
      </x:c>
      <x:c r="D1740" s="12" t="str">
        <x:v>ui 후보 생산</x:v>
      </x:c>
      <x:c r="E1740" s="12" t="str">
        <x:v>via</x:v>
      </x:c>
      <x:c r="F1740" s="13" t="n">
        <x:v>2.68</x:v>
      </x:c>
      <x:c r="G1740" s="13" t="n">
        <x:v>4.28</x:v>
      </x:c>
      <x:c r="H1740" s="13" t="n">
        <x:v>1.6</x:v>
      </x:c>
      <x:c r="I1740" s="13" t="n">
        <x:v>0</x:v>
      </x:c>
      <x:c r="J1740" s="12" t="str">
        <x:v>now_ui_load</x:v>
      </x:c>
      <x:c r="K1740" s="12" t="str">
        <x:v>visual</x:v>
      </x:c>
      <x:c r="L1740" s="13" t="n">
        <x:f>IF(G1740&lt;=I1740,0,MAX(0,L1739)+IF(E1740="via",MAX(0,G1740-MAX(F1740,I1740)),0))</x:f>
        <x:v>4.28</x:v>
      </x:c>
    </x:row>
    <x:row r="1741" ht="42" customHeight="1">
      <x:c r="A1741" s="7" t="str">
        <x:v>DP3-B-R3</x:v>
      </x:c>
      <x:c r="B1741" s="7" t="str">
        <x:v>U21</x:v>
      </x:c>
      <x:c r="C1741" s="7" t="str">
        <x:v>now_ui_ipc</x:v>
      </x:c>
      <x:c r="D1741" s="7" t="str">
        <x:v>ui 결과 IPC</x:v>
      </x:c>
      <x:c r="E1741" s="7" t="str">
        <x:v>via</x:v>
      </x:c>
      <x:c r="F1741" s="14" t="n">
        <x:v>4.28</x:v>
      </x:c>
      <x:c r="G1741" s="14" t="n">
        <x:v>4.34</x:v>
      </x:c>
      <x:c r="H1741" s="14" t="n">
        <x:v>0.06</x:v>
      </x:c>
      <x:c r="I1741" s="14" t="n">
        <x:v>0</x:v>
      </x:c>
      <x:c r="J1741" s="7" t="str">
        <x:v>now_ui_infer</x:v>
      </x:c>
      <x:c r="K1741" s="7" t="str">
        <x:v>none</x:v>
      </x:c>
      <x:c r="L1741" s="14" t="n">
        <x:f>IF(G1741&lt;=I1741,0,MAX(0,L1740)+IF(E1741="via",MAX(0,G1741-MAX(F1741,I1741)),0))</x:f>
        <x:v>4.34</x:v>
      </x:c>
    </x:row>
    <x:row r="1742" ht="42" customHeight="1">
      <x:c r="A1742" s="12" t="str">
        <x:v>DP3-B-R3</x:v>
      </x:c>
      <x:c r="B1742" s="12" t="str">
        <x:v>U21</x:v>
      </x:c>
      <x:c r="C1742" s="12" t="str">
        <x:v>meaning</x:v>
      </x:c>
      <x:c r="D1742" s="12" t="str">
        <x:v>최초 요청 의미 채택 packet 생성</x:v>
      </x:c>
      <x:c r="E1742" s="12" t="str">
        <x:v>via</x:v>
      </x:c>
      <x:c r="F1742" s="13" t="n">
        <x:v>4.34</x:v>
      </x:c>
      <x:c r="G1742" s="13" t="n">
        <x:v>5.926666666666667</x:v>
      </x:c>
      <x:c r="H1742" s="13" t="n">
        <x:v>1.5866666666666667</x:v>
      </x:c>
      <x:c r="I1742" s="13" t="n">
        <x:v>0</x:v>
      </x:c>
      <x:c r="J1742" s="12" t="str">
        <x:v>now_ui_ipc, bg1</x:v>
      </x:c>
      <x:c r="K1742" s="12" t="str">
        <x:v>semantic</x:v>
      </x:c>
      <x:c r="L1742" s="13" t="n">
        <x:f>IF(G1742&lt;=I1742,0,MAX(0,L1741,L1734)+IF(E1742="via",MAX(0,G1742-MAX(F1742,I1742)),0))</x:f>
        <x:v>5.926666666666667</x:v>
      </x:c>
    </x:row>
    <x:row r="1743" ht="42" customHeight="1">
      <x:c r="A1743" s="7" t="str">
        <x:v>DP3-B-R3</x:v>
      </x:c>
      <x:c r="B1743" s="7" t="str">
        <x:v>U21</x:v>
      </x:c>
      <x:c r="C1743" s="7" t="str">
        <x:v>adopt</x:v>
      </x:c>
      <x:c r="D1743" s="7" t="str">
        <x:v>현재 revision과 권한 검사 및 채택</x:v>
      </x:c>
      <x:c r="E1743" s="7" t="str">
        <x:v>via</x:v>
      </x:c>
      <x:c r="F1743" s="14" t="n">
        <x:v>5.926666666666667</x:v>
      </x:c>
      <x:c r="G1743" s="14" t="n">
        <x:v>5.956666666666667</x:v>
      </x:c>
      <x:c r="H1743" s="14" t="n">
        <x:v>0.03</x:v>
      </x:c>
      <x:c r="I1743" s="14" t="n">
        <x:v>0</x:v>
      </x:c>
      <x:c r="J1743" s="7" t="str">
        <x:v>meaning</x:v>
      </x:c>
      <x:c r="K1743" s="7" t="str">
        <x:v>none</x:v>
      </x:c>
      <x:c r="L1743" s="14" t="n">
        <x:f>IF(G1743&lt;=I1743,0,MAX(0,L1742)+IF(E1743="via",MAX(0,G1743-MAX(F1743,I1743)),0))</x:f>
        <x:v>5.956666666666667</x:v>
      </x:c>
    </x:row>
    <x:row r="1744" ht="42" customHeight="1">
      <x:c r="A1744" s="12" t="str">
        <x:v>DP3-B-R3</x:v>
      </x:c>
      <x:c r="B1744" s="12" t="str">
        <x:v>U21</x:v>
      </x:c>
      <x:c r="C1744" s="12" t="str">
        <x:v>first_display</x:v>
      </x:c>
      <x:c r="D1744" s="12" t="str">
        <x:v>첫 구체적 채택 내용 화면 표시</x:v>
      </x:c>
      <x:c r="E1744" s="12" t="str">
        <x:v>via</x:v>
      </x:c>
      <x:c r="F1744" s="13" t="n">
        <x:v>5.956666666666667</x:v>
      </x:c>
      <x:c r="G1744" s="13" t="n">
        <x:v>5.996666666666667</x:v>
      </x:c>
      <x:c r="H1744" s="13" t="n">
        <x:v>0.04</x:v>
      </x:c>
      <x:c r="I1744" s="13" t="n">
        <x:v>0</x:v>
      </x:c>
      <x:c r="J1744" s="12" t="str">
        <x:v>adopt</x:v>
      </x:c>
      <x:c r="K1744" s="12" t="str">
        <x:v>none</x:v>
      </x:c>
      <x:c r="L1744" s="13" t="n">
        <x:f>IF(G1744&lt;=I1744,0,MAX(0,L1743)+IF(E1744="via",MAX(0,G1744-MAX(F1744,I1744)),0))</x:f>
        <x:v>5.996666666666667</x:v>
      </x:c>
    </x:row>
    <x:row r="1745" ht="42" customHeight="1">
      <x:c r="A1745" s="7" t="str">
        <x:v>DP3-B-R3</x:v>
      </x:c>
      <x:c r="B1745" s="7" t="str">
        <x:v>U21</x:v>
      </x:c>
      <x:c r="C1745" s="7" t="str">
        <x:v>agent_ingress</x:v>
      </x:c>
      <x:c r="D1745" s="7" t="str">
        <x:v>Agent 요청 전송</x:v>
      </x:c>
      <x:c r="E1745" s="7" t="str">
        <x:v>via</x:v>
      </x:c>
      <x:c r="F1745" s="14" t="n">
        <x:v>5.956666666666667</x:v>
      </x:c>
      <x:c r="G1745" s="14" t="n">
        <x:v>5.996666666666667</x:v>
      </x:c>
      <x:c r="H1745" s="14" t="n">
        <x:v>0.04</x:v>
      </x:c>
      <x:c r="I1745" s="14" t="n">
        <x:v>0</x:v>
      </x:c>
      <x:c r="J1745" s="7" t="str">
        <x:v>adopt</x:v>
      </x:c>
      <x:c r="K1745" s="7" t="str">
        <x:v>none</x:v>
      </x:c>
      <x:c r="L1745" s="14" t="n">
        <x:f>IF(G1745&lt;=I1745,0,MAX(0,L1743)+IF(E1745="via",MAX(0,G1745-MAX(F1745,I1745)),0))</x:f>
        <x:v>5.996666666666667</x:v>
      </x:c>
    </x:row>
    <x:row r="1746" ht="42" customHeight="1">
      <x:c r="A1746" s="12" t="str">
        <x:v>DP3-B-R3</x:v>
      </x:c>
      <x:c r="B1746" s="12" t="str">
        <x:v>U21</x:v>
      </x:c>
      <x:c r="C1746" s="12" t="str">
        <x:v>agent_result</x:v>
      </x:c>
      <x:c r="D1746" s="12" t="str">
        <x:v>외부 Agent 업무</x:v>
      </x:c>
      <x:c r="E1746" s="12" t="str">
        <x:v>external</x:v>
      </x:c>
      <x:c r="F1746" s="13" t="n">
        <x:v>5.996666666666667</x:v>
      </x:c>
      <x:c r="G1746" s="13" t="n">
        <x:v>13.996666666666666</x:v>
      </x:c>
      <x:c r="H1746" s="13" t="n">
        <x:v>8</x:v>
      </x:c>
      <x:c r="I1746" s="13" t="n">
        <x:v>0</x:v>
      </x:c>
      <x:c r="J1746" s="12" t="str">
        <x:v>agent_ingress</x:v>
      </x:c>
      <x:c r="K1746" s="12" t="str">
        <x:v>none</x:v>
      </x:c>
      <x:c r="L1746" s="13" t="n">
        <x:f>IF(G1746&lt;=I1746,0,MAX(0,L1745)+IF(E1746="via",MAX(0,G1746-MAX(F1746,I1746)),0))</x:f>
        <x:v>5.996666666666667</x:v>
      </x:c>
    </x:row>
    <x:row r="1747" ht="42" customHeight="1">
      <x:c r="A1747" s="7" t="str">
        <x:v>DP3-B-R3</x:v>
      </x:c>
      <x:c r="B1747" s="7" t="str">
        <x:v>U21</x:v>
      </x:c>
      <x:c r="C1747" s="7" t="str">
        <x:v>result_display</x:v>
      </x:c>
      <x:c r="D1747" s="7" t="str">
        <x:v>최종 결과 상세 표시</x:v>
      </x:c>
      <x:c r="E1747" s="7" t="str">
        <x:v>via</x:v>
      </x:c>
      <x:c r="F1747" s="14" t="n">
        <x:v>13.996666666666666</x:v>
      </x:c>
      <x:c r="G1747" s="14" t="n">
        <x:v>14.036666666666665</x:v>
      </x:c>
      <x:c r="H1747" s="14" t="n">
        <x:v>0.04</x:v>
      </x:c>
      <x:c r="I1747" s="14" t="n">
        <x:v>0</x:v>
      </x:c>
      <x:c r="J1747" s="7" t="str">
        <x:v>agent_result</x:v>
      </x:c>
      <x:c r="K1747" s="7" t="str">
        <x:v>none</x:v>
      </x:c>
      <x:c r="L1747" s="14" t="n">
        <x:f>IF(G1747&lt;=I1747,0,MAX(0,L1746)+IF(E1747="via",MAX(0,G1747-MAX(F1747,I1747)),0))</x:f>
        <x:v>6.036666666666666</x:v>
      </x:c>
    </x:row>
    <x:row r="1748" ht="42" customHeight="1">
      <x:c r="A1748" s="12" t="str">
        <x:v>DP3-B-R3</x:v>
      </x:c>
      <x:c r="B1748" s="12" t="str">
        <x:v>U21</x:v>
      </x:c>
      <x:c r="C1748" s="12" t="str">
        <x:v>response_audio</x:v>
      </x:c>
      <x:c r="D1748" s="12" t="str">
        <x:v>선택한 응답 음성 생성</x:v>
      </x:c>
      <x:c r="E1748" s="12" t="str">
        <x:v>via</x:v>
      </x:c>
      <x:c r="F1748" s="13" t="n">
        <x:v>13.996666666666666</x:v>
      </x:c>
      <x:c r="G1748" s="13" t="n">
        <x:v>15.884666666666666</x:v>
      </x:c>
      <x:c r="H1748" s="13" t="n">
        <x:v>1.888</x:v>
      </x:c>
      <x:c r="I1748" s="13" t="n">
        <x:v>0</x:v>
      </x:c>
      <x:c r="J1748" s="12" t="str">
        <x:v>agent_result</x:v>
      </x:c>
      <x:c r="K1748" s="12" t="str">
        <x:v>speech</x:v>
      </x:c>
      <x:c r="L1748" s="13" t="n">
        <x:f>IF(G1748&lt;=I1748,0,MAX(0,L1746)+IF(E1748="via",MAX(0,G1748-MAX(F1748,I1748)),0))</x:f>
        <x:v>7.884666666666667</x:v>
      </x:c>
    </x:row>
    <x:row r="1749" ht="42" customHeight="1">
      <x:c r="A1749" s="7" t="str">
        <x:v>DP3-B-R3</x:v>
      </x:c>
      <x:c r="B1749" s="7" t="str">
        <x:v>U21</x:v>
      </x:c>
      <x:c r="C1749" s="7" t="str">
        <x:v>intent_audio</x:v>
      </x:c>
      <x:c r="D1749" s="7" t="str">
        <x:v>채택한 구체적 수행 의도의 짧은 음성</x:v>
      </x:c>
      <x:c r="E1749" s="7" t="str">
        <x:v>via</x:v>
      </x:c>
      <x:c r="F1749" s="14" t="n">
        <x:v>5.956666666666667</x:v>
      </x:c>
      <x:c r="G1749" s="14" t="n">
        <x:v>7.090666666666667</x:v>
      </x:c>
      <x:c r="H1749" s="14" t="n">
        <x:v>1.134</x:v>
      </x:c>
      <x:c r="I1749" s="14" t="n">
        <x:v>0</x:v>
      </x:c>
      <x:c r="J1749" s="7" t="str">
        <x:v>adopt</x:v>
      </x:c>
      <x:c r="K1749" s="7" t="str">
        <x:v>speech</x:v>
      </x:c>
      <x:c r="L1749" s="14" t="n">
        <x:f>IF(G1749&lt;=I1749,0,MAX(0,L1743)+IF(E1749="via",MAX(0,G1749-MAX(F1749,I1749)),0))</x:f>
        <x:v>7.090666666666667</x:v>
      </x:c>
    </x:row>
    <x:row r="1750" ht="42" customHeight="1">
      <x:c r="A1750" s="12" t="str">
        <x:v>DP3-B-R3</x:v>
      </x:c>
      <x:c r="B1750" s="12" t="str">
        <x:v>U21</x:v>
      </x:c>
      <x:c r="C1750" s="12" t="str">
        <x:v>first_chunk</x:v>
      </x:c>
      <x:c r="D1750" s="12" t="str">
        <x:v>같은 생성 job의 유효 첫 chunk 관측</x:v>
      </x:c>
      <x:c r="E1750" s="12" t="str">
        <x:v>via</x:v>
      </x:c>
      <x:c r="F1750" s="13" t="n">
        <x:v>5.956666666666667</x:v>
      </x:c>
      <x:c r="G1750" s="13" t="n">
        <x:v>6.390666666666667</x:v>
      </x:c>
      <x:c r="H1750" s="13" t="n">
        <x:v>0.434</x:v>
      </x:c>
      <x:c r="I1750" s="13" t="n">
        <x:v>0</x:v>
      </x:c>
      <x:c r="J1750" s="12" t="str">
        <x:v>adopt</x:v>
      </x:c>
      <x:c r="K1750" s="12" t="str">
        <x:v>none</x:v>
      </x:c>
      <x:c r="L1750" s="13" t="n">
        <x:f>IF(G1750&lt;=I1750,0,MAX(0,L1743)+IF(E1750="via",MAX(0,G1750-MAX(F1750,I1750)),0))</x:f>
        <x:v>6.390666666666667</x:v>
      </x:c>
    </x:row>
    <x:row r="1751" ht="42" customHeight="1">
      <x:c r="A1751" s="7" t="str">
        <x:v>DP3-B-R3</x:v>
      </x:c>
      <x:c r="B1751" s="7" t="str">
        <x:v>U21</x:v>
      </x:c>
      <x:c r="C1751" s="7" t="str">
        <x:v>first_audio_output</x:v>
      </x:c>
      <x:c r="D1751" s="7" t="str">
        <x:v>공통 장치의 첫 음성 출력</x:v>
      </x:c>
      <x:c r="E1751" s="7" t="str">
        <x:v>via</x:v>
      </x:c>
      <x:c r="F1751" s="14" t="n">
        <x:v>6.390666666666667</x:v>
      </x:c>
      <x:c r="G1751" s="14" t="n">
        <x:v>6.430666666666667</x:v>
      </x:c>
      <x:c r="H1751" s="14" t="n">
        <x:v>0.04</x:v>
      </x:c>
      <x:c r="I1751" s="14" t="n">
        <x:v>0</x:v>
      </x:c>
      <x:c r="J1751" s="7" t="str">
        <x:v>adopt, first_chunk</x:v>
      </x:c>
      <x:c r="K1751" s="7" t="str">
        <x:v>none</x:v>
      </x:c>
      <x:c r="L1751" s="14" t="n">
        <x:f>IF(G1751&lt;=I1751,0,MAX(0,L1743,L1750)+IF(E1751="via",MAX(0,G1751-MAX(F1751,I1751)),0))</x:f>
        <x:v>6.430666666666667</x:v>
      </x:c>
    </x:row>
    <x:row r="1752" ht="42" customHeight="1">
      <x:c r="A1752" s="12" t="str">
        <x:v>DP3-B-R3</x:v>
      </x:c>
      <x:c r="B1752" s="12" t="str">
        <x:v>U21</x:v>
      </x:c>
      <x:c r="C1752" s="12" t="str">
        <x:v>next_speech_selection</x:v>
      </x:c>
      <x:c r="D1752" s="12" t="str">
        <x:v>현재 발화 재생 후 다음 응답 선택</x:v>
      </x:c>
      <x:c r="E1752" s="12" t="str">
        <x:v>external</x:v>
      </x:c>
      <x:c r="F1752" s="13" t="n">
        <x:v>6.430666666666667</x:v>
      </x:c>
      <x:c r="G1752" s="13" t="n">
        <x:v>9.430666666666667</x:v>
      </x:c>
      <x:c r="H1752" s="13" t="n">
        <x:v>3</x:v>
      </x:c>
      <x:c r="I1752" s="13" t="n">
        <x:v>0</x:v>
      </x:c>
      <x:c r="J1752" s="12" t="str">
        <x:v>first_audio_output</x:v>
      </x:c>
      <x:c r="K1752" s="12" t="str">
        <x:v>none</x:v>
      </x:c>
      <x:c r="L1752" s="13" t="n">
        <x:f>IF(G1752&lt;=I1752,0,MAX(0,L1751)+IF(E1752="via",MAX(0,G1752-MAX(F1752,I1752)),0))</x:f>
        <x:v>6.430666666666667</x:v>
      </x:c>
    </x:row>
    <x:row r="1753" ht="42" customHeight="1">
      <x:c r="A1753" s="7" t="str">
        <x:v>DP3-B-R3</x:v>
      </x:c>
      <x:c r="B1753" s="7" t="str">
        <x:v>U21</x:v>
      </x:c>
      <x:c r="C1753" s="7" t="str">
        <x:v>terminal</x:v>
      </x:c>
      <x:c r="D1753" s="7" t="str">
        <x:v>공통 목표 최종 상태와 전체 음성 준비</x:v>
      </x:c>
      <x:c r="E1753" s="7" t="str">
        <x:v>via</x:v>
      </x:c>
      <x:c r="F1753" s="14" t="n">
        <x:v>15.884666666666666</x:v>
      </x:c>
      <x:c r="G1753" s="14" t="n">
        <x:v>15.884666666666666</x:v>
      </x:c>
      <x:c r="H1753" s="14" t="n">
        <x:v>0</x:v>
      </x:c>
      <x:c r="I1753" s="14" t="n">
        <x:v>0</x:v>
      </x:c>
      <x:c r="J1753" s="7" t="str">
        <x:v>result_display, response_audio, intent_audio, first_audio_output</x:v>
      </x:c>
      <x:c r="K1753" s="7" t="str">
        <x:v>none</x:v>
      </x:c>
      <x:c r="L1753" s="14" t="n">
        <x:f>IF(G1753&lt;=I1753,0,MAX(0,L1747,L1748,L1749,L1751)+IF(E1753="via",MAX(0,G1753-MAX(F1753,I1753)),0))</x:f>
        <x:v>7.884666666666667</x:v>
      </x:c>
    </x:row>
    <x:row r="1754" ht="42" customHeight="1">
      <x:c r="A1754" s="12" t="str">
        <x:v>DP3-B-R3</x:v>
      </x:c>
      <x:c r="B1754" s="12" t="str">
        <x:v>U22</x:v>
      </x:c>
      <x:c r="C1754" s="12" t="str">
        <x:v>input_end</x:v>
      </x:c>
      <x:c r="D1754" s="12" t="str">
        <x:v>사용자 입력 종료</x:v>
      </x:c>
      <x:c r="E1754" s="12" t="str">
        <x:v>external</x:v>
      </x:c>
      <x:c r="F1754" s="13" t="n">
        <x:v>0</x:v>
      </x:c>
      <x:c r="G1754" s="13" t="n">
        <x:v>0</x:v>
      </x:c>
      <x:c r="H1754" s="13" t="n">
        <x:v>0</x:v>
      </x:c>
      <x:c r="I1754" s="13" t="n">
        <x:v>0</x:v>
      </x:c>
      <x:c r="J1754" s="12" t="str"/>
      <x:c r="K1754" s="12" t="str">
        <x:v>none</x:v>
      </x:c>
      <x:c r="L1754" s="13" t="n">
        <x:f>IF(G1754&lt;=I1754,0,MAX(0)+IF(E1754="via",MAX(0,G1754-MAX(F1754,I1754)),0))</x:f>
        <x:v>0</x:v>
      </x:c>
    </x:row>
    <x:row r="1755" ht="42" customHeight="1">
      <x:c r="A1755" s="7" t="str">
        <x:v>DP3-B-R3</x:v>
      </x:c>
      <x:c r="B1755" s="7" t="str">
        <x:v>U22</x:v>
      </x:c>
      <x:c r="C1755" s="7" t="str">
        <x:v>intake</x:v>
      </x:c>
      <x:c r="D1755" s="7" t="str">
        <x:v>입력 확정</x:v>
      </x:c>
      <x:c r="E1755" s="7" t="str">
        <x:v>via</x:v>
      </x:c>
      <x:c r="F1755" s="14" t="n">
        <x:v>0</x:v>
      </x:c>
      <x:c r="G1755" s="14" t="n">
        <x:v>0.3</x:v>
      </x:c>
      <x:c r="H1755" s="14" t="n">
        <x:v>0.3</x:v>
      </x:c>
      <x:c r="I1755" s="14" t="n">
        <x:v>0</x:v>
      </x:c>
      <x:c r="J1755" s="7" t="str">
        <x:v>input_end</x:v>
      </x:c>
      <x:c r="K1755" s="7" t="str">
        <x:v>none</x:v>
      </x:c>
      <x:c r="L1755" s="14" t="n">
        <x:f>IF(G1755&lt;=I1755,0,MAX(0,L1754)+IF(E1755="via",MAX(0,G1755-MAX(F1755,I1755)),0))</x:f>
        <x:v>0.3</x:v>
      </x:c>
    </x:row>
    <x:row r="1756" ht="42" customHeight="1">
      <x:c r="A1756" s="12" t="str">
        <x:v>DP3-B-R3</x:v>
      </x:c>
      <x:c r="B1756" s="12" t="str">
        <x:v>U22</x:v>
      </x:c>
      <x:c r="C1756" s="12" t="str">
        <x:v>read</x:v>
      </x:c>
      <x:c r="D1756" s="12" t="str">
        <x:v>공통 허용 원본 조회</x:v>
      </x:c>
      <x:c r="E1756" s="12" t="str">
        <x:v>via</x:v>
      </x:c>
      <x:c r="F1756" s="13" t="n">
        <x:v>0.3</x:v>
      </x:c>
      <x:c r="G1756" s="13" t="n">
        <x:v>0.38</x:v>
      </x:c>
      <x:c r="H1756" s="13" t="n">
        <x:v>0.08</x:v>
      </x:c>
      <x:c r="I1756" s="13" t="n">
        <x:v>0</x:v>
      </x:c>
      <x:c r="J1756" s="12" t="str">
        <x:v>intake</x:v>
      </x:c>
      <x:c r="K1756" s="12" t="str">
        <x:v>none</x:v>
      </x:c>
      <x:c r="L1756" s="13" t="n">
        <x:f>IF(G1756&lt;=I1756,0,MAX(0,L1755)+IF(E1756="via",MAX(0,G1756-MAX(F1756,I1756)),0))</x:f>
        <x:v>0.38</x:v>
      </x:c>
    </x:row>
    <x:row r="1757" ht="42" customHeight="1">
      <x:c r="A1757" s="7" t="str">
        <x:v>DP3-B-R3</x:v>
      </x:c>
      <x:c r="B1757" s="7" t="str">
        <x:v>U22</x:v>
      </x:c>
      <x:c r="C1757" s="7" t="str">
        <x:v>pre_ui_boot</x:v>
      </x:c>
      <x:c r="D1757" s="7" t="str">
        <x:v>ui runtime 시작</x:v>
      </x:c>
      <x:c r="E1757" s="7" t="str">
        <x:v>via</x:v>
      </x:c>
      <x:c r="F1757" s="14" t="n">
        <x:v>-12</x:v>
      </x:c>
      <x:c r="G1757" s="14" t="n">
        <x:v>-10.8</x:v>
      </x:c>
      <x:c r="H1757" s="14" t="n">
        <x:v>1.2</x:v>
      </x:c>
      <x:c r="I1757" s="14" t="n">
        <x:v>0</x:v>
      </x:c>
      <x:c r="J1757" s="7" t="str"/>
      <x:c r="K1757" s="7" t="str">
        <x:v>visual</x:v>
      </x:c>
      <x:c r="L1757" s="14" t="n">
        <x:f>IF(G1757&lt;=I1757,0,MAX(0)+IF(E1757="via",MAX(0,G1757-MAX(F1757,I1757)),0))</x:f>
        <x:v>0</x:v>
      </x:c>
    </x:row>
    <x:row r="1758" ht="42" customHeight="1">
      <x:c r="A1758" s="12" t="str">
        <x:v>DP3-B-R3</x:v>
      </x:c>
      <x:c r="B1758" s="12" t="str">
        <x:v>U22</x:v>
      </x:c>
      <x:c r="C1758" s="12" t="str">
        <x:v>pre_ui_load</x:v>
      </x:c>
      <x:c r="D1758" s="12" t="str">
        <x:v>ui 모델 적재</x:v>
      </x:c>
      <x:c r="E1758" s="12" t="str">
        <x:v>via</x:v>
      </x:c>
      <x:c r="F1758" s="13" t="n">
        <x:v>-10.8</x:v>
      </x:c>
      <x:c r="G1758" s="13" t="n">
        <x:v>-9.700000000000001</x:v>
      </x:c>
      <x:c r="H1758" s="13" t="n">
        <x:v>1.1</x:v>
      </x:c>
      <x:c r="I1758" s="13" t="n">
        <x:v>0</x:v>
      </x:c>
      <x:c r="J1758" s="12" t="str">
        <x:v>pre_ui_boot</x:v>
      </x:c>
      <x:c r="K1758" s="12" t="str">
        <x:v>visual</x:v>
      </x:c>
      <x:c r="L1758" s="13" t="n">
        <x:f>IF(G1758&lt;=I1758,0,MAX(0,L1757)+IF(E1758="via",MAX(0,G1758-MAX(F1758,I1758)),0))</x:f>
        <x:v>0</x:v>
      </x:c>
    </x:row>
    <x:row r="1759" ht="42" customHeight="1">
      <x:c r="A1759" s="7" t="str">
        <x:v>DP3-B-R3</x:v>
      </x:c>
      <x:c r="B1759" s="7" t="str">
        <x:v>U22</x:v>
      </x:c>
      <x:c r="C1759" s="7" t="str">
        <x:v>pre_ui_infer</x:v>
      </x:c>
      <x:c r="D1759" s="7" t="str">
        <x:v>ui 후보 생산</x:v>
      </x:c>
      <x:c r="E1759" s="7" t="str">
        <x:v>via</x:v>
      </x:c>
      <x:c r="F1759" s="14" t="n">
        <x:v>-9.700000000000001</x:v>
      </x:c>
      <x:c r="G1759" s="14" t="n">
        <x:v>-8.100000000000001</x:v>
      </x:c>
      <x:c r="H1759" s="14" t="n">
        <x:v>1.6</x:v>
      </x:c>
      <x:c r="I1759" s="14" t="n">
        <x:v>0</x:v>
      </x:c>
      <x:c r="J1759" s="7" t="str">
        <x:v>pre_ui_load</x:v>
      </x:c>
      <x:c r="K1759" s="7" t="str">
        <x:v>visual</x:v>
      </x:c>
      <x:c r="L1759" s="14" t="n">
        <x:f>IF(G1759&lt;=I1759,0,MAX(0,L1758)+IF(E1759="via",MAX(0,G1759-MAX(F1759,I1759)),0))</x:f>
        <x:v>0</x:v>
      </x:c>
    </x:row>
    <x:row r="1760" ht="42" customHeight="1">
      <x:c r="A1760" s="12" t="str">
        <x:v>DP3-B-R3</x:v>
      </x:c>
      <x:c r="B1760" s="12" t="str">
        <x:v>U22</x:v>
      </x:c>
      <x:c r="C1760" s="12" t="str">
        <x:v>pre_ui_ipc</x:v>
      </x:c>
      <x:c r="D1760" s="12" t="str">
        <x:v>ui 결과 IPC</x:v>
      </x:c>
      <x:c r="E1760" s="12" t="str">
        <x:v>via</x:v>
      </x:c>
      <x:c r="F1760" s="13" t="n">
        <x:v>-8.100000000000001</x:v>
      </x:c>
      <x:c r="G1760" s="13" t="n">
        <x:v>-8.040000000000001</x:v>
      </x:c>
      <x:c r="H1760" s="13" t="n">
        <x:v>0.06</x:v>
      </x:c>
      <x:c r="I1760" s="13" t="n">
        <x:v>0</x:v>
      </x:c>
      <x:c r="J1760" s="12" t="str">
        <x:v>pre_ui_infer</x:v>
      </x:c>
      <x:c r="K1760" s="12" t="str">
        <x:v>none</x:v>
      </x:c>
      <x:c r="L1760" s="13" t="n">
        <x:f>IF(G1760&lt;=I1760,0,MAX(0,L1759)+IF(E1760="via",MAX(0,G1760-MAX(F1760,I1760)),0))</x:f>
        <x:v>0</x:v>
      </x:c>
    </x:row>
    <x:row r="1761" ht="42" customHeight="1">
      <x:c r="A1761" s="7" t="str">
        <x:v>DP3-B-R3</x:v>
      </x:c>
      <x:c r="B1761" s="7" t="str">
        <x:v>U22</x:v>
      </x:c>
      <x:c r="C1761" s="7" t="str">
        <x:v>pre_adopt</x:v>
      </x:c>
      <x:c r="D1761" s="7" t="str">
        <x:v>선행 후보의 요청 의미 확정</x:v>
      </x:c>
      <x:c r="E1761" s="7" t="str">
        <x:v>via</x:v>
      </x:c>
      <x:c r="F1761" s="14" t="n">
        <x:v>-8.040000000000001</x:v>
      </x:c>
      <x:c r="G1761" s="14" t="n">
        <x:v>-6.853333333333334</x:v>
      </x:c>
      <x:c r="H1761" s="14" t="n">
        <x:v>1.1866666666666668</x:v>
      </x:c>
      <x:c r="I1761" s="14" t="n">
        <x:v>0</x:v>
      </x:c>
      <x:c r="J1761" s="7" t="str">
        <x:v>pre_ui_ipc</x:v>
      </x:c>
      <x:c r="K1761" s="7" t="str">
        <x:v>semantic</x:v>
      </x:c>
      <x:c r="L1761" s="14" t="n">
        <x:f>IF(G1761&lt;=I1761,0,MAX(0,L1760)+IF(E1761="via",MAX(0,G1761-MAX(F1761,I1761)),0))</x:f>
        <x:v>0</x:v>
      </x:c>
    </x:row>
    <x:row r="1762" ht="42" customHeight="1">
      <x:c r="A1762" s="12" t="str">
        <x:v>DP3-B-R3</x:v>
      </x:c>
      <x:c r="B1762" s="12" t="str">
        <x:v>U22</x:v>
      </x:c>
      <x:c r="C1762" s="12" t="str">
        <x:v>now_ui_infer</x:v>
      </x:c>
      <x:c r="D1762" s="12" t="str">
        <x:v>ui 후보 생산</x:v>
      </x:c>
      <x:c r="E1762" s="12" t="str">
        <x:v>via</x:v>
      </x:c>
      <x:c r="F1762" s="13" t="n">
        <x:v>0.38</x:v>
      </x:c>
      <x:c r="G1762" s="13" t="n">
        <x:v>1.98</x:v>
      </x:c>
      <x:c r="H1762" s="13" t="n">
        <x:v>1.6</x:v>
      </x:c>
      <x:c r="I1762" s="13" t="n">
        <x:v>0</x:v>
      </x:c>
      <x:c r="J1762" s="12" t="str">
        <x:v>read, pre_adopt, pre_ui_boot</x:v>
      </x:c>
      <x:c r="K1762" s="12" t="str">
        <x:v>visual</x:v>
      </x:c>
      <x:c r="L1762" s="13" t="n">
        <x:f>IF(G1762&lt;=I1762,0,MAX(0,L1756,L1761,L1757)+IF(E1762="via",MAX(0,G1762-MAX(F1762,I1762)),0))</x:f>
        <x:v>1.98</x:v>
      </x:c>
    </x:row>
    <x:row r="1763" ht="42" customHeight="1">
      <x:c r="A1763" s="7" t="str">
        <x:v>DP3-B-R3</x:v>
      </x:c>
      <x:c r="B1763" s="7" t="str">
        <x:v>U22</x:v>
      </x:c>
      <x:c r="C1763" s="7" t="str">
        <x:v>now_ui_ipc</x:v>
      </x:c>
      <x:c r="D1763" s="7" t="str">
        <x:v>ui 결과 IPC</x:v>
      </x:c>
      <x:c r="E1763" s="7" t="str">
        <x:v>via</x:v>
      </x:c>
      <x:c r="F1763" s="14" t="n">
        <x:v>1.98</x:v>
      </x:c>
      <x:c r="G1763" s="14" t="n">
        <x:v>2.04</x:v>
      </x:c>
      <x:c r="H1763" s="14" t="n">
        <x:v>0.06</x:v>
      </x:c>
      <x:c r="I1763" s="14" t="n">
        <x:v>0</x:v>
      </x:c>
      <x:c r="J1763" s="7" t="str">
        <x:v>now_ui_infer</x:v>
      </x:c>
      <x:c r="K1763" s="7" t="str">
        <x:v>none</x:v>
      </x:c>
      <x:c r="L1763" s="14" t="n">
        <x:f>IF(G1763&lt;=I1763,0,MAX(0,L1762)+IF(E1763="via",MAX(0,G1763-MAX(F1763,I1763)),0))</x:f>
        <x:v>2.04</x:v>
      </x:c>
    </x:row>
    <x:row r="1764" ht="42" customHeight="1">
      <x:c r="A1764" s="12" t="str">
        <x:v>DP3-B-R3</x:v>
      </x:c>
      <x:c r="B1764" s="12" t="str">
        <x:v>U22</x:v>
      </x:c>
      <x:c r="C1764" s="12" t="str">
        <x:v>meaning</x:v>
      </x:c>
      <x:c r="D1764" s="12" t="str">
        <x:v>최초 요청 의미 채택 packet 생성</x:v>
      </x:c>
      <x:c r="E1764" s="12" t="str">
        <x:v>via</x:v>
      </x:c>
      <x:c r="F1764" s="13" t="n">
        <x:v>2.04</x:v>
      </x:c>
      <x:c r="G1764" s="13" t="n">
        <x:v>3.2266666666666666</x:v>
      </x:c>
      <x:c r="H1764" s="13" t="n">
        <x:v>1.1866666666666668</x:v>
      </x:c>
      <x:c r="I1764" s="13" t="n">
        <x:v>0</x:v>
      </x:c>
      <x:c r="J1764" s="12" t="str">
        <x:v>now_ui_ipc</x:v>
      </x:c>
      <x:c r="K1764" s="12" t="str">
        <x:v>semantic</x:v>
      </x:c>
      <x:c r="L1764" s="13" t="n">
        <x:f>IF(G1764&lt;=I1764,0,MAX(0,L1763)+IF(E1764="via",MAX(0,G1764-MAX(F1764,I1764)),0))</x:f>
        <x:v>3.2266666666666666</x:v>
      </x:c>
    </x:row>
    <x:row r="1765" ht="42" customHeight="1">
      <x:c r="A1765" s="7" t="str">
        <x:v>DP3-B-R3</x:v>
      </x:c>
      <x:c r="B1765" s="7" t="str">
        <x:v>U22</x:v>
      </x:c>
      <x:c r="C1765" s="7" t="str">
        <x:v>adopt</x:v>
      </x:c>
      <x:c r="D1765" s="7" t="str">
        <x:v>현재 revision과 권한 검사 및 채택</x:v>
      </x:c>
      <x:c r="E1765" s="7" t="str">
        <x:v>via</x:v>
      </x:c>
      <x:c r="F1765" s="14" t="n">
        <x:v>3.2266666666666666</x:v>
      </x:c>
      <x:c r="G1765" s="14" t="n">
        <x:v>3.2566666666666664</x:v>
      </x:c>
      <x:c r="H1765" s="14" t="n">
        <x:v>0.03</x:v>
      </x:c>
      <x:c r="I1765" s="14" t="n">
        <x:v>0</x:v>
      </x:c>
      <x:c r="J1765" s="7" t="str">
        <x:v>meaning</x:v>
      </x:c>
      <x:c r="K1765" s="7" t="str">
        <x:v>none</x:v>
      </x:c>
      <x:c r="L1765" s="14" t="n">
        <x:f>IF(G1765&lt;=I1765,0,MAX(0,L1764)+IF(E1765="via",MAX(0,G1765-MAX(F1765,I1765)),0))</x:f>
        <x:v>3.2566666666666664</x:v>
      </x:c>
    </x:row>
    <x:row r="1766" ht="42" customHeight="1">
      <x:c r="A1766" s="12" t="str">
        <x:v>DP3-B-R3</x:v>
      </x:c>
      <x:c r="B1766" s="12" t="str">
        <x:v>U22</x:v>
      </x:c>
      <x:c r="C1766" s="12" t="str">
        <x:v>first_display</x:v>
      </x:c>
      <x:c r="D1766" s="12" t="str">
        <x:v>첫 구체적 채택 내용 화면 표시</x:v>
      </x:c>
      <x:c r="E1766" s="12" t="str">
        <x:v>via</x:v>
      </x:c>
      <x:c r="F1766" s="13" t="n">
        <x:v>3.2566666666666664</x:v>
      </x:c>
      <x:c r="G1766" s="13" t="n">
        <x:v>3.2966666666666664</x:v>
      </x:c>
      <x:c r="H1766" s="13" t="n">
        <x:v>0.04</x:v>
      </x:c>
      <x:c r="I1766" s="13" t="n">
        <x:v>0</x:v>
      </x:c>
      <x:c r="J1766" s="12" t="str">
        <x:v>adopt</x:v>
      </x:c>
      <x:c r="K1766" s="12" t="str">
        <x:v>none</x:v>
      </x:c>
      <x:c r="L1766" s="13" t="n">
        <x:f>IF(G1766&lt;=I1766,0,MAX(0,L1765)+IF(E1766="via",MAX(0,G1766-MAX(F1766,I1766)),0))</x:f>
        <x:v>3.2966666666666664</x:v>
      </x:c>
    </x:row>
    <x:row r="1767" ht="42" customHeight="1">
      <x:c r="A1767" s="7" t="str">
        <x:v>DP3-B-R3</x:v>
      </x:c>
      <x:c r="B1767" s="7" t="str">
        <x:v>U22</x:v>
      </x:c>
      <x:c r="C1767" s="7" t="str">
        <x:v>agent_ingress</x:v>
      </x:c>
      <x:c r="D1767" s="7" t="str">
        <x:v>Agent 요청 전송</x:v>
      </x:c>
      <x:c r="E1767" s="7" t="str">
        <x:v>via</x:v>
      </x:c>
      <x:c r="F1767" s="14" t="n">
        <x:v>3.2566666666666664</x:v>
      </x:c>
      <x:c r="G1767" s="14" t="n">
        <x:v>3.2966666666666664</x:v>
      </x:c>
      <x:c r="H1767" s="14" t="n">
        <x:v>0.04</x:v>
      </x:c>
      <x:c r="I1767" s="14" t="n">
        <x:v>0</x:v>
      </x:c>
      <x:c r="J1767" s="7" t="str">
        <x:v>adopt</x:v>
      </x:c>
      <x:c r="K1767" s="7" t="str">
        <x:v>none</x:v>
      </x:c>
      <x:c r="L1767" s="14" t="n">
        <x:f>IF(G1767&lt;=I1767,0,MAX(0,L1765)+IF(E1767="via",MAX(0,G1767-MAX(F1767,I1767)),0))</x:f>
        <x:v>3.2966666666666664</x:v>
      </x:c>
    </x:row>
    <x:row r="1768" ht="42" customHeight="1">
      <x:c r="A1768" s="12" t="str">
        <x:v>DP3-B-R3</x:v>
      </x:c>
      <x:c r="B1768" s="12" t="str">
        <x:v>U22</x:v>
      </x:c>
      <x:c r="C1768" s="12" t="str">
        <x:v>agent_result</x:v>
      </x:c>
      <x:c r="D1768" s="12" t="str">
        <x:v>외부 Agent 업무</x:v>
      </x:c>
      <x:c r="E1768" s="12" t="str">
        <x:v>external</x:v>
      </x:c>
      <x:c r="F1768" s="13" t="n">
        <x:v>3.2966666666666664</x:v>
      </x:c>
      <x:c r="G1768" s="13" t="n">
        <x:v>11.296666666666667</x:v>
      </x:c>
      <x:c r="H1768" s="13" t="n">
        <x:v>8</x:v>
      </x:c>
      <x:c r="I1768" s="13" t="n">
        <x:v>0</x:v>
      </x:c>
      <x:c r="J1768" s="12" t="str">
        <x:v>agent_ingress</x:v>
      </x:c>
      <x:c r="K1768" s="12" t="str">
        <x:v>none</x:v>
      </x:c>
      <x:c r="L1768" s="13" t="n">
        <x:f>IF(G1768&lt;=I1768,0,MAX(0,L1767)+IF(E1768="via",MAX(0,G1768-MAX(F1768,I1768)),0))</x:f>
        <x:v>3.2966666666666664</x:v>
      </x:c>
    </x:row>
    <x:row r="1769" ht="42" customHeight="1">
      <x:c r="A1769" s="7" t="str">
        <x:v>DP3-B-R3</x:v>
      </x:c>
      <x:c r="B1769" s="7" t="str">
        <x:v>U22</x:v>
      </x:c>
      <x:c r="C1769" s="7" t="str">
        <x:v>result_display</x:v>
      </x:c>
      <x:c r="D1769" s="7" t="str">
        <x:v>최종 결과 상세 표시</x:v>
      </x:c>
      <x:c r="E1769" s="7" t="str">
        <x:v>via</x:v>
      </x:c>
      <x:c r="F1769" s="14" t="n">
        <x:v>11.296666666666667</x:v>
      </x:c>
      <x:c r="G1769" s="14" t="n">
        <x:v>11.336666666666666</x:v>
      </x:c>
      <x:c r="H1769" s="14" t="n">
        <x:v>0.04</x:v>
      </x:c>
      <x:c r="I1769" s="14" t="n">
        <x:v>0</x:v>
      </x:c>
      <x:c r="J1769" s="7" t="str">
        <x:v>agent_result</x:v>
      </x:c>
      <x:c r="K1769" s="7" t="str">
        <x:v>none</x:v>
      </x:c>
      <x:c r="L1769" s="14" t="n">
        <x:f>IF(G1769&lt;=I1769,0,MAX(0,L1768)+IF(E1769="via",MAX(0,G1769-MAX(F1769,I1769)),0))</x:f>
        <x:v>3.3366666666666656</x:v>
      </x:c>
    </x:row>
    <x:row r="1770" ht="42" customHeight="1">
      <x:c r="A1770" s="12" t="str">
        <x:v>DP3-B-R3</x:v>
      </x:c>
      <x:c r="B1770" s="12" t="str">
        <x:v>U22</x:v>
      </x:c>
      <x:c r="C1770" s="12" t="str">
        <x:v>question_arrival</x:v>
      </x:c>
      <x:c r="D1770" s="12" t="str">
        <x:v>Agent 질문 텍스트 도착</x:v>
      </x:c>
      <x:c r="E1770" s="12" t="str">
        <x:v>external</x:v>
      </x:c>
      <x:c r="F1770" s="13" t="n">
        <x:v>-2</x:v>
      </x:c>
      <x:c r="G1770" s="13" t="n">
        <x:v>-2</x:v>
      </x:c>
      <x:c r="H1770" s="13" t="n">
        <x:v>0</x:v>
      </x:c>
      <x:c r="I1770" s="13" t="n">
        <x:v>0</x:v>
      </x:c>
      <x:c r="J1770" s="12" t="str"/>
      <x:c r="K1770" s="12" t="str">
        <x:v>none</x:v>
      </x:c>
      <x:c r="L1770" s="13" t="n">
        <x:f>IF(G1770&lt;=I1770,0,MAX(0)+IF(E1770="via",MAX(0,G1770-MAX(F1770,I1770)),0))</x:f>
        <x:v>0</x:v>
      </x:c>
    </x:row>
    <x:row r="1771" ht="42" customHeight="1">
      <x:c r="A1771" s="7" t="str">
        <x:v>DP3-B-R3</x:v>
      </x:c>
      <x:c r="B1771" s="7" t="str">
        <x:v>U22</x:v>
      </x:c>
      <x:c r="C1771" s="7" t="str">
        <x:v>question_audio</x:v>
      </x:c>
      <x:c r="D1771" s="7" t="str">
        <x:v>선택한 응답 음성 생성</x:v>
      </x:c>
      <x:c r="E1771" s="7" t="str">
        <x:v>via</x:v>
      </x:c>
      <x:c r="F1771" s="14" t="n">
        <x:v>-2</x:v>
      </x:c>
      <x:c r="G1771" s="14" t="n">
        <x:v>-0.1120000000000001</x:v>
      </x:c>
      <x:c r="H1771" s="14" t="n">
        <x:v>1.888</x:v>
      </x:c>
      <x:c r="I1771" s="14" t="n">
        <x:v>0</x:v>
      </x:c>
      <x:c r="J1771" s="7" t="str">
        <x:v>question_arrival</x:v>
      </x:c>
      <x:c r="K1771" s="7" t="str">
        <x:v>speech</x:v>
      </x:c>
      <x:c r="L1771" s="14" t="n">
        <x:f>IF(G1771&lt;=I1771,0,MAX(0,L1770)+IF(E1771="via",MAX(0,G1771-MAX(F1771,I1771)),0))</x:f>
        <x:v>0</x:v>
      </x:c>
    </x:row>
    <x:row r="1772" ht="42" customHeight="1">
      <x:c r="A1772" s="12" t="str">
        <x:v>DP3-B-R3</x:v>
      </x:c>
      <x:c r="B1772" s="12" t="str">
        <x:v>U22</x:v>
      </x:c>
      <x:c r="C1772" s="12" t="str">
        <x:v>final_result_audio</x:v>
      </x:c>
      <x:c r="D1772" s="12" t="str">
        <x:v>새 업무 최종 결과 음성 준비</x:v>
      </x:c>
      <x:c r="E1772" s="12" t="str">
        <x:v>via</x:v>
      </x:c>
      <x:c r="F1772" s="13" t="n">
        <x:v>11.296666666666667</x:v>
      </x:c>
      <x:c r="G1772" s="13" t="n">
        <x:v>13.184666666666667</x:v>
      </x:c>
      <x:c r="H1772" s="13" t="n">
        <x:v>1.888</x:v>
      </x:c>
      <x:c r="I1772" s="13" t="n">
        <x:v>0</x:v>
      </x:c>
      <x:c r="J1772" s="12" t="str">
        <x:v>agent_result</x:v>
      </x:c>
      <x:c r="K1772" s="12" t="str">
        <x:v>speech</x:v>
      </x:c>
      <x:c r="L1772" s="13" t="n">
        <x:f>IF(G1772&lt;=I1772,0,MAX(0,L1768)+IF(E1772="via",MAX(0,G1772-MAX(F1772,I1772)),0))</x:f>
        <x:v>5.184666666666667</x:v>
      </x:c>
    </x:row>
    <x:row r="1773" ht="42" customHeight="1">
      <x:c r="A1773" s="7" t="str">
        <x:v>DP3-B-R3</x:v>
      </x:c>
      <x:c r="B1773" s="7" t="str">
        <x:v>U22</x:v>
      </x:c>
      <x:c r="C1773" s="7" t="str">
        <x:v>first_chunk</x:v>
      </x:c>
      <x:c r="D1773" s="7" t="str">
        <x:v>같은 생성 job의 유효 첫 chunk 관측</x:v>
      </x:c>
      <x:c r="E1773" s="7" t="str">
        <x:v>via</x:v>
      </x:c>
      <x:c r="F1773" s="14" t="n">
        <x:v>-2</x:v>
      </x:c>
      <x:c r="G1773" s="14" t="n">
        <x:v>-1.562</x:v>
      </x:c>
      <x:c r="H1773" s="14" t="n">
        <x:v>0.438</x:v>
      </x:c>
      <x:c r="I1773" s="14" t="n">
        <x:v>0</x:v>
      </x:c>
      <x:c r="J1773" s="7" t="str">
        <x:v>question_arrival</x:v>
      </x:c>
      <x:c r="K1773" s="7" t="str">
        <x:v>none</x:v>
      </x:c>
      <x:c r="L1773" s="14" t="n">
        <x:f>IF(G1773&lt;=I1773,0,MAX(0,L1770)+IF(E1773="via",MAX(0,G1773-MAX(F1773,I1773)),0))</x:f>
        <x:v>0</x:v>
      </x:c>
    </x:row>
    <x:row r="1774" ht="42" customHeight="1">
      <x:c r="A1774" s="12" t="str">
        <x:v>DP3-B-R3</x:v>
      </x:c>
      <x:c r="B1774" s="12" t="str">
        <x:v>U22</x:v>
      </x:c>
      <x:c r="C1774" s="12" t="str">
        <x:v>first_audio_output</x:v>
      </x:c>
      <x:c r="D1774" s="12" t="str">
        <x:v>공통 장치의 첫 음성 출력</x:v>
      </x:c>
      <x:c r="E1774" s="12" t="str">
        <x:v>via</x:v>
      </x:c>
      <x:c r="F1774" s="13" t="n">
        <x:v>3.2566666666666664</x:v>
      </x:c>
      <x:c r="G1774" s="13" t="n">
        <x:v>3.2966666666666664</x:v>
      </x:c>
      <x:c r="H1774" s="13" t="n">
        <x:v>0.04</x:v>
      </x:c>
      <x:c r="I1774" s="13" t="n">
        <x:v>0</x:v>
      </x:c>
      <x:c r="J1774" s="12" t="str">
        <x:v>adopt, first_chunk</x:v>
      </x:c>
      <x:c r="K1774" s="12" t="str">
        <x:v>none</x:v>
      </x:c>
      <x:c r="L1774" s="13" t="n">
        <x:f>IF(G1774&lt;=I1774,0,MAX(0,L1765,L1773)+IF(E1774="via",MAX(0,G1774-MAX(F1774,I1774)),0))</x:f>
        <x:v>3.2966666666666664</x:v>
      </x:c>
    </x:row>
    <x:row r="1775" ht="42" customHeight="1">
      <x:c r="A1775" s="7" t="str">
        <x:v>DP3-B-R3</x:v>
      </x:c>
      <x:c r="B1775" s="7" t="str">
        <x:v>U22</x:v>
      </x:c>
      <x:c r="C1775" s="7" t="str">
        <x:v>next_speech_selection</x:v>
      </x:c>
      <x:c r="D1775" s="7" t="str">
        <x:v>현재 발화 재생 후 다음 응답 선택</x:v>
      </x:c>
      <x:c r="E1775" s="7" t="str">
        <x:v>external</x:v>
      </x:c>
      <x:c r="F1775" s="14" t="n">
        <x:v>3.2966666666666664</x:v>
      </x:c>
      <x:c r="G1775" s="14" t="n">
        <x:v>9.296666666666667</x:v>
      </x:c>
      <x:c r="H1775" s="14" t="n">
        <x:v>6</x:v>
      </x:c>
      <x:c r="I1775" s="14" t="n">
        <x:v>0</x:v>
      </x:c>
      <x:c r="J1775" s="7" t="str">
        <x:v>first_audio_output</x:v>
      </x:c>
      <x:c r="K1775" s="7" t="str">
        <x:v>none</x:v>
      </x:c>
      <x:c r="L1775" s="14" t="n">
        <x:f>IF(G1775&lt;=I1775,0,MAX(0,L1774)+IF(E1775="via",MAX(0,G1775-MAX(F1775,I1775)),0))</x:f>
        <x:v>3.2966666666666664</x:v>
      </x:c>
    </x:row>
    <x:row r="1776" ht="42" customHeight="1">
      <x:c r="A1776" s="12" t="str">
        <x:v>DP3-B-R3</x:v>
      </x:c>
      <x:c r="B1776" s="12" t="str">
        <x:v>U22</x:v>
      </x:c>
      <x:c r="C1776" s="12" t="str">
        <x:v>terminal</x:v>
      </x:c>
      <x:c r="D1776" s="12" t="str">
        <x:v>공통 목표 최종 상태와 전체 음성 준비</x:v>
      </x:c>
      <x:c r="E1776" s="12" t="str">
        <x:v>via</x:v>
      </x:c>
      <x:c r="F1776" s="13" t="n">
        <x:v>13.184666666666667</x:v>
      </x:c>
      <x:c r="G1776" s="13" t="n">
        <x:v>13.184666666666667</x:v>
      </x:c>
      <x:c r="H1776" s="13" t="n">
        <x:v>0</x:v>
      </x:c>
      <x:c r="I1776" s="13" t="n">
        <x:v>0</x:v>
      </x:c>
      <x:c r="J1776" s="12" t="str">
        <x:v>result_display, question_audio, first_audio_output, final_result_audio</x:v>
      </x:c>
      <x:c r="K1776" s="12" t="str">
        <x:v>none</x:v>
      </x:c>
      <x:c r="L1776" s="13" t="n">
        <x:f>IF(G1776&lt;=I1776,0,MAX(0,L1769,L1771,L1774,L1772)+IF(E1776="via",MAX(0,G1776-MAX(F1776,I1776)),0))</x:f>
        <x:v>5.184666666666667</x:v>
      </x:c>
    </x:row>
    <x:row r="1777" ht="42" customHeight="1">
      <x:c r="A1777" s="7" t="str">
        <x:v>DP3-B-R3</x:v>
      </x:c>
      <x:c r="B1777" s="7" t="str">
        <x:v>U23</x:v>
      </x:c>
      <x:c r="C1777" s="7" t="str">
        <x:v>input_end</x:v>
      </x:c>
      <x:c r="D1777" s="7" t="str">
        <x:v>사용자 입력 종료</x:v>
      </x:c>
      <x:c r="E1777" s="7" t="str">
        <x:v>external</x:v>
      </x:c>
      <x:c r="F1777" s="14" t="n">
        <x:v>0</x:v>
      </x:c>
      <x:c r="G1777" s="14" t="n">
        <x:v>0</x:v>
      </x:c>
      <x:c r="H1777" s="14" t="n">
        <x:v>0</x:v>
      </x:c>
      <x:c r="I1777" s="14" t="n">
        <x:v>0</x:v>
      </x:c>
      <x:c r="J1777" s="7" t="str"/>
      <x:c r="K1777" s="7" t="str">
        <x:v>none</x:v>
      </x:c>
      <x:c r="L1777" s="14" t="n">
        <x:f>IF(G1777&lt;=I1777,0,MAX(0)+IF(E1777="via",MAX(0,G1777-MAX(F1777,I1777)),0))</x:f>
        <x:v>0</x:v>
      </x:c>
    </x:row>
    <x:row r="1778" ht="42" customHeight="1">
      <x:c r="A1778" s="12" t="str">
        <x:v>DP3-B-R3</x:v>
      </x:c>
      <x:c r="B1778" s="12" t="str">
        <x:v>U23</x:v>
      </x:c>
      <x:c r="C1778" s="12" t="str">
        <x:v>intake</x:v>
      </x:c>
      <x:c r="D1778" s="12" t="str">
        <x:v>입력 확정</x:v>
      </x:c>
      <x:c r="E1778" s="12" t="str">
        <x:v>via</x:v>
      </x:c>
      <x:c r="F1778" s="13" t="n">
        <x:v>0</x:v>
      </x:c>
      <x:c r="G1778" s="13" t="n">
        <x:v>0.06</x:v>
      </x:c>
      <x:c r="H1778" s="13" t="n">
        <x:v>0.06</x:v>
      </x:c>
      <x:c r="I1778" s="13" t="n">
        <x:v>0</x:v>
      </x:c>
      <x:c r="J1778" s="12" t="str">
        <x:v>input_end</x:v>
      </x:c>
      <x:c r="K1778" s="12" t="str">
        <x:v>none</x:v>
      </x:c>
      <x:c r="L1778" s="13" t="n">
        <x:f>IF(G1778&lt;=I1778,0,MAX(0,L1777)+IF(E1778="via",MAX(0,G1778-MAX(F1778,I1778)),0))</x:f>
        <x:v>0.06</x:v>
      </x:c>
    </x:row>
    <x:row r="1779" ht="42" customHeight="1">
      <x:c r="A1779" s="7" t="str">
        <x:v>DP3-B-R3</x:v>
      </x:c>
      <x:c r="B1779" s="7" t="str">
        <x:v>U23</x:v>
      </x:c>
      <x:c r="C1779" s="7" t="str">
        <x:v>read</x:v>
      </x:c>
      <x:c r="D1779" s="7" t="str">
        <x:v>공통 허용 원본 조회</x:v>
      </x:c>
      <x:c r="E1779" s="7" t="str">
        <x:v>via</x:v>
      </x:c>
      <x:c r="F1779" s="14" t="n">
        <x:v>0.06</x:v>
      </x:c>
      <x:c r="G1779" s="14" t="n">
        <x:v>0.14</x:v>
      </x:c>
      <x:c r="H1779" s="14" t="n">
        <x:v>0.08</x:v>
      </x:c>
      <x:c r="I1779" s="14" t="n">
        <x:v>0</x:v>
      </x:c>
      <x:c r="J1779" s="7" t="str">
        <x:v>intake</x:v>
      </x:c>
      <x:c r="K1779" s="7" t="str">
        <x:v>none</x:v>
      </x:c>
      <x:c r="L1779" s="14" t="n">
        <x:f>IF(G1779&lt;=I1779,0,MAX(0,L1778)+IF(E1779="via",MAX(0,G1779-MAX(F1779,I1779)),0))</x:f>
        <x:v>0.14</x:v>
      </x:c>
    </x:row>
    <x:row r="1780" ht="42" customHeight="1">
      <x:c r="A1780" s="12" t="str">
        <x:v>DP3-B-R3</x:v>
      </x:c>
      <x:c r="B1780" s="12" t="str">
        <x:v>U23</x:v>
      </x:c>
      <x:c r="C1780" s="12" t="str">
        <x:v>meaning</x:v>
      </x:c>
      <x:c r="D1780" s="12" t="str">
        <x:v>최초 요청 의미 채택 packet 생성</x:v>
      </x:c>
      <x:c r="E1780" s="12" t="str">
        <x:v>via</x:v>
      </x:c>
      <x:c r="F1780" s="13" t="n">
        <x:v>0.14</x:v>
      </x:c>
      <x:c r="G1780" s="13" t="n">
        <x:v>1.6400000000000001</x:v>
      </x:c>
      <x:c r="H1780" s="13" t="n">
        <x:v>1.5</x:v>
      </x:c>
      <x:c r="I1780" s="13" t="n">
        <x:v>0</x:v>
      </x:c>
      <x:c r="J1780" s="12" t="str">
        <x:v>read</x:v>
      </x:c>
      <x:c r="K1780" s="12" t="str">
        <x:v>semantic</x:v>
      </x:c>
      <x:c r="L1780" s="13" t="n">
        <x:f>IF(G1780&lt;=I1780,0,MAX(0,L1779)+IF(E1780="via",MAX(0,G1780-MAX(F1780,I1780)),0))</x:f>
        <x:v>1.6400000000000001</x:v>
      </x:c>
    </x:row>
    <x:row r="1781" ht="42" customHeight="1">
      <x:c r="A1781" s="7" t="str">
        <x:v>DP3-B-R3</x:v>
      </x:c>
      <x:c r="B1781" s="7" t="str">
        <x:v>U23</x:v>
      </x:c>
      <x:c r="C1781" s="7" t="str">
        <x:v>adopt</x:v>
      </x:c>
      <x:c r="D1781" s="7" t="str">
        <x:v>현재 revision과 권한 검사 및 채택</x:v>
      </x:c>
      <x:c r="E1781" s="7" t="str">
        <x:v>via</x:v>
      </x:c>
      <x:c r="F1781" s="14" t="n">
        <x:v>1.6400000000000001</x:v>
      </x:c>
      <x:c r="G1781" s="14" t="n">
        <x:v>1.6700000000000002</x:v>
      </x:c>
      <x:c r="H1781" s="14" t="n">
        <x:v>0.03</x:v>
      </x:c>
      <x:c r="I1781" s="14" t="n">
        <x:v>0</x:v>
      </x:c>
      <x:c r="J1781" s="7" t="str">
        <x:v>meaning</x:v>
      </x:c>
      <x:c r="K1781" s="7" t="str">
        <x:v>none</x:v>
      </x:c>
      <x:c r="L1781" s="14" t="n">
        <x:f>IF(G1781&lt;=I1781,0,MAX(0,L1780)+IF(E1781="via",MAX(0,G1781-MAX(F1781,I1781)),0))</x:f>
        <x:v>1.6700000000000002</x:v>
      </x:c>
    </x:row>
    <x:row r="1782" ht="42" customHeight="1">
      <x:c r="A1782" s="12" t="str">
        <x:v>DP3-B-R3</x:v>
      </x:c>
      <x:c r="B1782" s="12" t="str">
        <x:v>U23</x:v>
      </x:c>
      <x:c r="C1782" s="12" t="str">
        <x:v>first_display</x:v>
      </x:c>
      <x:c r="D1782" s="12" t="str">
        <x:v>첫 구체적 채택 내용 화면 표시</x:v>
      </x:c>
      <x:c r="E1782" s="12" t="str">
        <x:v>via</x:v>
      </x:c>
      <x:c r="F1782" s="13" t="n">
        <x:v>1.6700000000000002</x:v>
      </x:c>
      <x:c r="G1782" s="13" t="n">
        <x:v>1.7100000000000002</x:v>
      </x:c>
      <x:c r="H1782" s="13" t="n">
        <x:v>0.04</x:v>
      </x:c>
      <x:c r="I1782" s="13" t="n">
        <x:v>0</x:v>
      </x:c>
      <x:c r="J1782" s="12" t="str">
        <x:v>adopt</x:v>
      </x:c>
      <x:c r="K1782" s="12" t="str">
        <x:v>none</x:v>
      </x:c>
      <x:c r="L1782" s="13" t="n">
        <x:f>IF(G1782&lt;=I1782,0,MAX(0,L1781)+IF(E1782="via",MAX(0,G1782-MAX(F1782,I1782)),0))</x:f>
        <x:v>1.7100000000000002</x:v>
      </x:c>
    </x:row>
    <x:row r="1783" ht="42" customHeight="1">
      <x:c r="A1783" s="7" t="str">
        <x:v>DP3-B-R3</x:v>
      </x:c>
      <x:c r="B1783" s="7" t="str">
        <x:v>U23</x:v>
      </x:c>
      <x:c r="C1783" s="7" t="str">
        <x:v>agent_ingress</x:v>
      </x:c>
      <x:c r="D1783" s="7" t="str">
        <x:v>Agent 요청 전송</x:v>
      </x:c>
      <x:c r="E1783" s="7" t="str">
        <x:v>via</x:v>
      </x:c>
      <x:c r="F1783" s="14" t="n">
        <x:v>1.6700000000000002</x:v>
      </x:c>
      <x:c r="G1783" s="14" t="n">
        <x:v>1.7100000000000002</x:v>
      </x:c>
      <x:c r="H1783" s="14" t="n">
        <x:v>0.04</x:v>
      </x:c>
      <x:c r="I1783" s="14" t="n">
        <x:v>0</x:v>
      </x:c>
      <x:c r="J1783" s="7" t="str">
        <x:v>adopt</x:v>
      </x:c>
      <x:c r="K1783" s="7" t="str">
        <x:v>none</x:v>
      </x:c>
      <x:c r="L1783" s="14" t="n">
        <x:f>IF(G1783&lt;=I1783,0,MAX(0,L1781)+IF(E1783="via",MAX(0,G1783-MAX(F1783,I1783)),0))</x:f>
        <x:v>1.7100000000000002</x:v>
      </x:c>
    </x:row>
    <x:row r="1784" ht="42" customHeight="1">
      <x:c r="A1784" s="12" t="str">
        <x:v>DP3-B-R3</x:v>
      </x:c>
      <x:c r="B1784" s="12" t="str">
        <x:v>U23</x:v>
      </x:c>
      <x:c r="C1784" s="12" t="str">
        <x:v>agent_result</x:v>
      </x:c>
      <x:c r="D1784" s="12" t="str">
        <x:v>외부 Agent 업무</x:v>
      </x:c>
      <x:c r="E1784" s="12" t="str">
        <x:v>external</x:v>
      </x:c>
      <x:c r="F1784" s="13" t="n">
        <x:v>1.7100000000000002</x:v>
      </x:c>
      <x:c r="G1784" s="13" t="n">
        <x:v>9.71</x:v>
      </x:c>
      <x:c r="H1784" s="13" t="n">
        <x:v>8</x:v>
      </x:c>
      <x:c r="I1784" s="13" t="n">
        <x:v>0</x:v>
      </x:c>
      <x:c r="J1784" s="12" t="str">
        <x:v>agent_ingress</x:v>
      </x:c>
      <x:c r="K1784" s="12" t="str">
        <x:v>none</x:v>
      </x:c>
      <x:c r="L1784" s="13" t="n">
        <x:f>IF(G1784&lt;=I1784,0,MAX(0,L1783)+IF(E1784="via",MAX(0,G1784-MAX(F1784,I1784)),0))</x:f>
        <x:v>1.7100000000000002</x:v>
      </x:c>
    </x:row>
    <x:row r="1785" ht="42" customHeight="1">
      <x:c r="A1785" s="7" t="str">
        <x:v>DP3-B-R3</x:v>
      </x:c>
      <x:c r="B1785" s="7" t="str">
        <x:v>U23</x:v>
      </x:c>
      <x:c r="C1785" s="7" t="str">
        <x:v>result_display</x:v>
      </x:c>
      <x:c r="D1785" s="7" t="str">
        <x:v>최종 결과 상세 표시</x:v>
      </x:c>
      <x:c r="E1785" s="7" t="str">
        <x:v>via</x:v>
      </x:c>
      <x:c r="F1785" s="14" t="n">
        <x:v>9.71</x:v>
      </x:c>
      <x:c r="G1785" s="14" t="n">
        <x:v>9.75</x:v>
      </x:c>
      <x:c r="H1785" s="14" t="n">
        <x:v>0.04</x:v>
      </x:c>
      <x:c r="I1785" s="14" t="n">
        <x:v>0</x:v>
      </x:c>
      <x:c r="J1785" s="7" t="str">
        <x:v>agent_result</x:v>
      </x:c>
      <x:c r="K1785" s="7" t="str">
        <x:v>none</x:v>
      </x:c>
      <x:c r="L1785" s="14" t="n">
        <x:f>IF(G1785&lt;=I1785,0,MAX(0,L1784)+IF(E1785="via",MAX(0,G1785-MAX(F1785,I1785)),0))</x:f>
        <x:v>1.7499999999999993</x:v>
      </x:c>
    </x:row>
    <x:row r="1786" ht="42" customHeight="1">
      <x:c r="A1786" s="12" t="str">
        <x:v>DP3-B-R3</x:v>
      </x:c>
      <x:c r="B1786" s="12" t="str">
        <x:v>U23</x:v>
      </x:c>
      <x:c r="C1786" s="12" t="str">
        <x:v>question_arrival</x:v>
      </x:c>
      <x:c r="D1786" s="12" t="str">
        <x:v>Agent 질문 텍스트 도착</x:v>
      </x:c>
      <x:c r="E1786" s="12" t="str">
        <x:v>external</x:v>
      </x:c>
      <x:c r="F1786" s="13" t="n">
        <x:v>-2</x:v>
      </x:c>
      <x:c r="G1786" s="13" t="n">
        <x:v>-2</x:v>
      </x:c>
      <x:c r="H1786" s="13" t="n">
        <x:v>0</x:v>
      </x:c>
      <x:c r="I1786" s="13" t="n">
        <x:v>0</x:v>
      </x:c>
      <x:c r="J1786" s="12" t="str"/>
      <x:c r="K1786" s="12" t="str">
        <x:v>none</x:v>
      </x:c>
      <x:c r="L1786" s="13" t="n">
        <x:f>IF(G1786&lt;=I1786,0,MAX(0)+IF(E1786="via",MAX(0,G1786-MAX(F1786,I1786)),0))</x:f>
        <x:v>0</x:v>
      </x:c>
    </x:row>
    <x:row r="1787" ht="42" customHeight="1">
      <x:c r="A1787" s="7" t="str">
        <x:v>DP3-B-R3</x:v>
      </x:c>
      <x:c r="B1787" s="7" t="str">
        <x:v>U23</x:v>
      </x:c>
      <x:c r="C1787" s="7" t="str">
        <x:v>question_audio</x:v>
      </x:c>
      <x:c r="D1787" s="7" t="str">
        <x:v>선택한 응답 음성 생성</x:v>
      </x:c>
      <x:c r="E1787" s="7" t="str">
        <x:v>via</x:v>
      </x:c>
      <x:c r="F1787" s="14" t="n">
        <x:v>-2</x:v>
      </x:c>
      <x:c r="G1787" s="14" t="n">
        <x:v>-0.1120000000000001</x:v>
      </x:c>
      <x:c r="H1787" s="14" t="n">
        <x:v>1.888</x:v>
      </x:c>
      <x:c r="I1787" s="14" t="n">
        <x:v>0</x:v>
      </x:c>
      <x:c r="J1787" s="7" t="str">
        <x:v>question_arrival</x:v>
      </x:c>
      <x:c r="K1787" s="7" t="str">
        <x:v>speech</x:v>
      </x:c>
      <x:c r="L1787" s="14" t="n">
        <x:f>IF(G1787&lt;=I1787,0,MAX(0,L1786)+IF(E1787="via",MAX(0,G1787-MAX(F1787,I1787)),0))</x:f>
        <x:v>0</x:v>
      </x:c>
    </x:row>
    <x:row r="1788" ht="42" customHeight="1">
      <x:c r="A1788" s="12" t="str">
        <x:v>DP3-B-R3</x:v>
      </x:c>
      <x:c r="B1788" s="12" t="str">
        <x:v>U23</x:v>
      </x:c>
      <x:c r="C1788" s="12" t="str">
        <x:v>final_result_audio</x:v>
      </x:c>
      <x:c r="D1788" s="12" t="str">
        <x:v>새 업무 최종 결과 음성 준비</x:v>
      </x:c>
      <x:c r="E1788" s="12" t="str">
        <x:v>via</x:v>
      </x:c>
      <x:c r="F1788" s="13" t="n">
        <x:v>9.71</x:v>
      </x:c>
      <x:c r="G1788" s="13" t="n">
        <x:v>11.598</x:v>
      </x:c>
      <x:c r="H1788" s="13" t="n">
        <x:v>1.888</x:v>
      </x:c>
      <x:c r="I1788" s="13" t="n">
        <x:v>0</x:v>
      </x:c>
      <x:c r="J1788" s="12" t="str">
        <x:v>agent_result</x:v>
      </x:c>
      <x:c r="K1788" s="12" t="str">
        <x:v>speech</x:v>
      </x:c>
      <x:c r="L1788" s="13" t="n">
        <x:f>IF(G1788&lt;=I1788,0,MAX(0,L1784)+IF(E1788="via",MAX(0,G1788-MAX(F1788,I1788)),0))</x:f>
        <x:v>3.598</x:v>
      </x:c>
    </x:row>
    <x:row r="1789" ht="42" customHeight="1">
      <x:c r="A1789" s="7" t="str">
        <x:v>DP3-B-R3</x:v>
      </x:c>
      <x:c r="B1789" s="7" t="str">
        <x:v>U23</x:v>
      </x:c>
      <x:c r="C1789" s="7" t="str">
        <x:v>first_chunk</x:v>
      </x:c>
      <x:c r="D1789" s="7" t="str">
        <x:v>같은 생성 job의 유효 첫 chunk 관측</x:v>
      </x:c>
      <x:c r="E1789" s="7" t="str">
        <x:v>via</x:v>
      </x:c>
      <x:c r="F1789" s="14" t="n">
        <x:v>-2</x:v>
      </x:c>
      <x:c r="G1789" s="14" t="n">
        <x:v>-1.562</x:v>
      </x:c>
      <x:c r="H1789" s="14" t="n">
        <x:v>0.438</x:v>
      </x:c>
      <x:c r="I1789" s="14" t="n">
        <x:v>0</x:v>
      </x:c>
      <x:c r="J1789" s="7" t="str">
        <x:v>question_arrival</x:v>
      </x:c>
      <x:c r="K1789" s="7" t="str">
        <x:v>none</x:v>
      </x:c>
      <x:c r="L1789" s="14" t="n">
        <x:f>IF(G1789&lt;=I1789,0,MAX(0,L1786)+IF(E1789="via",MAX(0,G1789-MAX(F1789,I1789)),0))</x:f>
        <x:v>0</x:v>
      </x:c>
    </x:row>
    <x:row r="1790" ht="42" customHeight="1">
      <x:c r="A1790" s="12" t="str">
        <x:v>DP3-B-R3</x:v>
      </x:c>
      <x:c r="B1790" s="12" t="str">
        <x:v>U23</x:v>
      </x:c>
      <x:c r="C1790" s="12" t="str">
        <x:v>first_audio_output</x:v>
      </x:c>
      <x:c r="D1790" s="12" t="str">
        <x:v>공통 장치의 첫 음성 출력</x:v>
      </x:c>
      <x:c r="E1790" s="12" t="str">
        <x:v>via</x:v>
      </x:c>
      <x:c r="F1790" s="13" t="n">
        <x:v>1.6700000000000002</x:v>
      </x:c>
      <x:c r="G1790" s="13" t="n">
        <x:v>1.7100000000000002</x:v>
      </x:c>
      <x:c r="H1790" s="13" t="n">
        <x:v>0.04</x:v>
      </x:c>
      <x:c r="I1790" s="13" t="n">
        <x:v>0</x:v>
      </x:c>
      <x:c r="J1790" s="12" t="str">
        <x:v>adopt, first_chunk</x:v>
      </x:c>
      <x:c r="K1790" s="12" t="str">
        <x:v>none</x:v>
      </x:c>
      <x:c r="L1790" s="13" t="n">
        <x:f>IF(G1790&lt;=I1790,0,MAX(0,L1781,L1789)+IF(E1790="via",MAX(0,G1790-MAX(F1790,I1790)),0))</x:f>
        <x:v>1.7100000000000002</x:v>
      </x:c>
    </x:row>
    <x:row r="1791" ht="42" customHeight="1">
      <x:c r="A1791" s="7" t="str">
        <x:v>DP3-B-R3</x:v>
      </x:c>
      <x:c r="B1791" s="7" t="str">
        <x:v>U23</x:v>
      </x:c>
      <x:c r="C1791" s="7" t="str">
        <x:v>next_speech_selection</x:v>
      </x:c>
      <x:c r="D1791" s="7" t="str">
        <x:v>현재 발화 재생 후 다음 응답 선택</x:v>
      </x:c>
      <x:c r="E1791" s="7" t="str">
        <x:v>external</x:v>
      </x:c>
      <x:c r="F1791" s="14" t="n">
        <x:v>1.7100000000000002</x:v>
      </x:c>
      <x:c r="G1791" s="14" t="n">
        <x:v>7.71</x:v>
      </x:c>
      <x:c r="H1791" s="14" t="n">
        <x:v>6</x:v>
      </x:c>
      <x:c r="I1791" s="14" t="n">
        <x:v>0</x:v>
      </x:c>
      <x:c r="J1791" s="7" t="str">
        <x:v>first_audio_output</x:v>
      </x:c>
      <x:c r="K1791" s="7" t="str">
        <x:v>none</x:v>
      </x:c>
      <x:c r="L1791" s="14" t="n">
        <x:f>IF(G1791&lt;=I1791,0,MAX(0,L1790)+IF(E1791="via",MAX(0,G1791-MAX(F1791,I1791)),0))</x:f>
        <x:v>1.7100000000000002</x:v>
      </x:c>
    </x:row>
    <x:row r="1792" ht="42" customHeight="1">
      <x:c r="A1792" s="12" t="str">
        <x:v>DP3-B-R3</x:v>
      </x:c>
      <x:c r="B1792" s="12" t="str">
        <x:v>U23</x:v>
      </x:c>
      <x:c r="C1792" s="12" t="str">
        <x:v>terminal</x:v>
      </x:c>
      <x:c r="D1792" s="12" t="str">
        <x:v>공통 목표 최종 상태와 전체 음성 준비</x:v>
      </x:c>
      <x:c r="E1792" s="12" t="str">
        <x:v>via</x:v>
      </x:c>
      <x:c r="F1792" s="13" t="n">
        <x:v>11.598</x:v>
      </x:c>
      <x:c r="G1792" s="13" t="n">
        <x:v>11.598</x:v>
      </x:c>
      <x:c r="H1792" s="13" t="n">
        <x:v>0</x:v>
      </x:c>
      <x:c r="I1792" s="13" t="n">
        <x:v>0</x:v>
      </x:c>
      <x:c r="J1792" s="12" t="str">
        <x:v>result_display, question_audio, first_audio_output, final_result_audio</x:v>
      </x:c>
      <x:c r="K1792" s="12" t="str">
        <x:v>none</x:v>
      </x:c>
      <x:c r="L1792" s="13" t="n">
        <x:f>IF(G1792&lt;=I1792,0,MAX(0,L1785,L1787,L1790,L1788)+IF(E1792="via",MAX(0,G1792-MAX(F1792,I1792)),0))</x:f>
        <x:v>3.598</x:v>
      </x:c>
    </x:row>
    <x:row r="1793" ht="42" customHeight="1">
      <x:c r="A1793" s="7" t="str">
        <x:v>DP3-B-R3</x:v>
      </x:c>
      <x:c r="B1793" s="7" t="str">
        <x:v>U24</x:v>
      </x:c>
      <x:c r="C1793" s="7" t="str">
        <x:v>bg1</x:v>
      </x:c>
      <x:c r="D1793" s="7" t="str">
        <x:v>진행 중인 현재 대화의 의미 step</x:v>
      </x:c>
      <x:c r="E1793" s="7" t="str">
        <x:v>via</x:v>
      </x:c>
      <x:c r="F1793" s="14" t="n">
        <x:v>-1</x:v>
      </x:c>
      <x:c r="G1793" s="14" t="n">
        <x:v>2.4</x:v>
      </x:c>
      <x:c r="H1793" s="14" t="n">
        <x:v>3.4</x:v>
      </x:c>
      <x:c r="I1793" s="14" t="n">
        <x:v>-6</x:v>
      </x:c>
      <x:c r="J1793" s="7" t="str">
        <x:v>original_work</x:v>
      </x:c>
      <x:c r="K1793" s="7" t="str">
        <x:v>semantic</x:v>
      </x:c>
      <x:c r="L1793" s="14" t="n">
        <x:f>IF(G1793&lt;=I1793,0,MAX(0,L1794)+IF(E1793="via",MAX(0,G1793-MAX(F1793,I1793)),0))</x:f>
        <x:v>5.4</x:v>
      </x:c>
    </x:row>
    <x:row r="1794" ht="42" customHeight="1">
      <x:c r="A1794" s="12" t="str">
        <x:v>DP3-B-R3</x:v>
      </x:c>
      <x:c r="B1794" s="12" t="str">
        <x:v>U24</x:v>
      </x:c>
      <x:c r="C1794" s="12" t="str">
        <x:v>original_work</x:v>
      </x:c>
      <x:c r="D1794" s="12" t="str">
        <x:v>원래 목표의 최초 VIA 처리</x:v>
      </x:c>
      <x:c r="E1794" s="12" t="str">
        <x:v>via</x:v>
      </x:c>
      <x:c r="F1794" s="13" t="n">
        <x:v>-6</x:v>
      </x:c>
      <x:c r="G1794" s="13" t="n">
        <x:v>-4</x:v>
      </x:c>
      <x:c r="H1794" s="13" t="n">
        <x:v>2</x:v>
      </x:c>
      <x:c r="I1794" s="13" t="n">
        <x:v>-6</x:v>
      </x:c>
      <x:c r="J1794" s="12" t="str"/>
      <x:c r="K1794" s="12" t="str">
        <x:v>none</x:v>
      </x:c>
      <x:c r="L1794" s="13" t="n">
        <x:f>IF(G1794&lt;=I1794,0,MAX(0)+IF(E1794="via",MAX(0,G1794-MAX(F1794,I1794)),0))</x:f>
        <x:v>2</x:v>
      </x:c>
    </x:row>
    <x:row r="1795" ht="42" customHeight="1">
      <x:c r="A1795" s="7" t="str">
        <x:v>DP3-B-R3</x:v>
      </x:c>
      <x:c r="B1795" s="7" t="str">
        <x:v>U24</x:v>
      </x:c>
      <x:c r="C1795" s="7" t="str">
        <x:v>input_end</x:v>
      </x:c>
      <x:c r="D1795" s="7" t="str">
        <x:v>사용자 입력 종료</x:v>
      </x:c>
      <x:c r="E1795" s="7" t="str">
        <x:v>external</x:v>
      </x:c>
      <x:c r="F1795" s="14" t="n">
        <x:v>0</x:v>
      </x:c>
      <x:c r="G1795" s="14" t="n">
        <x:v>0</x:v>
      </x:c>
      <x:c r="H1795" s="14" t="n">
        <x:v>0</x:v>
      </x:c>
      <x:c r="I1795" s="14" t="n">
        <x:v>-6</x:v>
      </x:c>
      <x:c r="J1795" s="7" t="str">
        <x:v>original_work</x:v>
      </x:c>
      <x:c r="K1795" s="7" t="str">
        <x:v>none</x:v>
      </x:c>
      <x:c r="L1795" s="14" t="n">
        <x:f>IF(G1795&lt;=I1795,0,MAX(0,L1794)+IF(E1795="via",MAX(0,G1795-MAX(F1795,I1795)),0))</x:f>
        <x:v>2</x:v>
      </x:c>
    </x:row>
    <x:row r="1796" ht="42" customHeight="1">
      <x:c r="A1796" s="12" t="str">
        <x:v>DP3-B-R3</x:v>
      </x:c>
      <x:c r="B1796" s="12" t="str">
        <x:v>U24</x:v>
      </x:c>
      <x:c r="C1796" s="12" t="str">
        <x:v>intake</x:v>
      </x:c>
      <x:c r="D1796" s="12" t="str">
        <x:v>입력 확정</x:v>
      </x:c>
      <x:c r="E1796" s="12" t="str">
        <x:v>via</x:v>
      </x:c>
      <x:c r="F1796" s="13" t="n">
        <x:v>0</x:v>
      </x:c>
      <x:c r="G1796" s="13" t="n">
        <x:v>0.3</x:v>
      </x:c>
      <x:c r="H1796" s="13" t="n">
        <x:v>0.3</x:v>
      </x:c>
      <x:c r="I1796" s="13" t="n">
        <x:v>-6</x:v>
      </x:c>
      <x:c r="J1796" s="12" t="str">
        <x:v>input_end</x:v>
      </x:c>
      <x:c r="K1796" s="12" t="str">
        <x:v>none</x:v>
      </x:c>
      <x:c r="L1796" s="13" t="n">
        <x:f>IF(G1796&lt;=I1796,0,MAX(0,L1795)+IF(E1796="via",MAX(0,G1796-MAX(F1796,I1796)),0))</x:f>
        <x:v>2.3</x:v>
      </x:c>
    </x:row>
    <x:row r="1797" ht="42" customHeight="1">
      <x:c r="A1797" s="7" t="str">
        <x:v>DP3-B-R3</x:v>
      </x:c>
      <x:c r="B1797" s="7" t="str">
        <x:v>U24</x:v>
      </x:c>
      <x:c r="C1797" s="7" t="str">
        <x:v>read</x:v>
      </x:c>
      <x:c r="D1797" s="7" t="str">
        <x:v>공통 허용 원본 조회</x:v>
      </x:c>
      <x:c r="E1797" s="7" t="str">
        <x:v>via</x:v>
      </x:c>
      <x:c r="F1797" s="14" t="n">
        <x:v>0.3</x:v>
      </x:c>
      <x:c r="G1797" s="14" t="n">
        <x:v>0.38</x:v>
      </x:c>
      <x:c r="H1797" s="14" t="n">
        <x:v>0.08</x:v>
      </x:c>
      <x:c r="I1797" s="14" t="n">
        <x:v>-6</x:v>
      </x:c>
      <x:c r="J1797" s="7" t="str">
        <x:v>intake</x:v>
      </x:c>
      <x:c r="K1797" s="7" t="str">
        <x:v>none</x:v>
      </x:c>
      <x:c r="L1797" s="14" t="n">
        <x:f>IF(G1797&lt;=I1797,0,MAX(0,L1796)+IF(E1797="via",MAX(0,G1797-MAX(F1797,I1797)),0))</x:f>
        <x:v>2.38</x:v>
      </x:c>
    </x:row>
    <x:row r="1798" ht="42" customHeight="1">
      <x:c r="A1798" s="12" t="str">
        <x:v>DP3-B-R3</x:v>
      </x:c>
      <x:c r="B1798" s="12" t="str">
        <x:v>U24</x:v>
      </x:c>
      <x:c r="C1798" s="12" t="str">
        <x:v>now_ui_boot</x:v>
      </x:c>
      <x:c r="D1798" s="12" t="str">
        <x:v>ui runtime 시작</x:v>
      </x:c>
      <x:c r="E1798" s="12" t="str">
        <x:v>via</x:v>
      </x:c>
      <x:c r="F1798" s="13" t="n">
        <x:v>0.38</x:v>
      </x:c>
      <x:c r="G1798" s="13" t="n">
        <x:v>1.58</x:v>
      </x:c>
      <x:c r="H1798" s="13" t="n">
        <x:v>1.2</x:v>
      </x:c>
      <x:c r="I1798" s="13" t="n">
        <x:v>-6</x:v>
      </x:c>
      <x:c r="J1798" s="12" t="str">
        <x:v>read</x:v>
      </x:c>
      <x:c r="K1798" s="12" t="str">
        <x:v>visual</x:v>
      </x:c>
      <x:c r="L1798" s="13" t="n">
        <x:f>IF(G1798&lt;=I1798,0,MAX(0,L1797)+IF(E1798="via",MAX(0,G1798-MAX(F1798,I1798)),0))</x:f>
        <x:v>3.58</x:v>
      </x:c>
    </x:row>
    <x:row r="1799" ht="42" customHeight="1">
      <x:c r="A1799" s="7" t="str">
        <x:v>DP3-B-R3</x:v>
      </x:c>
      <x:c r="B1799" s="7" t="str">
        <x:v>U24</x:v>
      </x:c>
      <x:c r="C1799" s="7" t="str">
        <x:v>now_ui_load</x:v>
      </x:c>
      <x:c r="D1799" s="7" t="str">
        <x:v>ui 모델 적재</x:v>
      </x:c>
      <x:c r="E1799" s="7" t="str">
        <x:v>via</x:v>
      </x:c>
      <x:c r="F1799" s="14" t="n">
        <x:v>1.58</x:v>
      </x:c>
      <x:c r="G1799" s="14" t="n">
        <x:v>2.68</x:v>
      </x:c>
      <x:c r="H1799" s="14" t="n">
        <x:v>1.1</x:v>
      </x:c>
      <x:c r="I1799" s="14" t="n">
        <x:v>-6</x:v>
      </x:c>
      <x:c r="J1799" s="7" t="str">
        <x:v>read, now_ui_boot</x:v>
      </x:c>
      <x:c r="K1799" s="7" t="str">
        <x:v>visual</x:v>
      </x:c>
      <x:c r="L1799" s="14" t="n">
        <x:f>IF(G1799&lt;=I1799,0,MAX(0,L1797,L1798)+IF(E1799="via",MAX(0,G1799-MAX(F1799,I1799)),0))</x:f>
        <x:v>4.68</x:v>
      </x:c>
    </x:row>
    <x:row r="1800" ht="42" customHeight="1">
      <x:c r="A1800" s="12" t="str">
        <x:v>DP3-B-R3</x:v>
      </x:c>
      <x:c r="B1800" s="12" t="str">
        <x:v>U24</x:v>
      </x:c>
      <x:c r="C1800" s="12" t="str">
        <x:v>now_ui_infer</x:v>
      </x:c>
      <x:c r="D1800" s="12" t="str">
        <x:v>ui 후보 생산</x:v>
      </x:c>
      <x:c r="E1800" s="12" t="str">
        <x:v>via</x:v>
      </x:c>
      <x:c r="F1800" s="13" t="n">
        <x:v>2.68</x:v>
      </x:c>
      <x:c r="G1800" s="13" t="n">
        <x:v>4.28</x:v>
      </x:c>
      <x:c r="H1800" s="13" t="n">
        <x:v>1.6</x:v>
      </x:c>
      <x:c r="I1800" s="13" t="n">
        <x:v>-6</x:v>
      </x:c>
      <x:c r="J1800" s="12" t="str">
        <x:v>now_ui_load</x:v>
      </x:c>
      <x:c r="K1800" s="12" t="str">
        <x:v>visual</x:v>
      </x:c>
      <x:c r="L1800" s="13" t="n">
        <x:f>IF(G1800&lt;=I1800,0,MAX(0,L1799)+IF(E1800="via",MAX(0,G1800-MAX(F1800,I1800)),0))</x:f>
        <x:v>6.279999999999999</x:v>
      </x:c>
    </x:row>
    <x:row r="1801" ht="42" customHeight="1">
      <x:c r="A1801" s="7" t="str">
        <x:v>DP3-B-R3</x:v>
      </x:c>
      <x:c r="B1801" s="7" t="str">
        <x:v>U24</x:v>
      </x:c>
      <x:c r="C1801" s="7" t="str">
        <x:v>now_ui_ipc</x:v>
      </x:c>
      <x:c r="D1801" s="7" t="str">
        <x:v>ui 결과 IPC</x:v>
      </x:c>
      <x:c r="E1801" s="7" t="str">
        <x:v>via</x:v>
      </x:c>
      <x:c r="F1801" s="14" t="n">
        <x:v>4.28</x:v>
      </x:c>
      <x:c r="G1801" s="14" t="n">
        <x:v>4.34</x:v>
      </x:c>
      <x:c r="H1801" s="14" t="n">
        <x:v>0.06</x:v>
      </x:c>
      <x:c r="I1801" s="14" t="n">
        <x:v>-6</x:v>
      </x:c>
      <x:c r="J1801" s="7" t="str">
        <x:v>now_ui_infer</x:v>
      </x:c>
      <x:c r="K1801" s="7" t="str">
        <x:v>none</x:v>
      </x:c>
      <x:c r="L1801" s="14" t="n">
        <x:f>IF(G1801&lt;=I1801,0,MAX(0,L1800)+IF(E1801="via",MAX(0,G1801-MAX(F1801,I1801)),0))</x:f>
        <x:v>6.339999999999999</x:v>
      </x:c>
    </x:row>
    <x:row r="1802" ht="42" customHeight="1">
      <x:c r="A1802" s="12" t="str">
        <x:v>DP3-B-R3</x:v>
      </x:c>
      <x:c r="B1802" s="12" t="str">
        <x:v>U24</x:v>
      </x:c>
      <x:c r="C1802" s="12" t="str">
        <x:v>now_sam_boot</x:v>
      </x:c>
      <x:c r="D1802" s="12" t="str">
        <x:v>sam runtime 시작</x:v>
      </x:c>
      <x:c r="E1802" s="12" t="str">
        <x:v>via</x:v>
      </x:c>
      <x:c r="F1802" s="13" t="n">
        <x:v>4.34</x:v>
      </x:c>
      <x:c r="G1802" s="13" t="n">
        <x:v>5.54</x:v>
      </x:c>
      <x:c r="H1802" s="13" t="n">
        <x:v>1.2</x:v>
      </x:c>
      <x:c r="I1802" s="13" t="n">
        <x:v>-6</x:v>
      </x:c>
      <x:c r="J1802" s="12" t="str">
        <x:v>now_ui_ipc</x:v>
      </x:c>
      <x:c r="K1802" s="12" t="str">
        <x:v>visual</x:v>
      </x:c>
      <x:c r="L1802" s="13" t="n">
        <x:f>IF(G1802&lt;=I1802,0,MAX(0,L1801)+IF(E1802="via",MAX(0,G1802-MAX(F1802,I1802)),0))</x:f>
        <x:v>7.539999999999999</x:v>
      </x:c>
    </x:row>
    <x:row r="1803" ht="42" customHeight="1">
      <x:c r="A1803" s="7" t="str">
        <x:v>DP3-B-R3</x:v>
      </x:c>
      <x:c r="B1803" s="7" t="str">
        <x:v>U24</x:v>
      </x:c>
      <x:c r="C1803" s="7" t="str">
        <x:v>now_sam_load</x:v>
      </x:c>
      <x:c r="D1803" s="7" t="str">
        <x:v>sam 모델 적재</x:v>
      </x:c>
      <x:c r="E1803" s="7" t="str">
        <x:v>via</x:v>
      </x:c>
      <x:c r="F1803" s="14" t="n">
        <x:v>5.54</x:v>
      </x:c>
      <x:c r="G1803" s="14" t="n">
        <x:v>6.19</x:v>
      </x:c>
      <x:c r="H1803" s="14" t="n">
        <x:v>0.65</x:v>
      </x:c>
      <x:c r="I1803" s="14" t="n">
        <x:v>-6</x:v>
      </x:c>
      <x:c r="J1803" s="7" t="str">
        <x:v>now_ui_ipc, now_sam_boot</x:v>
      </x:c>
      <x:c r="K1803" s="7" t="str">
        <x:v>visual</x:v>
      </x:c>
      <x:c r="L1803" s="14" t="n">
        <x:f>IF(G1803&lt;=I1803,0,MAX(0,L1801,L1802)+IF(E1803="via",MAX(0,G1803-MAX(F1803,I1803)),0))</x:f>
        <x:v>8.19</x:v>
      </x:c>
    </x:row>
    <x:row r="1804" ht="42" customHeight="1">
      <x:c r="A1804" s="12" t="str">
        <x:v>DP3-B-R3</x:v>
      </x:c>
      <x:c r="B1804" s="12" t="str">
        <x:v>U24</x:v>
      </x:c>
      <x:c r="C1804" s="12" t="str">
        <x:v>now_sam_infer</x:v>
      </x:c>
      <x:c r="D1804" s="12" t="str">
        <x:v>sam 후보 생산</x:v>
      </x:c>
      <x:c r="E1804" s="12" t="str">
        <x:v>via</x:v>
      </x:c>
      <x:c r="F1804" s="13" t="n">
        <x:v>6.19</x:v>
      </x:c>
      <x:c r="G1804" s="13" t="n">
        <x:v>10.29</x:v>
      </x:c>
      <x:c r="H1804" s="13" t="n">
        <x:v>4.1</x:v>
      </x:c>
      <x:c r="I1804" s="13" t="n">
        <x:v>-6</x:v>
      </x:c>
      <x:c r="J1804" s="12" t="str">
        <x:v>now_sam_load</x:v>
      </x:c>
      <x:c r="K1804" s="12" t="str">
        <x:v>visual</x:v>
      </x:c>
      <x:c r="L1804" s="13" t="n">
        <x:f>IF(G1804&lt;=I1804,0,MAX(0,L1803)+IF(E1804="via",MAX(0,G1804-MAX(F1804,I1804)),0))</x:f>
        <x:v>12.29</x:v>
      </x:c>
    </x:row>
    <x:row r="1805" ht="42" customHeight="1">
      <x:c r="A1805" s="7" t="str">
        <x:v>DP3-B-R3</x:v>
      </x:c>
      <x:c r="B1805" s="7" t="str">
        <x:v>U24</x:v>
      </x:c>
      <x:c r="C1805" s="7" t="str">
        <x:v>now_sam_ipc</x:v>
      </x:c>
      <x:c r="D1805" s="7" t="str">
        <x:v>sam 결과 IPC</x:v>
      </x:c>
      <x:c r="E1805" s="7" t="str">
        <x:v>via</x:v>
      </x:c>
      <x:c r="F1805" s="14" t="n">
        <x:v>10.29</x:v>
      </x:c>
      <x:c r="G1805" s="14" t="n">
        <x:v>10.35</x:v>
      </x:c>
      <x:c r="H1805" s="14" t="n">
        <x:v>0.06</x:v>
      </x:c>
      <x:c r="I1805" s="14" t="n">
        <x:v>-6</x:v>
      </x:c>
      <x:c r="J1805" s="7" t="str">
        <x:v>now_sam_infer</x:v>
      </x:c>
      <x:c r="K1805" s="7" t="str">
        <x:v>none</x:v>
      </x:c>
      <x:c r="L1805" s="14" t="n">
        <x:f>IF(G1805&lt;=I1805,0,MAX(0,L1804)+IF(E1805="via",MAX(0,G1805-MAX(F1805,I1805)),0))</x:f>
        <x:v>12.35</x:v>
      </x:c>
    </x:row>
    <x:row r="1806" ht="42" customHeight="1">
      <x:c r="A1806" s="12" t="str">
        <x:v>DP3-B-R3</x:v>
      </x:c>
      <x:c r="B1806" s="12" t="str">
        <x:v>U24</x:v>
      </x:c>
      <x:c r="C1806" s="12" t="str">
        <x:v>expand_need</x:v>
      </x:c>
      <x:c r="D1806" s="12" t="str">
        <x:v>초기 binder의 부족 판정과 ExpandNeed 생성</x:v>
      </x:c>
      <x:c r="E1806" s="12" t="str">
        <x:v>via</x:v>
      </x:c>
      <x:c r="F1806" s="13" t="n">
        <x:v>10.35</x:v>
      </x:c>
      <x:c r="G1806" s="13" t="n">
        <x:v>11.223333333333333</x:v>
      </x:c>
      <x:c r="H1806" s="13" t="n">
        <x:v>0.8733333333333333</x:v>
      </x:c>
      <x:c r="I1806" s="13" t="n">
        <x:v>-6</x:v>
      </x:c>
      <x:c r="J1806" s="12" t="str">
        <x:v>now_sam_ipc</x:v>
      </x:c>
      <x:c r="K1806" s="12" t="str">
        <x:v>semantic</x:v>
      </x:c>
      <x:c r="L1806" s="13" t="n">
        <x:f>IF(G1806&lt;=I1806,0,MAX(0,L1805)+IF(E1806="via",MAX(0,G1806-MAX(F1806,I1806)),0))</x:f>
        <x:v>13.223333333333333</x:v>
      </x:c>
    </x:row>
    <x:row r="1807" ht="42" customHeight="1">
      <x:c r="A1807" s="7" t="str">
        <x:v>DP3-B-R3</x:v>
      </x:c>
      <x:c r="B1807" s="7" t="str">
        <x:v>U24</x:v>
      </x:c>
      <x:c r="C1807" s="7" t="str">
        <x:v>raw_expansion</x:v>
      </x:c>
      <x:c r="D1807" s="7" t="str">
        <x:v>ExpandNeed에 따른 원본 확장 조회</x:v>
      </x:c>
      <x:c r="E1807" s="7" t="str">
        <x:v>via</x:v>
      </x:c>
      <x:c r="F1807" s="14" t="n">
        <x:v>11.223333333333333</x:v>
      </x:c>
      <x:c r="G1807" s="14" t="n">
        <x:v>11.303333333333333</x:v>
      </x:c>
      <x:c r="H1807" s="14" t="n">
        <x:v>0.08</x:v>
      </x:c>
      <x:c r="I1807" s="14" t="n">
        <x:v>-6</x:v>
      </x:c>
      <x:c r="J1807" s="7" t="str">
        <x:v>expand_need</x:v>
      </x:c>
      <x:c r="K1807" s="7" t="str">
        <x:v>none</x:v>
      </x:c>
      <x:c r="L1807" s="14" t="n">
        <x:f>IF(G1807&lt;=I1807,0,MAX(0,L1806)+IF(E1807="via",MAX(0,G1807-MAX(F1807,I1807)),0))</x:f>
        <x:v>13.303333333333333</x:v>
      </x:c>
    </x:row>
    <x:row r="1808" ht="42" customHeight="1">
      <x:c r="A1808" s="12" t="str">
        <x:v>DP3-B-R3</x:v>
      </x:c>
      <x:c r="B1808" s="12" t="str">
        <x:v>U24</x:v>
      </x:c>
      <x:c r="C1808" s="12" t="str">
        <x:v>expand_ui_infer</x:v>
      </x:c>
      <x:c r="D1808" s="12" t="str">
        <x:v>ui 후보 생산</x:v>
      </x:c>
      <x:c r="E1808" s="12" t="str">
        <x:v>via</x:v>
      </x:c>
      <x:c r="F1808" s="13" t="n">
        <x:v>11.303333333333333</x:v>
      </x:c>
      <x:c r="G1808" s="13" t="n">
        <x:v>12.903333333333332</x:v>
      </x:c>
      <x:c r="H1808" s="13" t="n">
        <x:v>1.6</x:v>
      </x:c>
      <x:c r="I1808" s="13" t="n">
        <x:v>-6</x:v>
      </x:c>
      <x:c r="J1808" s="12" t="str">
        <x:v>raw_expansion, now_ui_boot</x:v>
      </x:c>
      <x:c r="K1808" s="12" t="str">
        <x:v>visual</x:v>
      </x:c>
      <x:c r="L1808" s="13" t="n">
        <x:f>IF(G1808&lt;=I1808,0,MAX(0,L1807,L1798)+IF(E1808="via",MAX(0,G1808-MAX(F1808,I1808)),0))</x:f>
        <x:v>14.903333333333332</x:v>
      </x:c>
    </x:row>
    <x:row r="1809" ht="42" customHeight="1">
      <x:c r="A1809" s="7" t="str">
        <x:v>DP3-B-R3</x:v>
      </x:c>
      <x:c r="B1809" s="7" t="str">
        <x:v>U24</x:v>
      </x:c>
      <x:c r="C1809" s="7" t="str">
        <x:v>expand_ui_ipc</x:v>
      </x:c>
      <x:c r="D1809" s="7" t="str">
        <x:v>ui 결과 IPC</x:v>
      </x:c>
      <x:c r="E1809" s="7" t="str">
        <x:v>via</x:v>
      </x:c>
      <x:c r="F1809" s="14" t="n">
        <x:v>12.903333333333332</x:v>
      </x:c>
      <x:c r="G1809" s="14" t="n">
        <x:v>12.963333333333333</x:v>
      </x:c>
      <x:c r="H1809" s="14" t="n">
        <x:v>0.06</x:v>
      </x:c>
      <x:c r="I1809" s="14" t="n">
        <x:v>-6</x:v>
      </x:c>
      <x:c r="J1809" s="7" t="str">
        <x:v>expand_ui_infer</x:v>
      </x:c>
      <x:c r="K1809" s="7" t="str">
        <x:v>none</x:v>
      </x:c>
      <x:c r="L1809" s="14" t="n">
        <x:f>IF(G1809&lt;=I1809,0,MAX(0,L1808)+IF(E1809="via",MAX(0,G1809-MAX(F1809,I1809)),0))</x:f>
        <x:v>14.963333333333333</x:v>
      </x:c>
    </x:row>
    <x:row r="1810" ht="42" customHeight="1">
      <x:c r="A1810" s="12" t="str">
        <x:v>DP3-B-R3</x:v>
      </x:c>
      <x:c r="B1810" s="12" t="str">
        <x:v>U24</x:v>
      </x:c>
      <x:c r="C1810" s="12" t="str">
        <x:v>expand_sam_infer</x:v>
      </x:c>
      <x:c r="D1810" s="12" t="str">
        <x:v>sam 후보 생산</x:v>
      </x:c>
      <x:c r="E1810" s="12" t="str">
        <x:v>via</x:v>
      </x:c>
      <x:c r="F1810" s="13" t="n">
        <x:v>12.963333333333333</x:v>
      </x:c>
      <x:c r="G1810" s="13" t="n">
        <x:v>15.013333333333332</x:v>
      </x:c>
      <x:c r="H1810" s="13" t="n">
        <x:v>2.05</x:v>
      </x:c>
      <x:c r="I1810" s="13" t="n">
        <x:v>-6</x:v>
      </x:c>
      <x:c r="J1810" s="12" t="str">
        <x:v>expand_ui_ipc, now_sam_boot</x:v>
      </x:c>
      <x:c r="K1810" s="12" t="str">
        <x:v>visual</x:v>
      </x:c>
      <x:c r="L1810" s="13" t="n">
        <x:f>IF(G1810&lt;=I1810,0,MAX(0,L1809,L1802)+IF(E1810="via",MAX(0,G1810-MAX(F1810,I1810)),0))</x:f>
        <x:v>17.013333333333332</x:v>
      </x:c>
    </x:row>
    <x:row r="1811" ht="42" customHeight="1">
      <x:c r="A1811" s="7" t="str">
        <x:v>DP3-B-R3</x:v>
      </x:c>
      <x:c r="B1811" s="7" t="str">
        <x:v>U24</x:v>
      </x:c>
      <x:c r="C1811" s="7" t="str">
        <x:v>expand_sam_ipc</x:v>
      </x:c>
      <x:c r="D1811" s="7" t="str">
        <x:v>sam 결과 IPC</x:v>
      </x:c>
      <x:c r="E1811" s="7" t="str">
        <x:v>via</x:v>
      </x:c>
      <x:c r="F1811" s="14" t="n">
        <x:v>15.013333333333332</x:v>
      </x:c>
      <x:c r="G1811" s="14" t="n">
        <x:v>15.073333333333332</x:v>
      </x:c>
      <x:c r="H1811" s="14" t="n">
        <x:v>0.06</x:v>
      </x:c>
      <x:c r="I1811" s="14" t="n">
        <x:v>-6</x:v>
      </x:c>
      <x:c r="J1811" s="7" t="str">
        <x:v>expand_sam_infer</x:v>
      </x:c>
      <x:c r="K1811" s="7" t="str">
        <x:v>none</x:v>
      </x:c>
      <x:c r="L1811" s="14" t="n">
        <x:f>IF(G1811&lt;=I1811,0,MAX(0,L1810)+IF(E1811="via",MAX(0,G1811-MAX(F1811,I1811)),0))</x:f>
        <x:v>17.07333333333333</x:v>
      </x:c>
    </x:row>
    <x:row r="1812" ht="42" customHeight="1">
      <x:c r="A1812" s="12" t="str">
        <x:v>DP3-B-R3</x:v>
      </x:c>
      <x:c r="B1812" s="12" t="str">
        <x:v>U24</x:v>
      </x:c>
      <x:c r="C1812" s="12" t="str">
        <x:v>expanded_revision</x:v>
      </x:c>
      <x:c r="D1812" s="12" t="str">
        <x:v>확장 후보 revision 게시 및 결합 재개</x:v>
      </x:c>
      <x:c r="E1812" s="12" t="str">
        <x:v>via</x:v>
      </x:c>
      <x:c r="F1812" s="13" t="n">
        <x:v>15.073333333333332</x:v>
      </x:c>
      <x:c r="G1812" s="13" t="n">
        <x:v>15.103333333333332</x:v>
      </x:c>
      <x:c r="H1812" s="13" t="n">
        <x:v>0.03</x:v>
      </x:c>
      <x:c r="I1812" s="13" t="n">
        <x:v>-6</x:v>
      </x:c>
      <x:c r="J1812" s="12" t="str">
        <x:v>expand_sam_ipc</x:v>
      </x:c>
      <x:c r="K1812" s="12" t="str">
        <x:v>none</x:v>
      </x:c>
      <x:c r="L1812" s="13" t="n">
        <x:f>IF(G1812&lt;=I1812,0,MAX(0,L1811)+IF(E1812="via",MAX(0,G1812-MAX(F1812,I1812)),0))</x:f>
        <x:v>17.10333333333333</x:v>
      </x:c>
    </x:row>
    <x:row r="1813" ht="42" customHeight="1">
      <x:c r="A1813" s="7" t="str">
        <x:v>DP3-B-R3</x:v>
      </x:c>
      <x:c r="B1813" s="7" t="str">
        <x:v>U24</x:v>
      </x:c>
      <x:c r="C1813" s="7" t="str">
        <x:v>meaning</x:v>
      </x:c>
      <x:c r="D1813" s="7" t="str">
        <x:v>최초 요청 의미 채택 packet 생성</x:v>
      </x:c>
      <x:c r="E1813" s="7" t="str">
        <x:v>via</x:v>
      </x:c>
      <x:c r="F1813" s="14" t="n">
        <x:v>15.103333333333332</x:v>
      </x:c>
      <x:c r="G1813" s="14" t="n">
        <x:v>16.926666666666666</x:v>
      </x:c>
      <x:c r="H1813" s="14" t="n">
        <x:v>1.8233333333333335</x:v>
      </x:c>
      <x:c r="I1813" s="14" t="n">
        <x:v>-6</x:v>
      </x:c>
      <x:c r="J1813" s="7" t="str">
        <x:v>expanded_revision, bg1</x:v>
      </x:c>
      <x:c r="K1813" s="7" t="str">
        <x:v>semantic</x:v>
      </x:c>
      <x:c r="L1813" s="14" t="n">
        <x:f>IF(G1813&lt;=I1813,0,MAX(0,L1812,L1793)+IF(E1813="via",MAX(0,G1813-MAX(F1813,I1813)),0))</x:f>
        <x:v>18.926666666666666</x:v>
      </x:c>
    </x:row>
    <x:row r="1814" ht="42" customHeight="1">
      <x:c r="A1814" s="12" t="str">
        <x:v>DP3-B-R3</x:v>
      </x:c>
      <x:c r="B1814" s="12" t="str">
        <x:v>U24</x:v>
      </x:c>
      <x:c r="C1814" s="12" t="str">
        <x:v>adopt</x:v>
      </x:c>
      <x:c r="D1814" s="12" t="str">
        <x:v>현재 revision과 권한 검사 및 채택</x:v>
      </x:c>
      <x:c r="E1814" s="12" t="str">
        <x:v>via</x:v>
      </x:c>
      <x:c r="F1814" s="13" t="n">
        <x:v>16.926666666666666</x:v>
      </x:c>
      <x:c r="G1814" s="13" t="n">
        <x:v>16.956666666666667</x:v>
      </x:c>
      <x:c r="H1814" s="13" t="n">
        <x:v>0.03</x:v>
      </x:c>
      <x:c r="I1814" s="13" t="n">
        <x:v>-6</x:v>
      </x:c>
      <x:c r="J1814" s="12" t="str">
        <x:v>meaning</x:v>
      </x:c>
      <x:c r="K1814" s="12" t="str">
        <x:v>none</x:v>
      </x:c>
      <x:c r="L1814" s="13" t="n">
        <x:f>IF(G1814&lt;=I1814,0,MAX(0,L1813)+IF(E1814="via",MAX(0,G1814-MAX(F1814,I1814)),0))</x:f>
        <x:v>18.956666666666667</x:v>
      </x:c>
    </x:row>
    <x:row r="1815" ht="42" customHeight="1">
      <x:c r="A1815" s="7" t="str">
        <x:v>DP3-B-R3</x:v>
      </x:c>
      <x:c r="B1815" s="7" t="str">
        <x:v>U24</x:v>
      </x:c>
      <x:c r="C1815" s="7" t="str">
        <x:v>first_display</x:v>
      </x:c>
      <x:c r="D1815" s="7" t="str">
        <x:v>첫 구체적 채택 내용 화면 표시</x:v>
      </x:c>
      <x:c r="E1815" s="7" t="str">
        <x:v>via</x:v>
      </x:c>
      <x:c r="F1815" s="14" t="n">
        <x:v>16.956666666666667</x:v>
      </x:c>
      <x:c r="G1815" s="14" t="n">
        <x:v>16.996666666666666</x:v>
      </x:c>
      <x:c r="H1815" s="14" t="n">
        <x:v>0.04</x:v>
      </x:c>
      <x:c r="I1815" s="14" t="n">
        <x:v>-6</x:v>
      </x:c>
      <x:c r="J1815" s="7" t="str">
        <x:v>adopt</x:v>
      </x:c>
      <x:c r="K1815" s="7" t="str">
        <x:v>none</x:v>
      </x:c>
      <x:c r="L1815" s="14" t="n">
        <x:f>IF(G1815&lt;=I1815,0,MAX(0,L1814)+IF(E1815="via",MAX(0,G1815-MAX(F1815,I1815)),0))</x:f>
        <x:v>18.996666666666666</x:v>
      </x:c>
    </x:row>
    <x:row r="1816" ht="42" customHeight="1">
      <x:c r="A1816" s="12" t="str">
        <x:v>DP3-B-R3</x:v>
      </x:c>
      <x:c r="B1816" s="12" t="str">
        <x:v>U24</x:v>
      </x:c>
      <x:c r="C1816" s="12" t="str">
        <x:v>agent_ingress</x:v>
      </x:c>
      <x:c r="D1816" s="12" t="str">
        <x:v>Agent 요청 전송</x:v>
      </x:c>
      <x:c r="E1816" s="12" t="str">
        <x:v>via</x:v>
      </x:c>
      <x:c r="F1816" s="13" t="n">
        <x:v>16.956666666666667</x:v>
      </x:c>
      <x:c r="G1816" s="13" t="n">
        <x:v>16.996666666666666</x:v>
      </x:c>
      <x:c r="H1816" s="13" t="n">
        <x:v>0.04</x:v>
      </x:c>
      <x:c r="I1816" s="13" t="n">
        <x:v>-6</x:v>
      </x:c>
      <x:c r="J1816" s="12" t="str">
        <x:v>adopt</x:v>
      </x:c>
      <x:c r="K1816" s="12" t="str">
        <x:v>none</x:v>
      </x:c>
      <x:c r="L1816" s="13" t="n">
        <x:f>IF(G1816&lt;=I1816,0,MAX(0,L1814)+IF(E1816="via",MAX(0,G1816-MAX(F1816,I1816)),0))</x:f>
        <x:v>18.996666666666666</x:v>
      </x:c>
    </x:row>
    <x:row r="1817" ht="42" customHeight="1">
      <x:c r="A1817" s="7" t="str">
        <x:v>DP3-B-R3</x:v>
      </x:c>
      <x:c r="B1817" s="7" t="str">
        <x:v>U24</x:v>
      </x:c>
      <x:c r="C1817" s="7" t="str">
        <x:v>agent_result</x:v>
      </x:c>
      <x:c r="D1817" s="7" t="str">
        <x:v>외부 Agent 업무</x:v>
      </x:c>
      <x:c r="E1817" s="7" t="str">
        <x:v>external</x:v>
      </x:c>
      <x:c r="F1817" s="14" t="n">
        <x:v>16.996666666666666</x:v>
      </x:c>
      <x:c r="G1817" s="14" t="n">
        <x:v>24.996666666666666</x:v>
      </x:c>
      <x:c r="H1817" s="14" t="n">
        <x:v>8</x:v>
      </x:c>
      <x:c r="I1817" s="14" t="n">
        <x:v>-6</x:v>
      </x:c>
      <x:c r="J1817" s="7" t="str">
        <x:v>agent_ingress</x:v>
      </x:c>
      <x:c r="K1817" s="7" t="str">
        <x:v>none</x:v>
      </x:c>
      <x:c r="L1817" s="14" t="n">
        <x:f>IF(G1817&lt;=I1817,0,MAX(0,L1816)+IF(E1817="via",MAX(0,G1817-MAX(F1817,I1817)),0))</x:f>
        <x:v>18.996666666666666</x:v>
      </x:c>
    </x:row>
    <x:row r="1818" ht="42" customHeight="1">
      <x:c r="A1818" s="12" t="str">
        <x:v>DP3-B-R3</x:v>
      </x:c>
      <x:c r="B1818" s="12" t="str">
        <x:v>U24</x:v>
      </x:c>
      <x:c r="C1818" s="12" t="str">
        <x:v>result_display</x:v>
      </x:c>
      <x:c r="D1818" s="12" t="str">
        <x:v>최종 결과 상세 표시</x:v>
      </x:c>
      <x:c r="E1818" s="12" t="str">
        <x:v>via</x:v>
      </x:c>
      <x:c r="F1818" s="13" t="n">
        <x:v>24.996666666666666</x:v>
      </x:c>
      <x:c r="G1818" s="13" t="n">
        <x:v>25.036666666666665</x:v>
      </x:c>
      <x:c r="H1818" s="13" t="n">
        <x:v>0.04</x:v>
      </x:c>
      <x:c r="I1818" s="13" t="n">
        <x:v>-6</x:v>
      </x:c>
      <x:c r="J1818" s="12" t="str">
        <x:v>agent_result</x:v>
      </x:c>
      <x:c r="K1818" s="12" t="str">
        <x:v>none</x:v>
      </x:c>
      <x:c r="L1818" s="13" t="n">
        <x:f>IF(G1818&lt;=I1818,0,MAX(0,L1817)+IF(E1818="via",MAX(0,G1818-MAX(F1818,I1818)),0))</x:f>
        <x:v>19.036666666666665</x:v>
      </x:c>
    </x:row>
    <x:row r="1819" ht="42" customHeight="1">
      <x:c r="A1819" s="7" t="str">
        <x:v>DP3-B-R3</x:v>
      </x:c>
      <x:c r="B1819" s="7" t="str">
        <x:v>U24</x:v>
      </x:c>
      <x:c r="C1819" s="7" t="str">
        <x:v>response_audio</x:v>
      </x:c>
      <x:c r="D1819" s="7" t="str">
        <x:v>선택한 응답 음성 생성</x:v>
      </x:c>
      <x:c r="E1819" s="7" t="str">
        <x:v>via</x:v>
      </x:c>
      <x:c r="F1819" s="14" t="n">
        <x:v>24.996666666666666</x:v>
      </x:c>
      <x:c r="G1819" s="14" t="n">
        <x:v>26.884666666666668</x:v>
      </x:c>
      <x:c r="H1819" s="14" t="n">
        <x:v>1.888</x:v>
      </x:c>
      <x:c r="I1819" s="14" t="n">
        <x:v>-6</x:v>
      </x:c>
      <x:c r="J1819" s="7" t="str">
        <x:v>agent_result</x:v>
      </x:c>
      <x:c r="K1819" s="7" t="str">
        <x:v>speech</x:v>
      </x:c>
      <x:c r="L1819" s="14" t="n">
        <x:f>IF(G1819&lt;=I1819,0,MAX(0,L1817)+IF(E1819="via",MAX(0,G1819-MAX(F1819,I1819)),0))</x:f>
        <x:v>20.884666666666668</x:v>
      </x:c>
    </x:row>
    <x:row r="1820" ht="42" customHeight="1">
      <x:c r="A1820" s="12" t="str">
        <x:v>DP3-B-R3</x:v>
      </x:c>
      <x:c r="B1820" s="12" t="str">
        <x:v>U24</x:v>
      </x:c>
      <x:c r="C1820" s="12" t="str">
        <x:v>intent_audio</x:v>
      </x:c>
      <x:c r="D1820" s="12" t="str">
        <x:v>채택한 구체적 수행 의도의 짧은 음성</x:v>
      </x:c>
      <x:c r="E1820" s="12" t="str">
        <x:v>via</x:v>
      </x:c>
      <x:c r="F1820" s="13" t="n">
        <x:v>16.956666666666667</x:v>
      </x:c>
      <x:c r="G1820" s="13" t="n">
        <x:v>18.090666666666667</x:v>
      </x:c>
      <x:c r="H1820" s="13" t="n">
        <x:v>1.134</x:v>
      </x:c>
      <x:c r="I1820" s="13" t="n">
        <x:v>-6</x:v>
      </x:c>
      <x:c r="J1820" s="12" t="str">
        <x:v>adopt</x:v>
      </x:c>
      <x:c r="K1820" s="12" t="str">
        <x:v>speech</x:v>
      </x:c>
      <x:c r="L1820" s="13" t="n">
        <x:f>IF(G1820&lt;=I1820,0,MAX(0,L1814)+IF(E1820="via",MAX(0,G1820-MAX(F1820,I1820)),0))</x:f>
        <x:v>20.090666666666667</x:v>
      </x:c>
    </x:row>
    <x:row r="1821" ht="42" customHeight="1">
      <x:c r="A1821" s="7" t="str">
        <x:v>DP3-B-R3</x:v>
      </x:c>
      <x:c r="B1821" s="7" t="str">
        <x:v>U24</x:v>
      </x:c>
      <x:c r="C1821" s="7" t="str">
        <x:v>first_chunk</x:v>
      </x:c>
      <x:c r="D1821" s="7" t="str">
        <x:v>같은 생성 job의 유효 첫 chunk 관측</x:v>
      </x:c>
      <x:c r="E1821" s="7" t="str">
        <x:v>via</x:v>
      </x:c>
      <x:c r="F1821" s="14" t="n">
        <x:v>16.956666666666667</x:v>
      </x:c>
      <x:c r="G1821" s="14" t="n">
        <x:v>17.390666666666668</x:v>
      </x:c>
      <x:c r="H1821" s="14" t="n">
        <x:v>0.434</x:v>
      </x:c>
      <x:c r="I1821" s="14" t="n">
        <x:v>-6</x:v>
      </x:c>
      <x:c r="J1821" s="7" t="str">
        <x:v>adopt</x:v>
      </x:c>
      <x:c r="K1821" s="7" t="str">
        <x:v>none</x:v>
      </x:c>
      <x:c r="L1821" s="14" t="n">
        <x:f>IF(G1821&lt;=I1821,0,MAX(0,L1814)+IF(E1821="via",MAX(0,G1821-MAX(F1821,I1821)),0))</x:f>
        <x:v>19.390666666666668</x:v>
      </x:c>
    </x:row>
    <x:row r="1822" ht="42" customHeight="1">
      <x:c r="A1822" s="12" t="str">
        <x:v>DP3-B-R3</x:v>
      </x:c>
      <x:c r="B1822" s="12" t="str">
        <x:v>U24</x:v>
      </x:c>
      <x:c r="C1822" s="12" t="str">
        <x:v>first_audio_output</x:v>
      </x:c>
      <x:c r="D1822" s="12" t="str">
        <x:v>공통 장치의 첫 음성 출력</x:v>
      </x:c>
      <x:c r="E1822" s="12" t="str">
        <x:v>via</x:v>
      </x:c>
      <x:c r="F1822" s="13" t="n">
        <x:v>17.390666666666668</x:v>
      </x:c>
      <x:c r="G1822" s="13" t="n">
        <x:v>17.430666666666667</x:v>
      </x:c>
      <x:c r="H1822" s="13" t="n">
        <x:v>0.04</x:v>
      </x:c>
      <x:c r="I1822" s="13" t="n">
        <x:v>-6</x:v>
      </x:c>
      <x:c r="J1822" s="12" t="str">
        <x:v>adopt, first_chunk</x:v>
      </x:c>
      <x:c r="K1822" s="12" t="str">
        <x:v>none</x:v>
      </x:c>
      <x:c r="L1822" s="13" t="n">
        <x:f>IF(G1822&lt;=I1822,0,MAX(0,L1814,L1821)+IF(E1822="via",MAX(0,G1822-MAX(F1822,I1822)),0))</x:f>
        <x:v>19.430666666666667</x:v>
      </x:c>
    </x:row>
    <x:row r="1823" ht="42" customHeight="1">
      <x:c r="A1823" s="7" t="str">
        <x:v>DP3-B-R3</x:v>
      </x:c>
      <x:c r="B1823" s="7" t="str">
        <x:v>U24</x:v>
      </x:c>
      <x:c r="C1823" s="7" t="str">
        <x:v>next_speech_selection</x:v>
      </x:c>
      <x:c r="D1823" s="7" t="str">
        <x:v>현재 발화 재생 후 다음 응답 선택</x:v>
      </x:c>
      <x:c r="E1823" s="7" t="str">
        <x:v>external</x:v>
      </x:c>
      <x:c r="F1823" s="14" t="n">
        <x:v>17.430666666666667</x:v>
      </x:c>
      <x:c r="G1823" s="14" t="n">
        <x:v>20.430666666666667</x:v>
      </x:c>
      <x:c r="H1823" s="14" t="n">
        <x:v>3</x:v>
      </x:c>
      <x:c r="I1823" s="14" t="n">
        <x:v>-6</x:v>
      </x:c>
      <x:c r="J1823" s="7" t="str">
        <x:v>first_audio_output</x:v>
      </x:c>
      <x:c r="K1823" s="7" t="str">
        <x:v>none</x:v>
      </x:c>
      <x:c r="L1823" s="14" t="n">
        <x:f>IF(G1823&lt;=I1823,0,MAX(0,L1822)+IF(E1823="via",MAX(0,G1823-MAX(F1823,I1823)),0))</x:f>
        <x:v>19.430666666666667</x:v>
      </x:c>
    </x:row>
    <x:row r="1824" ht="42" customHeight="1">
      <x:c r="A1824" s="12" t="str">
        <x:v>DP3-B-R3</x:v>
      </x:c>
      <x:c r="B1824" s="12" t="str">
        <x:v>U24</x:v>
      </x:c>
      <x:c r="C1824" s="12" t="str">
        <x:v>terminal</x:v>
      </x:c>
      <x:c r="D1824" s="12" t="str">
        <x:v>공통 목표 최종 상태와 전체 음성 준비</x:v>
      </x:c>
      <x:c r="E1824" s="12" t="str">
        <x:v>via</x:v>
      </x:c>
      <x:c r="F1824" s="13" t="n">
        <x:v>26.884666666666668</x:v>
      </x:c>
      <x:c r="G1824" s="13" t="n">
        <x:v>26.884666666666668</x:v>
      </x:c>
      <x:c r="H1824" s="13" t="n">
        <x:v>0</x:v>
      </x:c>
      <x:c r="I1824" s="13" t="n">
        <x:v>-6</x:v>
      </x:c>
      <x:c r="J1824" s="12" t="str">
        <x:v>result_display, response_audio, intent_audio, first_audio_output</x:v>
      </x:c>
      <x:c r="K1824" s="12" t="str">
        <x:v>none</x:v>
      </x:c>
      <x:c r="L1824" s="13" t="n">
        <x:f>IF(G1824&lt;=I1824,0,MAX(0,L1818,L1819,L1820,L1822)+IF(E1824="via",MAX(0,G1824-MAX(F1824,I1824)),0))</x:f>
        <x:v>20.884666666666668</x:v>
      </x:c>
    </x:row>
    <x:row r="1825" ht="42" customHeight="1">
      <x:c r="A1825" s="7" t="str">
        <x:v>DP5-B</x:v>
      </x:c>
      <x:c r="B1825" s="7" t="str">
        <x:v>U01</x:v>
      </x:c>
      <x:c r="C1825" s="7" t="str">
        <x:v>input_end</x:v>
      </x:c>
      <x:c r="D1825" s="7" t="str">
        <x:v>사용자 입력 종료</x:v>
      </x:c>
      <x:c r="E1825" s="7" t="str">
        <x:v>external</x:v>
      </x:c>
      <x:c r="F1825" s="14" t="n">
        <x:v>0</x:v>
      </x:c>
      <x:c r="G1825" s="14" t="n">
        <x:v>0</x:v>
      </x:c>
      <x:c r="H1825" s="14" t="n">
        <x:v>0</x:v>
      </x:c>
      <x:c r="I1825" s="14" t="n">
        <x:v>0</x:v>
      </x:c>
      <x:c r="J1825" s="7" t="str"/>
      <x:c r="K1825" s="7" t="str">
        <x:v>none</x:v>
      </x:c>
      <x:c r="L1825" s="14" t="n">
        <x:f>IF(G1825&lt;=I1825,0,MAX(0)+IF(E1825="via",MAX(0,G1825-MAX(F1825,I1825)),0))</x:f>
        <x:v>0</x:v>
      </x:c>
    </x:row>
    <x:row r="1826" ht="42" customHeight="1">
      <x:c r="A1826" s="12" t="str">
        <x:v>DP5-B</x:v>
      </x:c>
      <x:c r="B1826" s="12" t="str">
        <x:v>U01</x:v>
      </x:c>
      <x:c r="C1826" s="12" t="str">
        <x:v>intake</x:v>
      </x:c>
      <x:c r="D1826" s="12" t="str">
        <x:v>입력 확정</x:v>
      </x:c>
      <x:c r="E1826" s="12" t="str">
        <x:v>via</x:v>
      </x:c>
      <x:c r="F1826" s="13" t="n">
        <x:v>0</x:v>
      </x:c>
      <x:c r="G1826" s="13" t="n">
        <x:v>0.06</x:v>
      </x:c>
      <x:c r="H1826" s="13" t="n">
        <x:v>0.06</x:v>
      </x:c>
      <x:c r="I1826" s="13" t="n">
        <x:v>0</x:v>
      </x:c>
      <x:c r="J1826" s="12" t="str">
        <x:v>input_end</x:v>
      </x:c>
      <x:c r="K1826" s="12" t="str">
        <x:v>none</x:v>
      </x:c>
      <x:c r="L1826" s="13" t="n">
        <x:f>IF(G1826&lt;=I1826,0,MAX(0,L1825)+IF(E1826="via",MAX(0,G1826-MAX(F1826,I1826)),0))</x:f>
        <x:v>0.06</x:v>
      </x:c>
    </x:row>
    <x:row r="1827" ht="42" customHeight="1">
      <x:c r="A1827" s="7" t="str">
        <x:v>DP5-B</x:v>
      </x:c>
      <x:c r="B1827" s="7" t="str">
        <x:v>U01</x:v>
      </x:c>
      <x:c r="C1827" s="7" t="str">
        <x:v>read</x:v>
      </x:c>
      <x:c r="D1827" s="7" t="str">
        <x:v>공통 허용 원본 조회</x:v>
      </x:c>
      <x:c r="E1827" s="7" t="str">
        <x:v>via</x:v>
      </x:c>
      <x:c r="F1827" s="14" t="n">
        <x:v>0.06</x:v>
      </x:c>
      <x:c r="G1827" s="14" t="n">
        <x:v>0.14</x:v>
      </x:c>
      <x:c r="H1827" s="14" t="n">
        <x:v>0.08</x:v>
      </x:c>
      <x:c r="I1827" s="14" t="n">
        <x:v>0</x:v>
      </x:c>
      <x:c r="J1827" s="7" t="str">
        <x:v>intake</x:v>
      </x:c>
      <x:c r="K1827" s="7" t="str">
        <x:v>none</x:v>
      </x:c>
      <x:c r="L1827" s="14" t="n">
        <x:f>IF(G1827&lt;=I1827,0,MAX(0,L1826)+IF(E1827="via",MAX(0,G1827-MAX(F1827,I1827)),0))</x:f>
        <x:v>0.14</x:v>
      </x:c>
    </x:row>
    <x:row r="1828" ht="42" customHeight="1">
      <x:c r="A1828" s="12" t="str">
        <x:v>DP5-B</x:v>
      </x:c>
      <x:c r="B1828" s="12" t="str">
        <x:v>U01</x:v>
      </x:c>
      <x:c r="C1828" s="12" t="str">
        <x:v>meaning</x:v>
      </x:c>
      <x:c r="D1828" s="12" t="str">
        <x:v>최초 요청 의미 채택 packet 생성</x:v>
      </x:c>
      <x:c r="E1828" s="12" t="str">
        <x:v>via</x:v>
      </x:c>
      <x:c r="F1828" s="13" t="n">
        <x:v>0.14</x:v>
      </x:c>
      <x:c r="G1828" s="13" t="n">
        <x:v>1.2400000000000002</x:v>
      </x:c>
      <x:c r="H1828" s="13" t="n">
        <x:v>1.1</x:v>
      </x:c>
      <x:c r="I1828" s="13" t="n">
        <x:v>0</x:v>
      </x:c>
      <x:c r="J1828" s="12" t="str">
        <x:v>read</x:v>
      </x:c>
      <x:c r="K1828" s="12" t="str">
        <x:v>semantic</x:v>
      </x:c>
      <x:c r="L1828" s="13" t="n">
        <x:f>IF(G1828&lt;=I1828,0,MAX(0,L1827)+IF(E1828="via",MAX(0,G1828-MAX(F1828,I1828)),0))</x:f>
        <x:v>1.2400000000000002</x:v>
      </x:c>
    </x:row>
    <x:row r="1829" ht="42" customHeight="1">
      <x:c r="A1829" s="7" t="str">
        <x:v>DP5-B</x:v>
      </x:c>
      <x:c r="B1829" s="7" t="str">
        <x:v>U01</x:v>
      </x:c>
      <x:c r="C1829" s="7" t="str">
        <x:v>adopt</x:v>
      </x:c>
      <x:c r="D1829" s="7" t="str">
        <x:v>현재 revision과 권한 검사 및 채택</x:v>
      </x:c>
      <x:c r="E1829" s="7" t="str">
        <x:v>via</x:v>
      </x:c>
      <x:c r="F1829" s="14" t="n">
        <x:v>1.2400000000000002</x:v>
      </x:c>
      <x:c r="G1829" s="14" t="n">
        <x:v>1.2700000000000002</x:v>
      </x:c>
      <x:c r="H1829" s="14" t="n">
        <x:v>0.03</x:v>
      </x:c>
      <x:c r="I1829" s="14" t="n">
        <x:v>0</x:v>
      </x:c>
      <x:c r="J1829" s="7" t="str">
        <x:v>meaning</x:v>
      </x:c>
      <x:c r="K1829" s="7" t="str">
        <x:v>none</x:v>
      </x:c>
      <x:c r="L1829" s="14" t="n">
        <x:f>IF(G1829&lt;=I1829,0,MAX(0,L1828)+IF(E1829="via",MAX(0,G1829-MAX(F1829,I1829)),0))</x:f>
        <x:v>1.2700000000000002</x:v>
      </x:c>
    </x:row>
    <x:row r="1830" ht="42" customHeight="1">
      <x:c r="A1830" s="12" t="str">
        <x:v>DP5-B</x:v>
      </x:c>
      <x:c r="B1830" s="12" t="str">
        <x:v>U01</x:v>
      </x:c>
      <x:c r="C1830" s="12" t="str">
        <x:v>first_display</x:v>
      </x:c>
      <x:c r="D1830" s="12" t="str">
        <x:v>첫 구체적 채택 내용 화면 표시</x:v>
      </x:c>
      <x:c r="E1830" s="12" t="str">
        <x:v>via</x:v>
      </x:c>
      <x:c r="F1830" s="13" t="n">
        <x:v>1.2700000000000002</x:v>
      </x:c>
      <x:c r="G1830" s="13" t="n">
        <x:v>1.3100000000000003</x:v>
      </x:c>
      <x:c r="H1830" s="13" t="n">
        <x:v>0.04</x:v>
      </x:c>
      <x:c r="I1830" s="13" t="n">
        <x:v>0</x:v>
      </x:c>
      <x:c r="J1830" s="12" t="str">
        <x:v>adopt</x:v>
      </x:c>
      <x:c r="K1830" s="12" t="str">
        <x:v>none</x:v>
      </x:c>
      <x:c r="L1830" s="13" t="n">
        <x:f>IF(G1830&lt;=I1830,0,MAX(0,L1829)+IF(E1830="via",MAX(0,G1830-MAX(F1830,I1830)),0))</x:f>
        <x:v>1.3100000000000003</x:v>
      </x:c>
    </x:row>
    <x:row r="1831" ht="42" customHeight="1">
      <x:c r="A1831" s="7" t="str">
        <x:v>DP5-B</x:v>
      </x:c>
      <x:c r="B1831" s="7" t="str">
        <x:v>U01</x:v>
      </x:c>
      <x:c r="C1831" s="7" t="str">
        <x:v>response_audio</x:v>
      </x:c>
      <x:c r="D1831" s="7" t="str">
        <x:v>선택한 응답 음성 생성</x:v>
      </x:c>
      <x:c r="E1831" s="7" t="str">
        <x:v>via</x:v>
      </x:c>
      <x:c r="F1831" s="14" t="n">
        <x:v>1.2700000000000002</x:v>
      </x:c>
      <x:c r="G1831" s="14" t="n">
        <x:v>3.1580000000000004</x:v>
      </x:c>
      <x:c r="H1831" s="14" t="n">
        <x:v>1.888</x:v>
      </x:c>
      <x:c r="I1831" s="14" t="n">
        <x:v>0</x:v>
      </x:c>
      <x:c r="J1831" s="7" t="str">
        <x:v>adopt</x:v>
      </x:c>
      <x:c r="K1831" s="7" t="str">
        <x:v>speech</x:v>
      </x:c>
      <x:c r="L1831" s="14" t="n">
        <x:f>IF(G1831&lt;=I1831,0,MAX(0,L1829)+IF(E1831="via",MAX(0,G1831-MAX(F1831,I1831)),0))</x:f>
        <x:v>3.1580000000000004</x:v>
      </x:c>
    </x:row>
    <x:row r="1832" ht="42" customHeight="1">
      <x:c r="A1832" s="12" t="str">
        <x:v>DP5-B</x:v>
      </x:c>
      <x:c r="B1832" s="12" t="str">
        <x:v>U01</x:v>
      </x:c>
      <x:c r="C1832" s="12" t="str">
        <x:v>first_chunk</x:v>
      </x:c>
      <x:c r="D1832" s="12" t="str">
        <x:v>같은 생성 job의 유효 첫 chunk 관측</x:v>
      </x:c>
      <x:c r="E1832" s="12" t="str">
        <x:v>via</x:v>
      </x:c>
      <x:c r="F1832" s="13" t="n">
        <x:v>1.2700000000000002</x:v>
      </x:c>
      <x:c r="G1832" s="13" t="n">
        <x:v>1.7080000000000002</x:v>
      </x:c>
      <x:c r="H1832" s="13" t="n">
        <x:v>0.438</x:v>
      </x:c>
      <x:c r="I1832" s="13" t="n">
        <x:v>0</x:v>
      </x:c>
      <x:c r="J1832" s="12" t="str">
        <x:v>adopt</x:v>
      </x:c>
      <x:c r="K1832" s="12" t="str">
        <x:v>none</x:v>
      </x:c>
      <x:c r="L1832" s="13" t="n">
        <x:f>IF(G1832&lt;=I1832,0,MAX(0,L1829)+IF(E1832="via",MAX(0,G1832-MAX(F1832,I1832)),0))</x:f>
        <x:v>1.7080000000000002</x:v>
      </x:c>
    </x:row>
    <x:row r="1833" ht="42" customHeight="1">
      <x:c r="A1833" s="7" t="str">
        <x:v>DP5-B</x:v>
      </x:c>
      <x:c r="B1833" s="7" t="str">
        <x:v>U01</x:v>
      </x:c>
      <x:c r="C1833" s="7" t="str">
        <x:v>first_audio_output</x:v>
      </x:c>
      <x:c r="D1833" s="7" t="str">
        <x:v>공통 장치의 첫 음성 출력</x:v>
      </x:c>
      <x:c r="E1833" s="7" t="str">
        <x:v>via</x:v>
      </x:c>
      <x:c r="F1833" s="14" t="n">
        <x:v>1.7080000000000002</x:v>
      </x:c>
      <x:c r="G1833" s="14" t="n">
        <x:v>1.7480000000000002</x:v>
      </x:c>
      <x:c r="H1833" s="14" t="n">
        <x:v>0.04</x:v>
      </x:c>
      <x:c r="I1833" s="14" t="n">
        <x:v>0</x:v>
      </x:c>
      <x:c r="J1833" s="7" t="str">
        <x:v>adopt, first_chunk</x:v>
      </x:c>
      <x:c r="K1833" s="7" t="str">
        <x:v>none</x:v>
      </x:c>
      <x:c r="L1833" s="14" t="n">
        <x:f>IF(G1833&lt;=I1833,0,MAX(0,L1829,L1832)+IF(E1833="via",MAX(0,G1833-MAX(F1833,I1833)),0))</x:f>
        <x:v>1.7480000000000002</x:v>
      </x:c>
    </x:row>
    <x:row r="1834" ht="42" customHeight="1">
      <x:c r="A1834" s="12" t="str">
        <x:v>DP5-B</x:v>
      </x:c>
      <x:c r="B1834" s="12" t="str">
        <x:v>U01</x:v>
      </x:c>
      <x:c r="C1834" s="12" t="str">
        <x:v>terminal</x:v>
      </x:c>
      <x:c r="D1834" s="12" t="str">
        <x:v>공통 목표 최종 상태와 전체 음성 준비</x:v>
      </x:c>
      <x:c r="E1834" s="12" t="str">
        <x:v>via</x:v>
      </x:c>
      <x:c r="F1834" s="13" t="n">
        <x:v>3.1580000000000004</x:v>
      </x:c>
      <x:c r="G1834" s="13" t="n">
        <x:v>3.1580000000000004</x:v>
      </x:c>
      <x:c r="H1834" s="13" t="n">
        <x:v>0</x:v>
      </x:c>
      <x:c r="I1834" s="13" t="n">
        <x:v>0</x:v>
      </x:c>
      <x:c r="J1834" s="12" t="str">
        <x:v>first_display, response_audio, first_audio_output</x:v>
      </x:c>
      <x:c r="K1834" s="12" t="str">
        <x:v>none</x:v>
      </x:c>
      <x:c r="L1834" s="13" t="n">
        <x:f>IF(G1834&lt;=I1834,0,MAX(0,L1830,L1831,L1833)+IF(E1834="via",MAX(0,G1834-MAX(F1834,I1834)),0))</x:f>
        <x:v>3.1580000000000004</x:v>
      </x:c>
    </x:row>
    <x:row r="1835" ht="42" customHeight="1">
      <x:c r="A1835" s="7" t="str">
        <x:v>DP5-B</x:v>
      </x:c>
      <x:c r="B1835" s="7" t="str">
        <x:v>U02</x:v>
      </x:c>
      <x:c r="C1835" s="7" t="str">
        <x:v>input_end</x:v>
      </x:c>
      <x:c r="D1835" s="7" t="str">
        <x:v>사용자 입력 종료</x:v>
      </x:c>
      <x:c r="E1835" s="7" t="str">
        <x:v>external</x:v>
      </x:c>
      <x:c r="F1835" s="14" t="n">
        <x:v>0</x:v>
      </x:c>
      <x:c r="G1835" s="14" t="n">
        <x:v>0</x:v>
      </x:c>
      <x:c r="H1835" s="14" t="n">
        <x:v>0</x:v>
      </x:c>
      <x:c r="I1835" s="14" t="n">
        <x:v>0</x:v>
      </x:c>
      <x:c r="J1835" s="7" t="str"/>
      <x:c r="K1835" s="7" t="str">
        <x:v>none</x:v>
      </x:c>
      <x:c r="L1835" s="14" t="n">
        <x:f>IF(G1835&lt;=I1835,0,MAX(0)+IF(E1835="via",MAX(0,G1835-MAX(F1835,I1835)),0))</x:f>
        <x:v>0</x:v>
      </x:c>
    </x:row>
    <x:row r="1836" ht="42" customHeight="1">
      <x:c r="A1836" s="12" t="str">
        <x:v>DP5-B</x:v>
      </x:c>
      <x:c r="B1836" s="12" t="str">
        <x:v>U02</x:v>
      </x:c>
      <x:c r="C1836" s="12" t="str">
        <x:v>intake</x:v>
      </x:c>
      <x:c r="D1836" s="12" t="str">
        <x:v>입력 확정</x:v>
      </x:c>
      <x:c r="E1836" s="12" t="str">
        <x:v>via</x:v>
      </x:c>
      <x:c r="F1836" s="13" t="n">
        <x:v>0</x:v>
      </x:c>
      <x:c r="G1836" s="13" t="n">
        <x:v>0.3</x:v>
      </x:c>
      <x:c r="H1836" s="13" t="n">
        <x:v>0.3</x:v>
      </x:c>
      <x:c r="I1836" s="13" t="n">
        <x:v>0</x:v>
      </x:c>
      <x:c r="J1836" s="12" t="str">
        <x:v>input_end</x:v>
      </x:c>
      <x:c r="K1836" s="12" t="str">
        <x:v>none</x:v>
      </x:c>
      <x:c r="L1836" s="13" t="n">
        <x:f>IF(G1836&lt;=I1836,0,MAX(0,L1835)+IF(E1836="via",MAX(0,G1836-MAX(F1836,I1836)),0))</x:f>
        <x:v>0.3</x:v>
      </x:c>
    </x:row>
    <x:row r="1837" ht="42" customHeight="1">
      <x:c r="A1837" s="7" t="str">
        <x:v>DP5-B</x:v>
      </x:c>
      <x:c r="B1837" s="7" t="str">
        <x:v>U02</x:v>
      </x:c>
      <x:c r="C1837" s="7" t="str">
        <x:v>read</x:v>
      </x:c>
      <x:c r="D1837" s="7" t="str">
        <x:v>공통 허용 원본 조회</x:v>
      </x:c>
      <x:c r="E1837" s="7" t="str">
        <x:v>via</x:v>
      </x:c>
      <x:c r="F1837" s="14" t="n">
        <x:v>0.3</x:v>
      </x:c>
      <x:c r="G1837" s="14" t="n">
        <x:v>0.38</x:v>
      </x:c>
      <x:c r="H1837" s="14" t="n">
        <x:v>0.08</x:v>
      </x:c>
      <x:c r="I1837" s="14" t="n">
        <x:v>0</x:v>
      </x:c>
      <x:c r="J1837" s="7" t="str">
        <x:v>intake</x:v>
      </x:c>
      <x:c r="K1837" s="7" t="str">
        <x:v>none</x:v>
      </x:c>
      <x:c r="L1837" s="14" t="n">
        <x:f>IF(G1837&lt;=I1837,0,MAX(0,L1836)+IF(E1837="via",MAX(0,G1837-MAX(F1837,I1837)),0))</x:f>
        <x:v>0.38</x:v>
      </x:c>
    </x:row>
    <x:row r="1838" ht="42" customHeight="1">
      <x:c r="A1838" s="12" t="str">
        <x:v>DP5-B</x:v>
      </x:c>
      <x:c r="B1838" s="12" t="str">
        <x:v>U02</x:v>
      </x:c>
      <x:c r="C1838" s="12" t="str">
        <x:v>meaning</x:v>
      </x:c>
      <x:c r="D1838" s="12" t="str">
        <x:v>최초 요청 의미 채택 packet 생성</x:v>
      </x:c>
      <x:c r="E1838" s="12" t="str">
        <x:v>via</x:v>
      </x:c>
      <x:c r="F1838" s="13" t="n">
        <x:v>0.38</x:v>
      </x:c>
      <x:c r="G1838" s="13" t="n">
        <x:v>1.48</x:v>
      </x:c>
      <x:c r="H1838" s="13" t="n">
        <x:v>1.1</x:v>
      </x:c>
      <x:c r="I1838" s="13" t="n">
        <x:v>0</x:v>
      </x:c>
      <x:c r="J1838" s="12" t="str">
        <x:v>read</x:v>
      </x:c>
      <x:c r="K1838" s="12" t="str">
        <x:v>semantic</x:v>
      </x:c>
      <x:c r="L1838" s="13" t="n">
        <x:f>IF(G1838&lt;=I1838,0,MAX(0,L1837)+IF(E1838="via",MAX(0,G1838-MAX(F1838,I1838)),0))</x:f>
        <x:v>1.48</x:v>
      </x:c>
    </x:row>
    <x:row r="1839" ht="42" customHeight="1">
      <x:c r="A1839" s="7" t="str">
        <x:v>DP5-B</x:v>
      </x:c>
      <x:c r="B1839" s="7" t="str">
        <x:v>U02</x:v>
      </x:c>
      <x:c r="C1839" s="7" t="str">
        <x:v>adopt</x:v>
      </x:c>
      <x:c r="D1839" s="7" t="str">
        <x:v>현재 revision과 권한 검사 및 채택</x:v>
      </x:c>
      <x:c r="E1839" s="7" t="str">
        <x:v>via</x:v>
      </x:c>
      <x:c r="F1839" s="14" t="n">
        <x:v>1.48</x:v>
      </x:c>
      <x:c r="G1839" s="14" t="n">
        <x:v>1.51</x:v>
      </x:c>
      <x:c r="H1839" s="14" t="n">
        <x:v>0.03</x:v>
      </x:c>
      <x:c r="I1839" s="14" t="n">
        <x:v>0</x:v>
      </x:c>
      <x:c r="J1839" s="7" t="str">
        <x:v>meaning</x:v>
      </x:c>
      <x:c r="K1839" s="7" t="str">
        <x:v>none</x:v>
      </x:c>
      <x:c r="L1839" s="14" t="n">
        <x:f>IF(G1839&lt;=I1839,0,MAX(0,L1838)+IF(E1839="via",MAX(0,G1839-MAX(F1839,I1839)),0))</x:f>
        <x:v>1.51</x:v>
      </x:c>
    </x:row>
    <x:row r="1840" ht="42" customHeight="1">
      <x:c r="A1840" s="12" t="str">
        <x:v>DP5-B</x:v>
      </x:c>
      <x:c r="B1840" s="12" t="str">
        <x:v>U02</x:v>
      </x:c>
      <x:c r="C1840" s="12" t="str">
        <x:v>first_display</x:v>
      </x:c>
      <x:c r="D1840" s="12" t="str">
        <x:v>첫 구체적 채택 내용 화면 표시</x:v>
      </x:c>
      <x:c r="E1840" s="12" t="str">
        <x:v>via</x:v>
      </x:c>
      <x:c r="F1840" s="13" t="n">
        <x:v>1.51</x:v>
      </x:c>
      <x:c r="G1840" s="13" t="n">
        <x:v>1.55</x:v>
      </x:c>
      <x:c r="H1840" s="13" t="n">
        <x:v>0.04</x:v>
      </x:c>
      <x:c r="I1840" s="13" t="n">
        <x:v>0</x:v>
      </x:c>
      <x:c r="J1840" s="12" t="str">
        <x:v>adopt</x:v>
      </x:c>
      <x:c r="K1840" s="12" t="str">
        <x:v>none</x:v>
      </x:c>
      <x:c r="L1840" s="13" t="n">
        <x:f>IF(G1840&lt;=I1840,0,MAX(0,L1839)+IF(E1840="via",MAX(0,G1840-MAX(F1840,I1840)),0))</x:f>
        <x:v>1.55</x:v>
      </x:c>
    </x:row>
    <x:row r="1841" ht="42" customHeight="1">
      <x:c r="A1841" s="7" t="str">
        <x:v>DP5-B</x:v>
      </x:c>
      <x:c r="B1841" s="7" t="str">
        <x:v>U02</x:v>
      </x:c>
      <x:c r="C1841" s="7" t="str">
        <x:v>response_audio</x:v>
      </x:c>
      <x:c r="D1841" s="7" t="str">
        <x:v>선택한 응답 음성 생성</x:v>
      </x:c>
      <x:c r="E1841" s="7" t="str">
        <x:v>via</x:v>
      </x:c>
      <x:c r="F1841" s="14" t="n">
        <x:v>1.51</x:v>
      </x:c>
      <x:c r="G1841" s="14" t="n">
        <x:v>2.644</x:v>
      </x:c>
      <x:c r="H1841" s="14" t="n">
        <x:v>1.134</x:v>
      </x:c>
      <x:c r="I1841" s="14" t="n">
        <x:v>0</x:v>
      </x:c>
      <x:c r="J1841" s="7" t="str">
        <x:v>adopt</x:v>
      </x:c>
      <x:c r="K1841" s="7" t="str">
        <x:v>speech</x:v>
      </x:c>
      <x:c r="L1841" s="14" t="n">
        <x:f>IF(G1841&lt;=I1841,0,MAX(0,L1839)+IF(E1841="via",MAX(0,G1841-MAX(F1841,I1841)),0))</x:f>
        <x:v>2.644</x:v>
      </x:c>
    </x:row>
    <x:row r="1842" ht="42" customHeight="1">
      <x:c r="A1842" s="12" t="str">
        <x:v>DP5-B</x:v>
      </x:c>
      <x:c r="B1842" s="12" t="str">
        <x:v>U02</x:v>
      </x:c>
      <x:c r="C1842" s="12" t="str">
        <x:v>first_chunk</x:v>
      </x:c>
      <x:c r="D1842" s="12" t="str">
        <x:v>같은 생성 job의 유효 첫 chunk 관측</x:v>
      </x:c>
      <x:c r="E1842" s="12" t="str">
        <x:v>via</x:v>
      </x:c>
      <x:c r="F1842" s="13" t="n">
        <x:v>1.51</x:v>
      </x:c>
      <x:c r="G1842" s="13" t="n">
        <x:v>1.944</x:v>
      </x:c>
      <x:c r="H1842" s="13" t="n">
        <x:v>0.434</x:v>
      </x:c>
      <x:c r="I1842" s="13" t="n">
        <x:v>0</x:v>
      </x:c>
      <x:c r="J1842" s="12" t="str">
        <x:v>adopt</x:v>
      </x:c>
      <x:c r="K1842" s="12" t="str">
        <x:v>none</x:v>
      </x:c>
      <x:c r="L1842" s="13" t="n">
        <x:f>IF(G1842&lt;=I1842,0,MAX(0,L1839)+IF(E1842="via",MAX(0,G1842-MAX(F1842,I1842)),0))</x:f>
        <x:v>1.944</x:v>
      </x:c>
    </x:row>
    <x:row r="1843" ht="42" customHeight="1">
      <x:c r="A1843" s="7" t="str">
        <x:v>DP5-B</x:v>
      </x:c>
      <x:c r="B1843" s="7" t="str">
        <x:v>U02</x:v>
      </x:c>
      <x:c r="C1843" s="7" t="str">
        <x:v>first_audio_output</x:v>
      </x:c>
      <x:c r="D1843" s="7" t="str">
        <x:v>공통 장치의 첫 음성 출력</x:v>
      </x:c>
      <x:c r="E1843" s="7" t="str">
        <x:v>via</x:v>
      </x:c>
      <x:c r="F1843" s="14" t="n">
        <x:v>1.944</x:v>
      </x:c>
      <x:c r="G1843" s="14" t="n">
        <x:v>1.984</x:v>
      </x:c>
      <x:c r="H1843" s="14" t="n">
        <x:v>0.04</x:v>
      </x:c>
      <x:c r="I1843" s="14" t="n">
        <x:v>0</x:v>
      </x:c>
      <x:c r="J1843" s="7" t="str">
        <x:v>adopt, first_chunk</x:v>
      </x:c>
      <x:c r="K1843" s="7" t="str">
        <x:v>none</x:v>
      </x:c>
      <x:c r="L1843" s="14" t="n">
        <x:f>IF(G1843&lt;=I1843,0,MAX(0,L1839,L1842)+IF(E1843="via",MAX(0,G1843-MAX(F1843,I1843)),0))</x:f>
        <x:v>1.984</x:v>
      </x:c>
    </x:row>
    <x:row r="1844" ht="42" customHeight="1">
      <x:c r="A1844" s="12" t="str">
        <x:v>DP5-B</x:v>
      </x:c>
      <x:c r="B1844" s="12" t="str">
        <x:v>U02</x:v>
      </x:c>
      <x:c r="C1844" s="12" t="str">
        <x:v>terminal</x:v>
      </x:c>
      <x:c r="D1844" s="12" t="str">
        <x:v>공통 목표 최종 상태와 전체 음성 준비</x:v>
      </x:c>
      <x:c r="E1844" s="12" t="str">
        <x:v>via</x:v>
      </x:c>
      <x:c r="F1844" s="13" t="n">
        <x:v>2.644</x:v>
      </x:c>
      <x:c r="G1844" s="13" t="n">
        <x:v>2.644</x:v>
      </x:c>
      <x:c r="H1844" s="13" t="n">
        <x:v>0</x:v>
      </x:c>
      <x:c r="I1844" s="13" t="n">
        <x:v>0</x:v>
      </x:c>
      <x:c r="J1844" s="12" t="str">
        <x:v>first_display, response_audio, first_audio_output</x:v>
      </x:c>
      <x:c r="K1844" s="12" t="str">
        <x:v>none</x:v>
      </x:c>
      <x:c r="L1844" s="13" t="n">
        <x:f>IF(G1844&lt;=I1844,0,MAX(0,L1840,L1841,L1843)+IF(E1844="via",MAX(0,G1844-MAX(F1844,I1844)),0))</x:f>
        <x:v>2.644</x:v>
      </x:c>
    </x:row>
    <x:row r="1845" ht="42" customHeight="1">
      <x:c r="A1845" s="7" t="str">
        <x:v>DP5-B</x:v>
      </x:c>
      <x:c r="B1845" s="7" t="str">
        <x:v>U03</x:v>
      </x:c>
      <x:c r="C1845" s="7" t="str">
        <x:v>input_end</x:v>
      </x:c>
      <x:c r="D1845" s="7" t="str">
        <x:v>사용자 입력 종료</x:v>
      </x:c>
      <x:c r="E1845" s="7" t="str">
        <x:v>external</x:v>
      </x:c>
      <x:c r="F1845" s="14" t="n">
        <x:v>0</x:v>
      </x:c>
      <x:c r="G1845" s="14" t="n">
        <x:v>0</x:v>
      </x:c>
      <x:c r="H1845" s="14" t="n">
        <x:v>0</x:v>
      </x:c>
      <x:c r="I1845" s="14" t="n">
        <x:v>0</x:v>
      </x:c>
      <x:c r="J1845" s="7" t="str"/>
      <x:c r="K1845" s="7" t="str">
        <x:v>none</x:v>
      </x:c>
      <x:c r="L1845" s="14" t="n">
        <x:f>IF(G1845&lt;=I1845,0,MAX(0)+IF(E1845="via",MAX(0,G1845-MAX(F1845,I1845)),0))</x:f>
        <x:v>0</x:v>
      </x:c>
    </x:row>
    <x:row r="1846" ht="42" customHeight="1">
      <x:c r="A1846" s="12" t="str">
        <x:v>DP5-B</x:v>
      </x:c>
      <x:c r="B1846" s="12" t="str">
        <x:v>U03</x:v>
      </x:c>
      <x:c r="C1846" s="12" t="str">
        <x:v>intake</x:v>
      </x:c>
      <x:c r="D1846" s="12" t="str">
        <x:v>입력 확정</x:v>
      </x:c>
      <x:c r="E1846" s="12" t="str">
        <x:v>via</x:v>
      </x:c>
      <x:c r="F1846" s="13" t="n">
        <x:v>0</x:v>
      </x:c>
      <x:c r="G1846" s="13" t="n">
        <x:v>0.06</x:v>
      </x:c>
      <x:c r="H1846" s="13" t="n">
        <x:v>0.06</x:v>
      </x:c>
      <x:c r="I1846" s="13" t="n">
        <x:v>0</x:v>
      </x:c>
      <x:c r="J1846" s="12" t="str">
        <x:v>input_end</x:v>
      </x:c>
      <x:c r="K1846" s="12" t="str">
        <x:v>none</x:v>
      </x:c>
      <x:c r="L1846" s="13" t="n">
        <x:f>IF(G1846&lt;=I1846,0,MAX(0,L1845)+IF(E1846="via",MAX(0,G1846-MAX(F1846,I1846)),0))</x:f>
        <x:v>0.06</x:v>
      </x:c>
    </x:row>
    <x:row r="1847" ht="42" customHeight="1">
      <x:c r="A1847" s="7" t="str">
        <x:v>DP5-B</x:v>
      </x:c>
      <x:c r="B1847" s="7" t="str">
        <x:v>U03</x:v>
      </x:c>
      <x:c r="C1847" s="7" t="str">
        <x:v>read</x:v>
      </x:c>
      <x:c r="D1847" s="7" t="str">
        <x:v>공통 허용 원본 조회</x:v>
      </x:c>
      <x:c r="E1847" s="7" t="str">
        <x:v>via</x:v>
      </x:c>
      <x:c r="F1847" s="14" t="n">
        <x:v>0.06</x:v>
      </x:c>
      <x:c r="G1847" s="14" t="n">
        <x:v>0.14</x:v>
      </x:c>
      <x:c r="H1847" s="14" t="n">
        <x:v>0.08</x:v>
      </x:c>
      <x:c r="I1847" s="14" t="n">
        <x:v>0</x:v>
      </x:c>
      <x:c r="J1847" s="7" t="str">
        <x:v>intake</x:v>
      </x:c>
      <x:c r="K1847" s="7" t="str">
        <x:v>none</x:v>
      </x:c>
      <x:c r="L1847" s="14" t="n">
        <x:f>IF(G1847&lt;=I1847,0,MAX(0,L1846)+IF(E1847="via",MAX(0,G1847-MAX(F1847,I1847)),0))</x:f>
        <x:v>0.14</x:v>
      </x:c>
    </x:row>
    <x:row r="1848" ht="42" customHeight="1">
      <x:c r="A1848" s="12" t="str">
        <x:v>DP5-B</x:v>
      </x:c>
      <x:c r="B1848" s="12" t="str">
        <x:v>U03</x:v>
      </x:c>
      <x:c r="C1848" s="12" t="str">
        <x:v>meaning</x:v>
      </x:c>
      <x:c r="D1848" s="12" t="str">
        <x:v>최초 요청 의미 채택 packet 생성</x:v>
      </x:c>
      <x:c r="E1848" s="12" t="str">
        <x:v>via</x:v>
      </x:c>
      <x:c r="F1848" s="13" t="n">
        <x:v>0.14</x:v>
      </x:c>
      <x:c r="G1848" s="13" t="n">
        <x:v>1.2400000000000002</x:v>
      </x:c>
      <x:c r="H1848" s="13" t="n">
        <x:v>1.1</x:v>
      </x:c>
      <x:c r="I1848" s="13" t="n">
        <x:v>0</x:v>
      </x:c>
      <x:c r="J1848" s="12" t="str">
        <x:v>read</x:v>
      </x:c>
      <x:c r="K1848" s="12" t="str">
        <x:v>semantic</x:v>
      </x:c>
      <x:c r="L1848" s="13" t="n">
        <x:f>IF(G1848&lt;=I1848,0,MAX(0,L1847)+IF(E1848="via",MAX(0,G1848-MAX(F1848,I1848)),0))</x:f>
        <x:v>1.2400000000000002</x:v>
      </x:c>
    </x:row>
    <x:row r="1849" ht="42" customHeight="1">
      <x:c r="A1849" s="7" t="str">
        <x:v>DP5-B</x:v>
      </x:c>
      <x:c r="B1849" s="7" t="str">
        <x:v>U03</x:v>
      </x:c>
      <x:c r="C1849" s="7" t="str">
        <x:v>adopt</x:v>
      </x:c>
      <x:c r="D1849" s="7" t="str">
        <x:v>현재 revision과 권한 검사 및 채택</x:v>
      </x:c>
      <x:c r="E1849" s="7" t="str">
        <x:v>via</x:v>
      </x:c>
      <x:c r="F1849" s="14" t="n">
        <x:v>1.2400000000000002</x:v>
      </x:c>
      <x:c r="G1849" s="14" t="n">
        <x:v>1.2700000000000002</x:v>
      </x:c>
      <x:c r="H1849" s="14" t="n">
        <x:v>0.03</x:v>
      </x:c>
      <x:c r="I1849" s="14" t="n">
        <x:v>0</x:v>
      </x:c>
      <x:c r="J1849" s="7" t="str">
        <x:v>meaning</x:v>
      </x:c>
      <x:c r="K1849" s="7" t="str">
        <x:v>none</x:v>
      </x:c>
      <x:c r="L1849" s="14" t="n">
        <x:f>IF(G1849&lt;=I1849,0,MAX(0,L1848)+IF(E1849="via",MAX(0,G1849-MAX(F1849,I1849)),0))</x:f>
        <x:v>1.2700000000000002</x:v>
      </x:c>
    </x:row>
    <x:row r="1850" ht="42" customHeight="1">
      <x:c r="A1850" s="12" t="str">
        <x:v>DP5-B</x:v>
      </x:c>
      <x:c r="B1850" s="12" t="str">
        <x:v>U03</x:v>
      </x:c>
      <x:c r="C1850" s="12" t="str">
        <x:v>first_display</x:v>
      </x:c>
      <x:c r="D1850" s="12" t="str">
        <x:v>첫 구체적 채택 내용 화면 표시</x:v>
      </x:c>
      <x:c r="E1850" s="12" t="str">
        <x:v>via</x:v>
      </x:c>
      <x:c r="F1850" s="13" t="n">
        <x:v>1.2700000000000002</x:v>
      </x:c>
      <x:c r="G1850" s="13" t="n">
        <x:v>1.3100000000000003</x:v>
      </x:c>
      <x:c r="H1850" s="13" t="n">
        <x:v>0.04</x:v>
      </x:c>
      <x:c r="I1850" s="13" t="n">
        <x:v>0</x:v>
      </x:c>
      <x:c r="J1850" s="12" t="str">
        <x:v>adopt</x:v>
      </x:c>
      <x:c r="K1850" s="12" t="str">
        <x:v>none</x:v>
      </x:c>
      <x:c r="L1850" s="13" t="n">
        <x:f>IF(G1850&lt;=I1850,0,MAX(0,L1849)+IF(E1850="via",MAX(0,G1850-MAX(F1850,I1850)),0))</x:f>
        <x:v>1.3100000000000003</x:v>
      </x:c>
    </x:row>
    <x:row r="1851" ht="42" customHeight="1">
      <x:c r="A1851" s="7" t="str">
        <x:v>DP5-B</x:v>
      </x:c>
      <x:c r="B1851" s="7" t="str">
        <x:v>U03</x:v>
      </x:c>
      <x:c r="C1851" s="7" t="str">
        <x:v>long_work</x:v>
      </x:c>
      <x:c r="D1851" s="7" t="str">
        <x:v>요청의 남은 VIA 판단</x:v>
      </x:c>
      <x:c r="E1851" s="7" t="str">
        <x:v>via</x:v>
      </x:c>
      <x:c r="F1851" s="14" t="n">
        <x:v>1.2700000000000002</x:v>
      </x:c>
      <x:c r="G1851" s="14" t="n">
        <x:v>2.87</x:v>
      </x:c>
      <x:c r="H1851" s="14" t="n">
        <x:v>1.6</x:v>
      </x:c>
      <x:c r="I1851" s="14" t="n">
        <x:v>0</x:v>
      </x:c>
      <x:c r="J1851" s="7" t="str">
        <x:v>adopt</x:v>
      </x:c>
      <x:c r="K1851" s="7" t="str">
        <x:v>semantic</x:v>
      </x:c>
      <x:c r="L1851" s="14" t="n">
        <x:f>IF(G1851&lt;=I1851,0,MAX(0,L1849)+IF(E1851="via",MAX(0,G1851-MAX(F1851,I1851)),0))</x:f>
        <x:v>2.87</x:v>
      </x:c>
    </x:row>
    <x:row r="1852" ht="42" customHeight="1">
      <x:c r="A1852" s="12" t="str">
        <x:v>DP5-B</x:v>
      </x:c>
      <x:c r="B1852" s="12" t="str">
        <x:v>U03</x:v>
      </x:c>
      <x:c r="C1852" s="12" t="str">
        <x:v>result_display</x:v>
      </x:c>
      <x:c r="D1852" s="12" t="str">
        <x:v>최종 설명 상세 표시</x:v>
      </x:c>
      <x:c r="E1852" s="12" t="str">
        <x:v>via</x:v>
      </x:c>
      <x:c r="F1852" s="13" t="n">
        <x:v>2.87</x:v>
      </x:c>
      <x:c r="G1852" s="13" t="n">
        <x:v>2.91</x:v>
      </x:c>
      <x:c r="H1852" s="13" t="n">
        <x:v>0.04</x:v>
      </x:c>
      <x:c r="I1852" s="13" t="n">
        <x:v>0</x:v>
      </x:c>
      <x:c r="J1852" s="12" t="str">
        <x:v>long_work</x:v>
      </x:c>
      <x:c r="K1852" s="12" t="str">
        <x:v>none</x:v>
      </x:c>
      <x:c r="L1852" s="13" t="n">
        <x:f>IF(G1852&lt;=I1852,0,MAX(0,L1851)+IF(E1852="via",MAX(0,G1852-MAX(F1852,I1852)),0))</x:f>
        <x:v>2.91</x:v>
      </x:c>
    </x:row>
    <x:row r="1853" ht="42" customHeight="1">
      <x:c r="A1853" s="7" t="str">
        <x:v>DP5-B</x:v>
      </x:c>
      <x:c r="B1853" s="7" t="str">
        <x:v>U03</x:v>
      </x:c>
      <x:c r="C1853" s="7" t="str">
        <x:v>response_audio</x:v>
      </x:c>
      <x:c r="D1853" s="7" t="str">
        <x:v>선택한 응답 음성 생성</x:v>
      </x:c>
      <x:c r="E1853" s="7" t="str">
        <x:v>via</x:v>
      </x:c>
      <x:c r="F1853" s="14" t="n">
        <x:v>2.87</x:v>
      </x:c>
      <x:c r="G1853" s="14" t="n">
        <x:v>4.758</x:v>
      </x:c>
      <x:c r="H1853" s="14" t="n">
        <x:v>1.888</x:v>
      </x:c>
      <x:c r="I1853" s="14" t="n">
        <x:v>0</x:v>
      </x:c>
      <x:c r="J1853" s="7" t="str">
        <x:v>long_work</x:v>
      </x:c>
      <x:c r="K1853" s="7" t="str">
        <x:v>speech</x:v>
      </x:c>
      <x:c r="L1853" s="14" t="n">
        <x:f>IF(G1853&lt;=I1853,0,MAX(0,L1851)+IF(E1853="via",MAX(0,G1853-MAX(F1853,I1853)),0))</x:f>
        <x:v>4.758</x:v>
      </x:c>
    </x:row>
    <x:row r="1854" ht="42" customHeight="1">
      <x:c r="A1854" s="12" t="str">
        <x:v>DP5-B</x:v>
      </x:c>
      <x:c r="B1854" s="12" t="str">
        <x:v>U03</x:v>
      </x:c>
      <x:c r="C1854" s="12" t="str">
        <x:v>intent_audio</x:v>
      </x:c>
      <x:c r="D1854" s="12" t="str">
        <x:v>채택한 구체적 수행 의도의 짧은 음성</x:v>
      </x:c>
      <x:c r="E1854" s="12" t="str">
        <x:v>via</x:v>
      </x:c>
      <x:c r="F1854" s="13" t="n">
        <x:v>1.2700000000000002</x:v>
      </x:c>
      <x:c r="G1854" s="13" t="n">
        <x:v>2.404</x:v>
      </x:c>
      <x:c r="H1854" s="13" t="n">
        <x:v>1.134</x:v>
      </x:c>
      <x:c r="I1854" s="13" t="n">
        <x:v>0</x:v>
      </x:c>
      <x:c r="J1854" s="12" t="str">
        <x:v>adopt</x:v>
      </x:c>
      <x:c r="K1854" s="12" t="str">
        <x:v>speech</x:v>
      </x:c>
      <x:c r="L1854" s="13" t="n">
        <x:f>IF(G1854&lt;=I1854,0,MAX(0,L1849)+IF(E1854="via",MAX(0,G1854-MAX(F1854,I1854)),0))</x:f>
        <x:v>2.404</x:v>
      </x:c>
    </x:row>
    <x:row r="1855" ht="42" customHeight="1">
      <x:c r="A1855" s="7" t="str">
        <x:v>DP5-B</x:v>
      </x:c>
      <x:c r="B1855" s="7" t="str">
        <x:v>U03</x:v>
      </x:c>
      <x:c r="C1855" s="7" t="str">
        <x:v>first_chunk</x:v>
      </x:c>
      <x:c r="D1855" s="7" t="str">
        <x:v>같은 생성 job의 유효 첫 chunk 관측</x:v>
      </x:c>
      <x:c r="E1855" s="7" t="str">
        <x:v>via</x:v>
      </x:c>
      <x:c r="F1855" s="14" t="n">
        <x:v>1.2700000000000002</x:v>
      </x:c>
      <x:c r="G1855" s="14" t="n">
        <x:v>1.7040000000000002</x:v>
      </x:c>
      <x:c r="H1855" s="14" t="n">
        <x:v>0.434</x:v>
      </x:c>
      <x:c r="I1855" s="14" t="n">
        <x:v>0</x:v>
      </x:c>
      <x:c r="J1855" s="7" t="str">
        <x:v>adopt</x:v>
      </x:c>
      <x:c r="K1855" s="7" t="str">
        <x:v>none</x:v>
      </x:c>
      <x:c r="L1855" s="14" t="n">
        <x:f>IF(G1855&lt;=I1855,0,MAX(0,L1849)+IF(E1855="via",MAX(0,G1855-MAX(F1855,I1855)),0))</x:f>
        <x:v>1.7040000000000002</x:v>
      </x:c>
    </x:row>
    <x:row r="1856" ht="42" customHeight="1">
      <x:c r="A1856" s="12" t="str">
        <x:v>DP5-B</x:v>
      </x:c>
      <x:c r="B1856" s="12" t="str">
        <x:v>U03</x:v>
      </x:c>
      <x:c r="C1856" s="12" t="str">
        <x:v>first_audio_output</x:v>
      </x:c>
      <x:c r="D1856" s="12" t="str">
        <x:v>공통 장치의 첫 음성 출력</x:v>
      </x:c>
      <x:c r="E1856" s="12" t="str">
        <x:v>via</x:v>
      </x:c>
      <x:c r="F1856" s="13" t="n">
        <x:v>1.7040000000000002</x:v>
      </x:c>
      <x:c r="G1856" s="13" t="n">
        <x:v>1.7440000000000002</x:v>
      </x:c>
      <x:c r="H1856" s="13" t="n">
        <x:v>0.04</x:v>
      </x:c>
      <x:c r="I1856" s="13" t="n">
        <x:v>0</x:v>
      </x:c>
      <x:c r="J1856" s="12" t="str">
        <x:v>adopt, first_chunk</x:v>
      </x:c>
      <x:c r="K1856" s="12" t="str">
        <x:v>none</x:v>
      </x:c>
      <x:c r="L1856" s="13" t="n">
        <x:f>IF(G1856&lt;=I1856,0,MAX(0,L1849,L1855)+IF(E1856="via",MAX(0,G1856-MAX(F1856,I1856)),0))</x:f>
        <x:v>1.7440000000000002</x:v>
      </x:c>
    </x:row>
    <x:row r="1857" ht="42" customHeight="1">
      <x:c r="A1857" s="7" t="str">
        <x:v>DP5-B</x:v>
      </x:c>
      <x:c r="B1857" s="7" t="str">
        <x:v>U03</x:v>
      </x:c>
      <x:c r="C1857" s="7" t="str">
        <x:v>next_speech_selection</x:v>
      </x:c>
      <x:c r="D1857" s="7" t="str">
        <x:v>현재 발화 재생 후 다음 응답 선택</x:v>
      </x:c>
      <x:c r="E1857" s="7" t="str">
        <x:v>external</x:v>
      </x:c>
      <x:c r="F1857" s="14" t="n">
        <x:v>1.7440000000000002</x:v>
      </x:c>
      <x:c r="G1857" s="14" t="n">
        <x:v>4.744</x:v>
      </x:c>
      <x:c r="H1857" s="14" t="n">
        <x:v>3</x:v>
      </x:c>
      <x:c r="I1857" s="14" t="n">
        <x:v>0</x:v>
      </x:c>
      <x:c r="J1857" s="7" t="str">
        <x:v>first_audio_output</x:v>
      </x:c>
      <x:c r="K1857" s="7" t="str">
        <x:v>none</x:v>
      </x:c>
      <x:c r="L1857" s="14" t="n">
        <x:f>IF(G1857&lt;=I1857,0,MAX(0,L1856)+IF(E1857="via",MAX(0,G1857-MAX(F1857,I1857)),0))</x:f>
        <x:v>1.7440000000000002</x:v>
      </x:c>
    </x:row>
    <x:row r="1858" ht="42" customHeight="1">
      <x:c r="A1858" s="12" t="str">
        <x:v>DP5-B</x:v>
      </x:c>
      <x:c r="B1858" s="12" t="str">
        <x:v>U03</x:v>
      </x:c>
      <x:c r="C1858" s="12" t="str">
        <x:v>terminal</x:v>
      </x:c>
      <x:c r="D1858" s="12" t="str">
        <x:v>공통 목표 최종 상태와 전체 음성 준비</x:v>
      </x:c>
      <x:c r="E1858" s="12" t="str">
        <x:v>via</x:v>
      </x:c>
      <x:c r="F1858" s="13" t="n">
        <x:v>4.758</x:v>
      </x:c>
      <x:c r="G1858" s="13" t="n">
        <x:v>4.758</x:v>
      </x:c>
      <x:c r="H1858" s="13" t="n">
        <x:v>0</x:v>
      </x:c>
      <x:c r="I1858" s="13" t="n">
        <x:v>0</x:v>
      </x:c>
      <x:c r="J1858" s="12" t="str">
        <x:v>result_display, response_audio, intent_audio, first_audio_output</x:v>
      </x:c>
      <x:c r="K1858" s="12" t="str">
        <x:v>none</x:v>
      </x:c>
      <x:c r="L1858" s="13" t="n">
        <x:f>IF(G1858&lt;=I1858,0,MAX(0,L1852,L1853,L1854,L1856)+IF(E1858="via",MAX(0,G1858-MAX(F1858,I1858)),0))</x:f>
        <x:v>4.758</x:v>
      </x:c>
    </x:row>
    <x:row r="1859" ht="42" customHeight="1">
      <x:c r="A1859" s="7" t="str">
        <x:v>DP5-B</x:v>
      </x:c>
      <x:c r="B1859" s="7" t="str">
        <x:v>U04</x:v>
      </x:c>
      <x:c r="C1859" s="7" t="str">
        <x:v>input_end</x:v>
      </x:c>
      <x:c r="D1859" s="7" t="str">
        <x:v>사용자 입력 종료</x:v>
      </x:c>
      <x:c r="E1859" s="7" t="str">
        <x:v>external</x:v>
      </x:c>
      <x:c r="F1859" s="14" t="n">
        <x:v>0</x:v>
      </x:c>
      <x:c r="G1859" s="14" t="n">
        <x:v>0</x:v>
      </x:c>
      <x:c r="H1859" s="14" t="n">
        <x:v>0</x:v>
      </x:c>
      <x:c r="I1859" s="14" t="n">
        <x:v>0</x:v>
      </x:c>
      <x:c r="J1859" s="7" t="str"/>
      <x:c r="K1859" s="7" t="str">
        <x:v>none</x:v>
      </x:c>
      <x:c r="L1859" s="14" t="n">
        <x:f>IF(G1859&lt;=I1859,0,MAX(0)+IF(E1859="via",MAX(0,G1859-MAX(F1859,I1859)),0))</x:f>
        <x:v>0</x:v>
      </x:c>
    </x:row>
    <x:row r="1860" ht="42" customHeight="1">
      <x:c r="A1860" s="12" t="str">
        <x:v>DP5-B</x:v>
      </x:c>
      <x:c r="B1860" s="12" t="str">
        <x:v>U04</x:v>
      </x:c>
      <x:c r="C1860" s="12" t="str">
        <x:v>intake</x:v>
      </x:c>
      <x:c r="D1860" s="12" t="str">
        <x:v>입력 확정</x:v>
      </x:c>
      <x:c r="E1860" s="12" t="str">
        <x:v>via</x:v>
      </x:c>
      <x:c r="F1860" s="13" t="n">
        <x:v>0</x:v>
      </x:c>
      <x:c r="G1860" s="13" t="n">
        <x:v>0.3</x:v>
      </x:c>
      <x:c r="H1860" s="13" t="n">
        <x:v>0.3</x:v>
      </x:c>
      <x:c r="I1860" s="13" t="n">
        <x:v>0</x:v>
      </x:c>
      <x:c r="J1860" s="12" t="str">
        <x:v>input_end</x:v>
      </x:c>
      <x:c r="K1860" s="12" t="str">
        <x:v>none</x:v>
      </x:c>
      <x:c r="L1860" s="13" t="n">
        <x:f>IF(G1860&lt;=I1860,0,MAX(0,L1859)+IF(E1860="via",MAX(0,G1860-MAX(F1860,I1860)),0))</x:f>
        <x:v>0.3</x:v>
      </x:c>
    </x:row>
    <x:row r="1861" ht="42" customHeight="1">
      <x:c r="A1861" s="7" t="str">
        <x:v>DP5-B</x:v>
      </x:c>
      <x:c r="B1861" s="7" t="str">
        <x:v>U04</x:v>
      </x:c>
      <x:c r="C1861" s="7" t="str">
        <x:v>read</x:v>
      </x:c>
      <x:c r="D1861" s="7" t="str">
        <x:v>공통 허용 원본 조회</x:v>
      </x:c>
      <x:c r="E1861" s="7" t="str">
        <x:v>via</x:v>
      </x:c>
      <x:c r="F1861" s="14" t="n">
        <x:v>0.3</x:v>
      </x:c>
      <x:c r="G1861" s="14" t="n">
        <x:v>0.38</x:v>
      </x:c>
      <x:c r="H1861" s="14" t="n">
        <x:v>0.08</x:v>
      </x:c>
      <x:c r="I1861" s="14" t="n">
        <x:v>0</x:v>
      </x:c>
      <x:c r="J1861" s="7" t="str">
        <x:v>intake</x:v>
      </x:c>
      <x:c r="K1861" s="7" t="str">
        <x:v>none</x:v>
      </x:c>
      <x:c r="L1861" s="14" t="n">
        <x:f>IF(G1861&lt;=I1861,0,MAX(0,L1860)+IF(E1861="via",MAX(0,G1861-MAX(F1861,I1861)),0))</x:f>
        <x:v>0.38</x:v>
      </x:c>
    </x:row>
    <x:row r="1862" ht="42" customHeight="1">
      <x:c r="A1862" s="12" t="str">
        <x:v>DP5-B</x:v>
      </x:c>
      <x:c r="B1862" s="12" t="str">
        <x:v>U04</x:v>
      </x:c>
      <x:c r="C1862" s="12" t="str">
        <x:v>meaning</x:v>
      </x:c>
      <x:c r="D1862" s="12" t="str">
        <x:v>최초 요청 의미 채택 packet 생성</x:v>
      </x:c>
      <x:c r="E1862" s="12" t="str">
        <x:v>via</x:v>
      </x:c>
      <x:c r="F1862" s="13" t="n">
        <x:v>0.38</x:v>
      </x:c>
      <x:c r="G1862" s="13" t="n">
        <x:v>1.48</x:v>
      </x:c>
      <x:c r="H1862" s="13" t="n">
        <x:v>1.1</x:v>
      </x:c>
      <x:c r="I1862" s="13" t="n">
        <x:v>0</x:v>
      </x:c>
      <x:c r="J1862" s="12" t="str">
        <x:v>read</x:v>
      </x:c>
      <x:c r="K1862" s="12" t="str">
        <x:v>semantic</x:v>
      </x:c>
      <x:c r="L1862" s="13" t="n">
        <x:f>IF(G1862&lt;=I1862,0,MAX(0,L1861)+IF(E1862="via",MAX(0,G1862-MAX(F1862,I1862)),0))</x:f>
        <x:v>1.48</x:v>
      </x:c>
    </x:row>
    <x:row r="1863" ht="42" customHeight="1">
      <x:c r="A1863" s="7" t="str">
        <x:v>DP5-B</x:v>
      </x:c>
      <x:c r="B1863" s="7" t="str">
        <x:v>U04</x:v>
      </x:c>
      <x:c r="C1863" s="7" t="str">
        <x:v>adopt</x:v>
      </x:c>
      <x:c r="D1863" s="7" t="str">
        <x:v>현재 revision과 권한 검사 및 채택</x:v>
      </x:c>
      <x:c r="E1863" s="7" t="str">
        <x:v>via</x:v>
      </x:c>
      <x:c r="F1863" s="14" t="n">
        <x:v>1.48</x:v>
      </x:c>
      <x:c r="G1863" s="14" t="n">
        <x:v>1.51</x:v>
      </x:c>
      <x:c r="H1863" s="14" t="n">
        <x:v>0.03</x:v>
      </x:c>
      <x:c r="I1863" s="14" t="n">
        <x:v>0</x:v>
      </x:c>
      <x:c r="J1863" s="7" t="str">
        <x:v>meaning</x:v>
      </x:c>
      <x:c r="K1863" s="7" t="str">
        <x:v>none</x:v>
      </x:c>
      <x:c r="L1863" s="14" t="n">
        <x:f>IF(G1863&lt;=I1863,0,MAX(0,L1862)+IF(E1863="via",MAX(0,G1863-MAX(F1863,I1863)),0))</x:f>
        <x:v>1.51</x:v>
      </x:c>
    </x:row>
    <x:row r="1864" ht="42" customHeight="1">
      <x:c r="A1864" s="12" t="str">
        <x:v>DP5-B</x:v>
      </x:c>
      <x:c r="B1864" s="12" t="str">
        <x:v>U04</x:v>
      </x:c>
      <x:c r="C1864" s="12" t="str">
        <x:v>first_display</x:v>
      </x:c>
      <x:c r="D1864" s="12" t="str">
        <x:v>첫 구체적 채택 내용 화면 표시</x:v>
      </x:c>
      <x:c r="E1864" s="12" t="str">
        <x:v>via</x:v>
      </x:c>
      <x:c r="F1864" s="13" t="n">
        <x:v>1.51</x:v>
      </x:c>
      <x:c r="G1864" s="13" t="n">
        <x:v>1.55</x:v>
      </x:c>
      <x:c r="H1864" s="13" t="n">
        <x:v>0.04</x:v>
      </x:c>
      <x:c r="I1864" s="13" t="n">
        <x:v>0</x:v>
      </x:c>
      <x:c r="J1864" s="12" t="str">
        <x:v>adopt</x:v>
      </x:c>
      <x:c r="K1864" s="12" t="str">
        <x:v>none</x:v>
      </x:c>
      <x:c r="L1864" s="13" t="n">
        <x:f>IF(G1864&lt;=I1864,0,MAX(0,L1863)+IF(E1864="via",MAX(0,G1864-MAX(F1864,I1864)),0))</x:f>
        <x:v>1.55</x:v>
      </x:c>
    </x:row>
    <x:row r="1865" ht="42" customHeight="1">
      <x:c r="A1865" s="7" t="str">
        <x:v>DP5-B</x:v>
      </x:c>
      <x:c r="B1865" s="7" t="str">
        <x:v>U04</x:v>
      </x:c>
      <x:c r="C1865" s="7" t="str">
        <x:v>response_audio</x:v>
      </x:c>
      <x:c r="D1865" s="7" t="str">
        <x:v>선택한 응답 음성 생성</x:v>
      </x:c>
      <x:c r="E1865" s="7" t="str">
        <x:v>via</x:v>
      </x:c>
      <x:c r="F1865" s="14" t="n">
        <x:v>1.51</x:v>
      </x:c>
      <x:c r="G1865" s="14" t="n">
        <x:v>3.3979999999999997</x:v>
      </x:c>
      <x:c r="H1865" s="14" t="n">
        <x:v>1.888</x:v>
      </x:c>
      <x:c r="I1865" s="14" t="n">
        <x:v>0</x:v>
      </x:c>
      <x:c r="J1865" s="7" t="str">
        <x:v>adopt</x:v>
      </x:c>
      <x:c r="K1865" s="7" t="str">
        <x:v>speech</x:v>
      </x:c>
      <x:c r="L1865" s="14" t="n">
        <x:f>IF(G1865&lt;=I1865,0,MAX(0,L1863)+IF(E1865="via",MAX(0,G1865-MAX(F1865,I1865)),0))</x:f>
        <x:v>3.3979999999999997</x:v>
      </x:c>
    </x:row>
    <x:row r="1866" ht="42" customHeight="1">
      <x:c r="A1866" s="12" t="str">
        <x:v>DP5-B</x:v>
      </x:c>
      <x:c r="B1866" s="12" t="str">
        <x:v>U04</x:v>
      </x:c>
      <x:c r="C1866" s="12" t="str">
        <x:v>first_chunk</x:v>
      </x:c>
      <x:c r="D1866" s="12" t="str">
        <x:v>같은 생성 job의 유효 첫 chunk 관측</x:v>
      </x:c>
      <x:c r="E1866" s="12" t="str">
        <x:v>via</x:v>
      </x:c>
      <x:c r="F1866" s="13" t="n">
        <x:v>1.51</x:v>
      </x:c>
      <x:c r="G1866" s="13" t="n">
        <x:v>1.948</x:v>
      </x:c>
      <x:c r="H1866" s="13" t="n">
        <x:v>0.438</x:v>
      </x:c>
      <x:c r="I1866" s="13" t="n">
        <x:v>0</x:v>
      </x:c>
      <x:c r="J1866" s="12" t="str">
        <x:v>adopt</x:v>
      </x:c>
      <x:c r="K1866" s="12" t="str">
        <x:v>none</x:v>
      </x:c>
      <x:c r="L1866" s="13" t="n">
        <x:f>IF(G1866&lt;=I1866,0,MAX(0,L1863)+IF(E1866="via",MAX(0,G1866-MAX(F1866,I1866)),0))</x:f>
        <x:v>1.948</x:v>
      </x:c>
    </x:row>
    <x:row r="1867" ht="42" customHeight="1">
      <x:c r="A1867" s="7" t="str">
        <x:v>DP5-B</x:v>
      </x:c>
      <x:c r="B1867" s="7" t="str">
        <x:v>U04</x:v>
      </x:c>
      <x:c r="C1867" s="7" t="str">
        <x:v>first_audio_output</x:v>
      </x:c>
      <x:c r="D1867" s="7" t="str">
        <x:v>공통 장치의 첫 음성 출력</x:v>
      </x:c>
      <x:c r="E1867" s="7" t="str">
        <x:v>via</x:v>
      </x:c>
      <x:c r="F1867" s="14" t="n">
        <x:v>1.948</x:v>
      </x:c>
      <x:c r="G1867" s="14" t="n">
        <x:v>1.988</x:v>
      </x:c>
      <x:c r="H1867" s="14" t="n">
        <x:v>0.04</x:v>
      </x:c>
      <x:c r="I1867" s="14" t="n">
        <x:v>0</x:v>
      </x:c>
      <x:c r="J1867" s="7" t="str">
        <x:v>adopt, first_chunk</x:v>
      </x:c>
      <x:c r="K1867" s="7" t="str">
        <x:v>none</x:v>
      </x:c>
      <x:c r="L1867" s="14" t="n">
        <x:f>IF(G1867&lt;=I1867,0,MAX(0,L1863,L1866)+IF(E1867="via",MAX(0,G1867-MAX(F1867,I1867)),0))</x:f>
        <x:v>1.988</x:v>
      </x:c>
    </x:row>
    <x:row r="1868" ht="42" customHeight="1">
      <x:c r="A1868" s="12" t="str">
        <x:v>DP5-B</x:v>
      </x:c>
      <x:c r="B1868" s="12" t="str">
        <x:v>U04</x:v>
      </x:c>
      <x:c r="C1868" s="12" t="str">
        <x:v>terminal</x:v>
      </x:c>
      <x:c r="D1868" s="12" t="str">
        <x:v>공통 목표 최종 상태와 전체 음성 준비</x:v>
      </x:c>
      <x:c r="E1868" s="12" t="str">
        <x:v>via</x:v>
      </x:c>
      <x:c r="F1868" s="13" t="n">
        <x:v>3.3979999999999997</x:v>
      </x:c>
      <x:c r="G1868" s="13" t="n">
        <x:v>3.3979999999999997</x:v>
      </x:c>
      <x:c r="H1868" s="13" t="n">
        <x:v>0</x:v>
      </x:c>
      <x:c r="I1868" s="13" t="n">
        <x:v>0</x:v>
      </x:c>
      <x:c r="J1868" s="12" t="str">
        <x:v>first_display, response_audio, first_audio_output</x:v>
      </x:c>
      <x:c r="K1868" s="12" t="str">
        <x:v>none</x:v>
      </x:c>
      <x:c r="L1868" s="13" t="n">
        <x:f>IF(G1868&lt;=I1868,0,MAX(0,L1864,L1865,L1867)+IF(E1868="via",MAX(0,G1868-MAX(F1868,I1868)),0))</x:f>
        <x:v>3.3979999999999997</x:v>
      </x:c>
    </x:row>
    <x:row r="1869" ht="42" customHeight="1">
      <x:c r="A1869" s="7" t="str">
        <x:v>DP5-B</x:v>
      </x:c>
      <x:c r="B1869" s="7" t="str">
        <x:v>U05</x:v>
      </x:c>
      <x:c r="C1869" s="7" t="str">
        <x:v>bg1</x:v>
      </x:c>
      <x:c r="D1869" s="7" t="str">
        <x:v>진행 중인 현재 대화의 의미 step</x:v>
      </x:c>
      <x:c r="E1869" s="7" t="str">
        <x:v>via</x:v>
      </x:c>
      <x:c r="F1869" s="14" t="n">
        <x:v>-1</x:v>
      </x:c>
      <x:c r="G1869" s="14" t="n">
        <x:v>2.4</x:v>
      </x:c>
      <x:c r="H1869" s="14" t="n">
        <x:v>3.4</x:v>
      </x:c>
      <x:c r="I1869" s="14" t="n">
        <x:v>0</x:v>
      </x:c>
      <x:c r="J1869" s="7" t="str"/>
      <x:c r="K1869" s="7" t="str">
        <x:v>semantic</x:v>
      </x:c>
      <x:c r="L1869" s="14" t="n">
        <x:f>IF(G1869&lt;=I1869,0,MAX(0)+IF(E1869="via",MAX(0,G1869-MAX(F1869,I1869)),0))</x:f>
        <x:v>2.4</x:v>
      </x:c>
    </x:row>
    <x:row r="1870" ht="42" customHeight="1">
      <x:c r="A1870" s="12" t="str">
        <x:v>DP5-B</x:v>
      </x:c>
      <x:c r="B1870" s="12" t="str">
        <x:v>U05</x:v>
      </x:c>
      <x:c r="C1870" s="12" t="str">
        <x:v>input_end</x:v>
      </x:c>
      <x:c r="D1870" s="12" t="str">
        <x:v>사용자 입력 종료</x:v>
      </x:c>
      <x:c r="E1870" s="12" t="str">
        <x:v>external</x:v>
      </x:c>
      <x:c r="F1870" s="13" t="n">
        <x:v>0</x:v>
      </x:c>
      <x:c r="G1870" s="13" t="n">
        <x:v>0</x:v>
      </x:c>
      <x:c r="H1870" s="13" t="n">
        <x:v>0</x:v>
      </x:c>
      <x:c r="I1870" s="13" t="n">
        <x:v>0</x:v>
      </x:c>
      <x:c r="J1870" s="12" t="str"/>
      <x:c r="K1870" s="12" t="str">
        <x:v>none</x:v>
      </x:c>
      <x:c r="L1870" s="13" t="n">
        <x:f>IF(G1870&lt;=I1870,0,MAX(0)+IF(E1870="via",MAX(0,G1870-MAX(F1870,I1870)),0))</x:f>
        <x:v>0</x:v>
      </x:c>
    </x:row>
    <x:row r="1871" ht="42" customHeight="1">
      <x:c r="A1871" s="7" t="str">
        <x:v>DP5-B</x:v>
      </x:c>
      <x:c r="B1871" s="7" t="str">
        <x:v>U05</x:v>
      </x:c>
      <x:c r="C1871" s="7" t="str">
        <x:v>intake</x:v>
      </x:c>
      <x:c r="D1871" s="7" t="str">
        <x:v>입력 확정</x:v>
      </x:c>
      <x:c r="E1871" s="7" t="str">
        <x:v>via</x:v>
      </x:c>
      <x:c r="F1871" s="14" t="n">
        <x:v>0</x:v>
      </x:c>
      <x:c r="G1871" s="14" t="n">
        <x:v>0.3</x:v>
      </x:c>
      <x:c r="H1871" s="14" t="n">
        <x:v>0.3</x:v>
      </x:c>
      <x:c r="I1871" s="14" t="n">
        <x:v>0</x:v>
      </x:c>
      <x:c r="J1871" s="7" t="str">
        <x:v>input_end</x:v>
      </x:c>
      <x:c r="K1871" s="7" t="str">
        <x:v>none</x:v>
      </x:c>
      <x:c r="L1871" s="14" t="n">
        <x:f>IF(G1871&lt;=I1871,0,MAX(0,L1870)+IF(E1871="via",MAX(0,G1871-MAX(F1871,I1871)),0))</x:f>
        <x:v>0.3</x:v>
      </x:c>
    </x:row>
    <x:row r="1872" ht="42" customHeight="1">
      <x:c r="A1872" s="12" t="str">
        <x:v>DP5-B</x:v>
      </x:c>
      <x:c r="B1872" s="12" t="str">
        <x:v>U05</x:v>
      </x:c>
      <x:c r="C1872" s="12" t="str">
        <x:v>read</x:v>
      </x:c>
      <x:c r="D1872" s="12" t="str">
        <x:v>공통 허용 원본 조회</x:v>
      </x:c>
      <x:c r="E1872" s="12" t="str">
        <x:v>via</x:v>
      </x:c>
      <x:c r="F1872" s="13" t="n">
        <x:v>0.3</x:v>
      </x:c>
      <x:c r="G1872" s="13" t="n">
        <x:v>0.38</x:v>
      </x:c>
      <x:c r="H1872" s="13" t="n">
        <x:v>0.08</x:v>
      </x:c>
      <x:c r="I1872" s="13" t="n">
        <x:v>0</x:v>
      </x:c>
      <x:c r="J1872" s="12" t="str">
        <x:v>intake</x:v>
      </x:c>
      <x:c r="K1872" s="12" t="str">
        <x:v>none</x:v>
      </x:c>
      <x:c r="L1872" s="13" t="n">
        <x:f>IF(G1872&lt;=I1872,0,MAX(0,L1871)+IF(E1872="via",MAX(0,G1872-MAX(F1872,I1872)),0))</x:f>
        <x:v>0.38</x:v>
      </x:c>
    </x:row>
    <x:row r="1873" ht="42" customHeight="1">
      <x:c r="A1873" s="7" t="str">
        <x:v>DP5-B</x:v>
      </x:c>
      <x:c r="B1873" s="7" t="str">
        <x:v>U05</x:v>
      </x:c>
      <x:c r="C1873" s="7" t="str">
        <x:v>meaning</x:v>
      </x:c>
      <x:c r="D1873" s="7" t="str">
        <x:v>최초 요청 의미 채택 packet 생성</x:v>
      </x:c>
      <x:c r="E1873" s="7" t="str">
        <x:v>via</x:v>
      </x:c>
      <x:c r="F1873" s="14" t="n">
        <x:v>2.4</x:v>
      </x:c>
      <x:c r="G1873" s="14" t="n">
        <x:v>3.5</x:v>
      </x:c>
      <x:c r="H1873" s="14" t="n">
        <x:v>1.1</x:v>
      </x:c>
      <x:c r="I1873" s="14" t="n">
        <x:v>0</x:v>
      </x:c>
      <x:c r="J1873" s="7" t="str">
        <x:v>read, bg1</x:v>
      </x:c>
      <x:c r="K1873" s="7" t="str">
        <x:v>semantic</x:v>
      </x:c>
      <x:c r="L1873" s="14" t="n">
        <x:f>IF(G1873&lt;=I1873,0,MAX(0,L1872,L1869)+IF(E1873="via",MAX(0,G1873-MAX(F1873,I1873)),0))</x:f>
        <x:v>3.5</x:v>
      </x:c>
    </x:row>
    <x:row r="1874" ht="42" customHeight="1">
      <x:c r="A1874" s="12" t="str">
        <x:v>DP5-B</x:v>
      </x:c>
      <x:c r="B1874" s="12" t="str">
        <x:v>U05</x:v>
      </x:c>
      <x:c r="C1874" s="12" t="str">
        <x:v>adopt</x:v>
      </x:c>
      <x:c r="D1874" s="12" t="str">
        <x:v>현재 revision과 권한 검사 및 채택</x:v>
      </x:c>
      <x:c r="E1874" s="12" t="str">
        <x:v>via</x:v>
      </x:c>
      <x:c r="F1874" s="13" t="n">
        <x:v>3.5</x:v>
      </x:c>
      <x:c r="G1874" s="13" t="n">
        <x:v>3.53</x:v>
      </x:c>
      <x:c r="H1874" s="13" t="n">
        <x:v>0.03</x:v>
      </x:c>
      <x:c r="I1874" s="13" t="n">
        <x:v>0</x:v>
      </x:c>
      <x:c r="J1874" s="12" t="str">
        <x:v>meaning</x:v>
      </x:c>
      <x:c r="K1874" s="12" t="str">
        <x:v>none</x:v>
      </x:c>
      <x:c r="L1874" s="13" t="n">
        <x:f>IF(G1874&lt;=I1874,0,MAX(0,L1873)+IF(E1874="via",MAX(0,G1874-MAX(F1874,I1874)),0))</x:f>
        <x:v>3.53</x:v>
      </x:c>
    </x:row>
    <x:row r="1875" ht="42" customHeight="1">
      <x:c r="A1875" s="7" t="str">
        <x:v>DP5-B</x:v>
      </x:c>
      <x:c r="B1875" s="7" t="str">
        <x:v>U05</x:v>
      </x:c>
      <x:c r="C1875" s="7" t="str">
        <x:v>first_display</x:v>
      </x:c>
      <x:c r="D1875" s="7" t="str">
        <x:v>첫 구체적 채택 내용 화면 표시</x:v>
      </x:c>
      <x:c r="E1875" s="7" t="str">
        <x:v>via</x:v>
      </x:c>
      <x:c r="F1875" s="14" t="n">
        <x:v>3.53</x:v>
      </x:c>
      <x:c r="G1875" s="14" t="n">
        <x:v>3.57</x:v>
      </x:c>
      <x:c r="H1875" s="14" t="n">
        <x:v>0.04</x:v>
      </x:c>
      <x:c r="I1875" s="14" t="n">
        <x:v>0</x:v>
      </x:c>
      <x:c r="J1875" s="7" t="str">
        <x:v>adopt</x:v>
      </x:c>
      <x:c r="K1875" s="7" t="str">
        <x:v>none</x:v>
      </x:c>
      <x:c r="L1875" s="14" t="n">
        <x:f>IF(G1875&lt;=I1875,0,MAX(0,L1874)+IF(E1875="via",MAX(0,G1875-MAX(F1875,I1875)),0))</x:f>
        <x:v>3.57</x:v>
      </x:c>
    </x:row>
    <x:row r="1876" ht="42" customHeight="1">
      <x:c r="A1876" s="12" t="str">
        <x:v>DP5-B</x:v>
      </x:c>
      <x:c r="B1876" s="12" t="str">
        <x:v>U05</x:v>
      </x:c>
      <x:c r="C1876" s="12" t="str">
        <x:v>response_audio</x:v>
      </x:c>
      <x:c r="D1876" s="12" t="str">
        <x:v>선택한 응답 음성 생성</x:v>
      </x:c>
      <x:c r="E1876" s="12" t="str">
        <x:v>via</x:v>
      </x:c>
      <x:c r="F1876" s="13" t="n">
        <x:v>3.53</x:v>
      </x:c>
      <x:c r="G1876" s="13" t="n">
        <x:v>5.417999999999999</x:v>
      </x:c>
      <x:c r="H1876" s="13" t="n">
        <x:v>1.888</x:v>
      </x:c>
      <x:c r="I1876" s="13" t="n">
        <x:v>0</x:v>
      </x:c>
      <x:c r="J1876" s="12" t="str">
        <x:v>adopt</x:v>
      </x:c>
      <x:c r="K1876" s="12" t="str">
        <x:v>speech</x:v>
      </x:c>
      <x:c r="L1876" s="13" t="n">
        <x:f>IF(G1876&lt;=I1876,0,MAX(0,L1874)+IF(E1876="via",MAX(0,G1876-MAX(F1876,I1876)),0))</x:f>
        <x:v>5.417999999999999</x:v>
      </x:c>
    </x:row>
    <x:row r="1877" ht="42" customHeight="1">
      <x:c r="A1877" s="7" t="str">
        <x:v>DP5-B</x:v>
      </x:c>
      <x:c r="B1877" s="7" t="str">
        <x:v>U05</x:v>
      </x:c>
      <x:c r="C1877" s="7" t="str">
        <x:v>first_chunk</x:v>
      </x:c>
      <x:c r="D1877" s="7" t="str">
        <x:v>같은 생성 job의 유효 첫 chunk 관측</x:v>
      </x:c>
      <x:c r="E1877" s="7" t="str">
        <x:v>via</x:v>
      </x:c>
      <x:c r="F1877" s="14" t="n">
        <x:v>3.53</x:v>
      </x:c>
      <x:c r="G1877" s="14" t="n">
        <x:v>3.968</x:v>
      </x:c>
      <x:c r="H1877" s="14" t="n">
        <x:v>0.438</x:v>
      </x:c>
      <x:c r="I1877" s="14" t="n">
        <x:v>0</x:v>
      </x:c>
      <x:c r="J1877" s="7" t="str">
        <x:v>adopt</x:v>
      </x:c>
      <x:c r="K1877" s="7" t="str">
        <x:v>none</x:v>
      </x:c>
      <x:c r="L1877" s="14" t="n">
        <x:f>IF(G1877&lt;=I1877,0,MAX(0,L1874)+IF(E1877="via",MAX(0,G1877-MAX(F1877,I1877)),0))</x:f>
        <x:v>3.968</x:v>
      </x:c>
    </x:row>
    <x:row r="1878" ht="42" customHeight="1">
      <x:c r="A1878" s="12" t="str">
        <x:v>DP5-B</x:v>
      </x:c>
      <x:c r="B1878" s="12" t="str">
        <x:v>U05</x:v>
      </x:c>
      <x:c r="C1878" s="12" t="str">
        <x:v>first_audio_output</x:v>
      </x:c>
      <x:c r="D1878" s="12" t="str">
        <x:v>공통 장치의 첫 음성 출력</x:v>
      </x:c>
      <x:c r="E1878" s="12" t="str">
        <x:v>via</x:v>
      </x:c>
      <x:c r="F1878" s="13" t="n">
        <x:v>3.968</x:v>
      </x:c>
      <x:c r="G1878" s="13" t="n">
        <x:v>4.008</x:v>
      </x:c>
      <x:c r="H1878" s="13" t="n">
        <x:v>0.04</x:v>
      </x:c>
      <x:c r="I1878" s="13" t="n">
        <x:v>0</x:v>
      </x:c>
      <x:c r="J1878" s="12" t="str">
        <x:v>adopt, first_chunk</x:v>
      </x:c>
      <x:c r="K1878" s="12" t="str">
        <x:v>none</x:v>
      </x:c>
      <x:c r="L1878" s="13" t="n">
        <x:f>IF(G1878&lt;=I1878,0,MAX(0,L1874,L1877)+IF(E1878="via",MAX(0,G1878-MAX(F1878,I1878)),0))</x:f>
        <x:v>4.008</x:v>
      </x:c>
    </x:row>
    <x:row r="1879" ht="42" customHeight="1">
      <x:c r="A1879" s="7" t="str">
        <x:v>DP5-B</x:v>
      </x:c>
      <x:c r="B1879" s="7" t="str">
        <x:v>U05</x:v>
      </x:c>
      <x:c r="C1879" s="7" t="str">
        <x:v>terminal</x:v>
      </x:c>
      <x:c r="D1879" s="7" t="str">
        <x:v>공통 목표 최종 상태와 전체 음성 준비</x:v>
      </x:c>
      <x:c r="E1879" s="7" t="str">
        <x:v>via</x:v>
      </x:c>
      <x:c r="F1879" s="14" t="n">
        <x:v>5.417999999999999</x:v>
      </x:c>
      <x:c r="G1879" s="14" t="n">
        <x:v>5.417999999999999</x:v>
      </x:c>
      <x:c r="H1879" s="14" t="n">
        <x:v>0</x:v>
      </x:c>
      <x:c r="I1879" s="14" t="n">
        <x:v>0</x:v>
      </x:c>
      <x:c r="J1879" s="7" t="str">
        <x:v>first_display, response_audio, first_audio_output</x:v>
      </x:c>
      <x:c r="K1879" s="7" t="str">
        <x:v>none</x:v>
      </x:c>
      <x:c r="L1879" s="14" t="n">
        <x:f>IF(G1879&lt;=I1879,0,MAX(0,L1875,L1876,L1878)+IF(E1879="via",MAX(0,G1879-MAX(F1879,I1879)),0))</x:f>
        <x:v>5.417999999999999</x:v>
      </x:c>
    </x:row>
    <x:row r="1880" ht="42" customHeight="1">
      <x:c r="A1880" s="12" t="str">
        <x:v>DP5-B</x:v>
      </x:c>
      <x:c r="B1880" s="12" t="str">
        <x:v>U06</x:v>
      </x:c>
      <x:c r="C1880" s="12" t="str">
        <x:v>bg1</x:v>
      </x:c>
      <x:c r="D1880" s="12" t="str">
        <x:v>진행 중인 현재 대화의 의미 step</x:v>
      </x:c>
      <x:c r="E1880" s="12" t="str">
        <x:v>via</x:v>
      </x:c>
      <x:c r="F1880" s="13" t="n">
        <x:v>-1</x:v>
      </x:c>
      <x:c r="G1880" s="13" t="n">
        <x:v>2.4</x:v>
      </x:c>
      <x:c r="H1880" s="13" t="n">
        <x:v>3.4</x:v>
      </x:c>
      <x:c r="I1880" s="13" t="n">
        <x:v>0</x:v>
      </x:c>
      <x:c r="J1880" s="12" t="str"/>
      <x:c r="K1880" s="12" t="str">
        <x:v>semantic</x:v>
      </x:c>
      <x:c r="L1880" s="13" t="n">
        <x:f>IF(G1880&lt;=I1880,0,MAX(0)+IF(E1880="via",MAX(0,G1880-MAX(F1880,I1880)),0))</x:f>
        <x:v>2.4</x:v>
      </x:c>
    </x:row>
    <x:row r="1881" ht="42" customHeight="1">
      <x:c r="A1881" s="7" t="str">
        <x:v>DP5-B</x:v>
      </x:c>
      <x:c r="B1881" s="7" t="str">
        <x:v>U06</x:v>
      </x:c>
      <x:c r="C1881" s="7" t="str">
        <x:v>input_end</x:v>
      </x:c>
      <x:c r="D1881" s="7" t="str">
        <x:v>사용자 입력 종료</x:v>
      </x:c>
      <x:c r="E1881" s="7" t="str">
        <x:v>external</x:v>
      </x:c>
      <x:c r="F1881" s="14" t="n">
        <x:v>0</x:v>
      </x:c>
      <x:c r="G1881" s="14" t="n">
        <x:v>0</x:v>
      </x:c>
      <x:c r="H1881" s="14" t="n">
        <x:v>0</x:v>
      </x:c>
      <x:c r="I1881" s="14" t="n">
        <x:v>0</x:v>
      </x:c>
      <x:c r="J1881" s="7" t="str"/>
      <x:c r="K1881" s="7" t="str">
        <x:v>none</x:v>
      </x:c>
      <x:c r="L1881" s="14" t="n">
        <x:f>IF(G1881&lt;=I1881,0,MAX(0)+IF(E1881="via",MAX(0,G1881-MAX(F1881,I1881)),0))</x:f>
        <x:v>0</x:v>
      </x:c>
    </x:row>
    <x:row r="1882" ht="42" customHeight="1">
      <x:c r="A1882" s="12" t="str">
        <x:v>DP5-B</x:v>
      </x:c>
      <x:c r="B1882" s="12" t="str">
        <x:v>U06</x:v>
      </x:c>
      <x:c r="C1882" s="12" t="str">
        <x:v>intake</x:v>
      </x:c>
      <x:c r="D1882" s="12" t="str">
        <x:v>입력 확정</x:v>
      </x:c>
      <x:c r="E1882" s="12" t="str">
        <x:v>via</x:v>
      </x:c>
      <x:c r="F1882" s="13" t="n">
        <x:v>0</x:v>
      </x:c>
      <x:c r="G1882" s="13" t="n">
        <x:v>0.06</x:v>
      </x:c>
      <x:c r="H1882" s="13" t="n">
        <x:v>0.06</x:v>
      </x:c>
      <x:c r="I1882" s="13" t="n">
        <x:v>0</x:v>
      </x:c>
      <x:c r="J1882" s="12" t="str">
        <x:v>input_end</x:v>
      </x:c>
      <x:c r="K1882" s="12" t="str">
        <x:v>none</x:v>
      </x:c>
      <x:c r="L1882" s="13" t="n">
        <x:f>IF(G1882&lt;=I1882,0,MAX(0,L1881)+IF(E1882="via",MAX(0,G1882-MAX(F1882,I1882)),0))</x:f>
        <x:v>0.06</x:v>
      </x:c>
    </x:row>
    <x:row r="1883" ht="42" customHeight="1">
      <x:c r="A1883" s="7" t="str">
        <x:v>DP5-B</x:v>
      </x:c>
      <x:c r="B1883" s="7" t="str">
        <x:v>U06</x:v>
      </x:c>
      <x:c r="C1883" s="7" t="str">
        <x:v>read</x:v>
      </x:c>
      <x:c r="D1883" s="7" t="str">
        <x:v>공통 허용 원본 조회</x:v>
      </x:c>
      <x:c r="E1883" s="7" t="str">
        <x:v>via</x:v>
      </x:c>
      <x:c r="F1883" s="14" t="n">
        <x:v>0.06</x:v>
      </x:c>
      <x:c r="G1883" s="14" t="n">
        <x:v>0.14</x:v>
      </x:c>
      <x:c r="H1883" s="14" t="n">
        <x:v>0.08</x:v>
      </x:c>
      <x:c r="I1883" s="14" t="n">
        <x:v>0</x:v>
      </x:c>
      <x:c r="J1883" s="7" t="str">
        <x:v>intake</x:v>
      </x:c>
      <x:c r="K1883" s="7" t="str">
        <x:v>none</x:v>
      </x:c>
      <x:c r="L1883" s="14" t="n">
        <x:f>IF(G1883&lt;=I1883,0,MAX(0,L1882)+IF(E1883="via",MAX(0,G1883-MAX(F1883,I1883)),0))</x:f>
        <x:v>0.14</x:v>
      </x:c>
    </x:row>
    <x:row r="1884" ht="42" customHeight="1">
      <x:c r="A1884" s="12" t="str">
        <x:v>DP5-B</x:v>
      </x:c>
      <x:c r="B1884" s="12" t="str">
        <x:v>U06</x:v>
      </x:c>
      <x:c r="C1884" s="12" t="str">
        <x:v>meaning</x:v>
      </x:c>
      <x:c r="D1884" s="12" t="str">
        <x:v>최초 요청 의미 채택 packet 생성</x:v>
      </x:c>
      <x:c r="E1884" s="12" t="str">
        <x:v>via</x:v>
      </x:c>
      <x:c r="F1884" s="13" t="n">
        <x:v>2.4</x:v>
      </x:c>
      <x:c r="G1884" s="13" t="n">
        <x:v>3.5</x:v>
      </x:c>
      <x:c r="H1884" s="13" t="n">
        <x:v>1.1</x:v>
      </x:c>
      <x:c r="I1884" s="13" t="n">
        <x:v>0</x:v>
      </x:c>
      <x:c r="J1884" s="12" t="str">
        <x:v>read, bg1</x:v>
      </x:c>
      <x:c r="K1884" s="12" t="str">
        <x:v>semantic</x:v>
      </x:c>
      <x:c r="L1884" s="13" t="n">
        <x:f>IF(G1884&lt;=I1884,0,MAX(0,L1883,L1880)+IF(E1884="via",MAX(0,G1884-MAX(F1884,I1884)),0))</x:f>
        <x:v>3.5</x:v>
      </x:c>
    </x:row>
    <x:row r="1885" ht="42" customHeight="1">
      <x:c r="A1885" s="7" t="str">
        <x:v>DP5-B</x:v>
      </x:c>
      <x:c r="B1885" s="7" t="str">
        <x:v>U06</x:v>
      </x:c>
      <x:c r="C1885" s="7" t="str">
        <x:v>adopt</x:v>
      </x:c>
      <x:c r="D1885" s="7" t="str">
        <x:v>현재 revision과 권한 검사 및 채택</x:v>
      </x:c>
      <x:c r="E1885" s="7" t="str">
        <x:v>via</x:v>
      </x:c>
      <x:c r="F1885" s="14" t="n">
        <x:v>3.5</x:v>
      </x:c>
      <x:c r="G1885" s="14" t="n">
        <x:v>3.53</x:v>
      </x:c>
      <x:c r="H1885" s="14" t="n">
        <x:v>0.03</x:v>
      </x:c>
      <x:c r="I1885" s="14" t="n">
        <x:v>0</x:v>
      </x:c>
      <x:c r="J1885" s="7" t="str">
        <x:v>meaning</x:v>
      </x:c>
      <x:c r="K1885" s="7" t="str">
        <x:v>none</x:v>
      </x:c>
      <x:c r="L1885" s="14" t="n">
        <x:f>IF(G1885&lt;=I1885,0,MAX(0,L1884)+IF(E1885="via",MAX(0,G1885-MAX(F1885,I1885)),0))</x:f>
        <x:v>3.53</x:v>
      </x:c>
    </x:row>
    <x:row r="1886" ht="42" customHeight="1">
      <x:c r="A1886" s="12" t="str">
        <x:v>DP5-B</x:v>
      </x:c>
      <x:c r="B1886" s="12" t="str">
        <x:v>U06</x:v>
      </x:c>
      <x:c r="C1886" s="12" t="str">
        <x:v>first_display</x:v>
      </x:c>
      <x:c r="D1886" s="12" t="str">
        <x:v>첫 구체적 채택 내용 화면 표시</x:v>
      </x:c>
      <x:c r="E1886" s="12" t="str">
        <x:v>via</x:v>
      </x:c>
      <x:c r="F1886" s="13" t="n">
        <x:v>3.53</x:v>
      </x:c>
      <x:c r="G1886" s="13" t="n">
        <x:v>3.57</x:v>
      </x:c>
      <x:c r="H1886" s="13" t="n">
        <x:v>0.04</x:v>
      </x:c>
      <x:c r="I1886" s="13" t="n">
        <x:v>0</x:v>
      </x:c>
      <x:c r="J1886" s="12" t="str">
        <x:v>adopt</x:v>
      </x:c>
      <x:c r="K1886" s="12" t="str">
        <x:v>none</x:v>
      </x:c>
      <x:c r="L1886" s="13" t="n">
        <x:f>IF(G1886&lt;=I1886,0,MAX(0,L1885)+IF(E1886="via",MAX(0,G1886-MAX(F1886,I1886)),0))</x:f>
        <x:v>3.57</x:v>
      </x:c>
    </x:row>
    <x:row r="1887" ht="42" customHeight="1">
      <x:c r="A1887" s="7" t="str">
        <x:v>DP5-B</x:v>
      </x:c>
      <x:c r="B1887" s="7" t="str">
        <x:v>U06</x:v>
      </x:c>
      <x:c r="C1887" s="7" t="str">
        <x:v>long_work</x:v>
      </x:c>
      <x:c r="D1887" s="7" t="str">
        <x:v>요청의 남은 VIA 판단</x:v>
      </x:c>
      <x:c r="E1887" s="7" t="str">
        <x:v>via</x:v>
      </x:c>
      <x:c r="F1887" s="14" t="n">
        <x:v>3.53</x:v>
      </x:c>
      <x:c r="G1887" s="14" t="n">
        <x:v>5.13</x:v>
      </x:c>
      <x:c r="H1887" s="14" t="n">
        <x:v>1.6</x:v>
      </x:c>
      <x:c r="I1887" s="14" t="n">
        <x:v>0</x:v>
      </x:c>
      <x:c r="J1887" s="7" t="str">
        <x:v>adopt</x:v>
      </x:c>
      <x:c r="K1887" s="7" t="str">
        <x:v>semantic</x:v>
      </x:c>
      <x:c r="L1887" s="14" t="n">
        <x:f>IF(G1887&lt;=I1887,0,MAX(0,L1885)+IF(E1887="via",MAX(0,G1887-MAX(F1887,I1887)),0))</x:f>
        <x:v>5.13</x:v>
      </x:c>
    </x:row>
    <x:row r="1888" ht="42" customHeight="1">
      <x:c r="A1888" s="12" t="str">
        <x:v>DP5-B</x:v>
      </x:c>
      <x:c r="B1888" s="12" t="str">
        <x:v>U06</x:v>
      </x:c>
      <x:c r="C1888" s="12" t="str">
        <x:v>result_display</x:v>
      </x:c>
      <x:c r="D1888" s="12" t="str">
        <x:v>최종 설명 상세 표시</x:v>
      </x:c>
      <x:c r="E1888" s="12" t="str">
        <x:v>via</x:v>
      </x:c>
      <x:c r="F1888" s="13" t="n">
        <x:v>5.13</x:v>
      </x:c>
      <x:c r="G1888" s="13" t="n">
        <x:v>5.17</x:v>
      </x:c>
      <x:c r="H1888" s="13" t="n">
        <x:v>0.04</x:v>
      </x:c>
      <x:c r="I1888" s="13" t="n">
        <x:v>0</x:v>
      </x:c>
      <x:c r="J1888" s="12" t="str">
        <x:v>long_work</x:v>
      </x:c>
      <x:c r="K1888" s="12" t="str">
        <x:v>none</x:v>
      </x:c>
      <x:c r="L1888" s="13" t="n">
        <x:f>IF(G1888&lt;=I1888,0,MAX(0,L1887)+IF(E1888="via",MAX(0,G1888-MAX(F1888,I1888)),0))</x:f>
        <x:v>5.17</x:v>
      </x:c>
    </x:row>
    <x:row r="1889" ht="42" customHeight="1">
      <x:c r="A1889" s="7" t="str">
        <x:v>DP5-B</x:v>
      </x:c>
      <x:c r="B1889" s="7" t="str">
        <x:v>U06</x:v>
      </x:c>
      <x:c r="C1889" s="7" t="str">
        <x:v>response_audio</x:v>
      </x:c>
      <x:c r="D1889" s="7" t="str">
        <x:v>선택한 응답 음성 생성</x:v>
      </x:c>
      <x:c r="E1889" s="7" t="str">
        <x:v>via</x:v>
      </x:c>
      <x:c r="F1889" s="14" t="n">
        <x:v>5.13</x:v>
      </x:c>
      <x:c r="G1889" s="14" t="n">
        <x:v>7.018</x:v>
      </x:c>
      <x:c r="H1889" s="14" t="n">
        <x:v>1.888</x:v>
      </x:c>
      <x:c r="I1889" s="14" t="n">
        <x:v>0</x:v>
      </x:c>
      <x:c r="J1889" s="7" t="str">
        <x:v>long_work</x:v>
      </x:c>
      <x:c r="K1889" s="7" t="str">
        <x:v>speech</x:v>
      </x:c>
      <x:c r="L1889" s="14" t="n">
        <x:f>IF(G1889&lt;=I1889,0,MAX(0,L1887)+IF(E1889="via",MAX(0,G1889-MAX(F1889,I1889)),0))</x:f>
        <x:v>7.018</x:v>
      </x:c>
    </x:row>
    <x:row r="1890" ht="42" customHeight="1">
      <x:c r="A1890" s="12" t="str">
        <x:v>DP5-B</x:v>
      </x:c>
      <x:c r="B1890" s="12" t="str">
        <x:v>U06</x:v>
      </x:c>
      <x:c r="C1890" s="12" t="str">
        <x:v>intent_audio</x:v>
      </x:c>
      <x:c r="D1890" s="12" t="str">
        <x:v>채택한 구체적 수행 의도의 짧은 음성</x:v>
      </x:c>
      <x:c r="E1890" s="12" t="str">
        <x:v>via</x:v>
      </x:c>
      <x:c r="F1890" s="13" t="n">
        <x:v>3.53</x:v>
      </x:c>
      <x:c r="G1890" s="13" t="n">
        <x:v>4.664</x:v>
      </x:c>
      <x:c r="H1890" s="13" t="n">
        <x:v>1.134</x:v>
      </x:c>
      <x:c r="I1890" s="13" t="n">
        <x:v>0</x:v>
      </x:c>
      <x:c r="J1890" s="12" t="str">
        <x:v>adopt</x:v>
      </x:c>
      <x:c r="K1890" s="12" t="str">
        <x:v>speech</x:v>
      </x:c>
      <x:c r="L1890" s="13" t="n">
        <x:f>IF(G1890&lt;=I1890,0,MAX(0,L1885)+IF(E1890="via",MAX(0,G1890-MAX(F1890,I1890)),0))</x:f>
        <x:v>4.664</x:v>
      </x:c>
    </x:row>
    <x:row r="1891" ht="42" customHeight="1">
      <x:c r="A1891" s="7" t="str">
        <x:v>DP5-B</x:v>
      </x:c>
      <x:c r="B1891" s="7" t="str">
        <x:v>U06</x:v>
      </x:c>
      <x:c r="C1891" s="7" t="str">
        <x:v>first_chunk</x:v>
      </x:c>
      <x:c r="D1891" s="7" t="str">
        <x:v>같은 생성 job의 유효 첫 chunk 관측</x:v>
      </x:c>
      <x:c r="E1891" s="7" t="str">
        <x:v>via</x:v>
      </x:c>
      <x:c r="F1891" s="14" t="n">
        <x:v>3.53</x:v>
      </x:c>
      <x:c r="G1891" s="14" t="n">
        <x:v>3.964</x:v>
      </x:c>
      <x:c r="H1891" s="14" t="n">
        <x:v>0.434</x:v>
      </x:c>
      <x:c r="I1891" s="14" t="n">
        <x:v>0</x:v>
      </x:c>
      <x:c r="J1891" s="7" t="str">
        <x:v>adopt</x:v>
      </x:c>
      <x:c r="K1891" s="7" t="str">
        <x:v>none</x:v>
      </x:c>
      <x:c r="L1891" s="14" t="n">
        <x:f>IF(G1891&lt;=I1891,0,MAX(0,L1885)+IF(E1891="via",MAX(0,G1891-MAX(F1891,I1891)),0))</x:f>
        <x:v>3.964</x:v>
      </x:c>
    </x:row>
    <x:row r="1892" ht="42" customHeight="1">
      <x:c r="A1892" s="12" t="str">
        <x:v>DP5-B</x:v>
      </x:c>
      <x:c r="B1892" s="12" t="str">
        <x:v>U06</x:v>
      </x:c>
      <x:c r="C1892" s="12" t="str">
        <x:v>first_audio_output</x:v>
      </x:c>
      <x:c r="D1892" s="12" t="str">
        <x:v>공통 장치의 첫 음성 출력</x:v>
      </x:c>
      <x:c r="E1892" s="12" t="str">
        <x:v>via</x:v>
      </x:c>
      <x:c r="F1892" s="13" t="n">
        <x:v>3.964</x:v>
      </x:c>
      <x:c r="G1892" s="13" t="n">
        <x:v>4.004</x:v>
      </x:c>
      <x:c r="H1892" s="13" t="n">
        <x:v>0.04</x:v>
      </x:c>
      <x:c r="I1892" s="13" t="n">
        <x:v>0</x:v>
      </x:c>
      <x:c r="J1892" s="12" t="str">
        <x:v>adopt, first_chunk</x:v>
      </x:c>
      <x:c r="K1892" s="12" t="str">
        <x:v>none</x:v>
      </x:c>
      <x:c r="L1892" s="13" t="n">
        <x:f>IF(G1892&lt;=I1892,0,MAX(0,L1885,L1891)+IF(E1892="via",MAX(0,G1892-MAX(F1892,I1892)),0))</x:f>
        <x:v>4.004</x:v>
      </x:c>
    </x:row>
    <x:row r="1893" ht="42" customHeight="1">
      <x:c r="A1893" s="7" t="str">
        <x:v>DP5-B</x:v>
      </x:c>
      <x:c r="B1893" s="7" t="str">
        <x:v>U06</x:v>
      </x:c>
      <x:c r="C1893" s="7" t="str">
        <x:v>next_speech_selection</x:v>
      </x:c>
      <x:c r="D1893" s="7" t="str">
        <x:v>현재 발화 재생 후 다음 응답 선택</x:v>
      </x:c>
      <x:c r="E1893" s="7" t="str">
        <x:v>external</x:v>
      </x:c>
      <x:c r="F1893" s="14" t="n">
        <x:v>4.004</x:v>
      </x:c>
      <x:c r="G1893" s="14" t="n">
        <x:v>7.004</x:v>
      </x:c>
      <x:c r="H1893" s="14" t="n">
        <x:v>3</x:v>
      </x:c>
      <x:c r="I1893" s="14" t="n">
        <x:v>0</x:v>
      </x:c>
      <x:c r="J1893" s="7" t="str">
        <x:v>first_audio_output</x:v>
      </x:c>
      <x:c r="K1893" s="7" t="str">
        <x:v>none</x:v>
      </x:c>
      <x:c r="L1893" s="14" t="n">
        <x:f>IF(G1893&lt;=I1893,0,MAX(0,L1892)+IF(E1893="via",MAX(0,G1893-MAX(F1893,I1893)),0))</x:f>
        <x:v>4.004</x:v>
      </x:c>
    </x:row>
    <x:row r="1894" ht="42" customHeight="1">
      <x:c r="A1894" s="12" t="str">
        <x:v>DP5-B</x:v>
      </x:c>
      <x:c r="B1894" s="12" t="str">
        <x:v>U06</x:v>
      </x:c>
      <x:c r="C1894" s="12" t="str">
        <x:v>terminal</x:v>
      </x:c>
      <x:c r="D1894" s="12" t="str">
        <x:v>공통 목표 최종 상태와 전체 음성 준비</x:v>
      </x:c>
      <x:c r="E1894" s="12" t="str">
        <x:v>via</x:v>
      </x:c>
      <x:c r="F1894" s="13" t="n">
        <x:v>7.018</x:v>
      </x:c>
      <x:c r="G1894" s="13" t="n">
        <x:v>7.018</x:v>
      </x:c>
      <x:c r="H1894" s="13" t="n">
        <x:v>0</x:v>
      </x:c>
      <x:c r="I1894" s="13" t="n">
        <x:v>0</x:v>
      </x:c>
      <x:c r="J1894" s="12" t="str">
        <x:v>result_display, response_audio, intent_audio, first_audio_output</x:v>
      </x:c>
      <x:c r="K1894" s="12" t="str">
        <x:v>none</x:v>
      </x:c>
      <x:c r="L1894" s="13" t="n">
        <x:f>IF(G1894&lt;=I1894,0,MAX(0,L1888,L1889,L1890,L1892)+IF(E1894="via",MAX(0,G1894-MAX(F1894,I1894)),0))</x:f>
        <x:v>7.018</x:v>
      </x:c>
    </x:row>
    <x:row r="1895" ht="42" customHeight="1">
      <x:c r="A1895" s="7" t="str">
        <x:v>DP5-B</x:v>
      </x:c>
      <x:c r="B1895" s="7" t="str">
        <x:v>U07</x:v>
      </x:c>
      <x:c r="C1895" s="7" t="str">
        <x:v>bg1</x:v>
      </x:c>
      <x:c r="D1895" s="7" t="str">
        <x:v>진행 중인 현재 대화의 의미 step</x:v>
      </x:c>
      <x:c r="E1895" s="7" t="str">
        <x:v>via</x:v>
      </x:c>
      <x:c r="F1895" s="14" t="n">
        <x:v>-1</x:v>
      </x:c>
      <x:c r="G1895" s="14" t="n">
        <x:v>2.4</x:v>
      </x:c>
      <x:c r="H1895" s="14" t="n">
        <x:v>3.4</x:v>
      </x:c>
      <x:c r="I1895" s="14" t="n">
        <x:v>0</x:v>
      </x:c>
      <x:c r="J1895" s="7" t="str"/>
      <x:c r="K1895" s="7" t="str">
        <x:v>semantic</x:v>
      </x:c>
      <x:c r="L1895" s="14" t="n">
        <x:f>IF(G1895&lt;=I1895,0,MAX(0)+IF(E1895="via",MAX(0,G1895-MAX(F1895,I1895)),0))</x:f>
        <x:v>2.4</x:v>
      </x:c>
    </x:row>
    <x:row r="1896" ht="42" customHeight="1">
      <x:c r="A1896" s="12" t="str">
        <x:v>DP5-B</x:v>
      </x:c>
      <x:c r="B1896" s="12" t="str">
        <x:v>U07</x:v>
      </x:c>
      <x:c r="C1896" s="12" t="str">
        <x:v>bg2</x:v>
      </x:c>
      <x:c r="D1896" s="12" t="str">
        <x:v>다른 대화의 의미 step</x:v>
      </x:c>
      <x:c r="E1896" s="12" t="str">
        <x:v>via</x:v>
      </x:c>
      <x:c r="F1896" s="13" t="n">
        <x:v>-1</x:v>
      </x:c>
      <x:c r="G1896" s="13" t="n">
        <x:v>2.4</x:v>
      </x:c>
      <x:c r="H1896" s="13" t="n">
        <x:v>3.4</x:v>
      </x:c>
      <x:c r="I1896" s="13" t="n">
        <x:v>0</x:v>
      </x:c>
      <x:c r="J1896" s="12" t="str"/>
      <x:c r="K1896" s="12" t="str">
        <x:v>semantic</x:v>
      </x:c>
      <x:c r="L1896" s="13" t="n">
        <x:f>IF(G1896&lt;=I1896,0,MAX(0)+IF(E1896="via",MAX(0,G1896-MAX(F1896,I1896)),0))</x:f>
        <x:v>2.4</x:v>
      </x:c>
    </x:row>
    <x:row r="1897" ht="42" customHeight="1">
      <x:c r="A1897" s="7" t="str">
        <x:v>DP5-B</x:v>
      </x:c>
      <x:c r="B1897" s="7" t="str">
        <x:v>U07</x:v>
      </x:c>
      <x:c r="C1897" s="7" t="str">
        <x:v>input_end</x:v>
      </x:c>
      <x:c r="D1897" s="7" t="str">
        <x:v>사용자 입력 종료</x:v>
      </x:c>
      <x:c r="E1897" s="7" t="str">
        <x:v>external</x:v>
      </x:c>
      <x:c r="F1897" s="14" t="n">
        <x:v>0</x:v>
      </x:c>
      <x:c r="G1897" s="14" t="n">
        <x:v>0</x:v>
      </x:c>
      <x:c r="H1897" s="14" t="n">
        <x:v>0</x:v>
      </x:c>
      <x:c r="I1897" s="14" t="n">
        <x:v>0</x:v>
      </x:c>
      <x:c r="J1897" s="7" t="str"/>
      <x:c r="K1897" s="7" t="str">
        <x:v>none</x:v>
      </x:c>
      <x:c r="L1897" s="14" t="n">
        <x:f>IF(G1897&lt;=I1897,0,MAX(0)+IF(E1897="via",MAX(0,G1897-MAX(F1897,I1897)),0))</x:f>
        <x:v>0</x:v>
      </x:c>
    </x:row>
    <x:row r="1898" ht="42" customHeight="1">
      <x:c r="A1898" s="12" t="str">
        <x:v>DP5-B</x:v>
      </x:c>
      <x:c r="B1898" s="12" t="str">
        <x:v>U07</x:v>
      </x:c>
      <x:c r="C1898" s="12" t="str">
        <x:v>intake</x:v>
      </x:c>
      <x:c r="D1898" s="12" t="str">
        <x:v>입력 확정</x:v>
      </x:c>
      <x:c r="E1898" s="12" t="str">
        <x:v>via</x:v>
      </x:c>
      <x:c r="F1898" s="13" t="n">
        <x:v>0</x:v>
      </x:c>
      <x:c r="G1898" s="13" t="n">
        <x:v>0.3</x:v>
      </x:c>
      <x:c r="H1898" s="13" t="n">
        <x:v>0.3</x:v>
      </x:c>
      <x:c r="I1898" s="13" t="n">
        <x:v>0</x:v>
      </x:c>
      <x:c r="J1898" s="12" t="str">
        <x:v>input_end</x:v>
      </x:c>
      <x:c r="K1898" s="12" t="str">
        <x:v>none</x:v>
      </x:c>
      <x:c r="L1898" s="13" t="n">
        <x:f>IF(G1898&lt;=I1898,0,MAX(0,L1897)+IF(E1898="via",MAX(0,G1898-MAX(F1898,I1898)),0))</x:f>
        <x:v>0.3</x:v>
      </x:c>
    </x:row>
    <x:row r="1899" ht="42" customHeight="1">
      <x:c r="A1899" s="7" t="str">
        <x:v>DP5-B</x:v>
      </x:c>
      <x:c r="B1899" s="7" t="str">
        <x:v>U07</x:v>
      </x:c>
      <x:c r="C1899" s="7" t="str">
        <x:v>read</x:v>
      </x:c>
      <x:c r="D1899" s="7" t="str">
        <x:v>공통 허용 원본 조회</x:v>
      </x:c>
      <x:c r="E1899" s="7" t="str">
        <x:v>via</x:v>
      </x:c>
      <x:c r="F1899" s="14" t="n">
        <x:v>0.3</x:v>
      </x:c>
      <x:c r="G1899" s="14" t="n">
        <x:v>0.38</x:v>
      </x:c>
      <x:c r="H1899" s="14" t="n">
        <x:v>0.08</x:v>
      </x:c>
      <x:c r="I1899" s="14" t="n">
        <x:v>0</x:v>
      </x:c>
      <x:c r="J1899" s="7" t="str">
        <x:v>intake</x:v>
      </x:c>
      <x:c r="K1899" s="7" t="str">
        <x:v>none</x:v>
      </x:c>
      <x:c r="L1899" s="14" t="n">
        <x:f>IF(G1899&lt;=I1899,0,MAX(0,L1898)+IF(E1899="via",MAX(0,G1899-MAX(F1899,I1899)),0))</x:f>
        <x:v>0.38</x:v>
      </x:c>
    </x:row>
    <x:row r="1900" ht="42" customHeight="1">
      <x:c r="A1900" s="12" t="str">
        <x:v>DP5-B</x:v>
      </x:c>
      <x:c r="B1900" s="12" t="str">
        <x:v>U07</x:v>
      </x:c>
      <x:c r="C1900" s="12" t="str">
        <x:v>meaning</x:v>
      </x:c>
      <x:c r="D1900" s="12" t="str">
        <x:v>최초 요청 의미 채택 packet 생성</x:v>
      </x:c>
      <x:c r="E1900" s="12" t="str">
        <x:v>via</x:v>
      </x:c>
      <x:c r="F1900" s="13" t="n">
        <x:v>2.4</x:v>
      </x:c>
      <x:c r="G1900" s="13" t="n">
        <x:v>3.5</x:v>
      </x:c>
      <x:c r="H1900" s="13" t="n">
        <x:v>1.1</x:v>
      </x:c>
      <x:c r="I1900" s="13" t="n">
        <x:v>0</x:v>
      </x:c>
      <x:c r="J1900" s="12" t="str">
        <x:v>read, bg1</x:v>
      </x:c>
      <x:c r="K1900" s="12" t="str">
        <x:v>semantic</x:v>
      </x:c>
      <x:c r="L1900" s="13" t="n">
        <x:f>IF(G1900&lt;=I1900,0,MAX(0,L1899,L1895)+IF(E1900="via",MAX(0,G1900-MAX(F1900,I1900)),0))</x:f>
        <x:v>3.5</x:v>
      </x:c>
    </x:row>
    <x:row r="1901" ht="42" customHeight="1">
      <x:c r="A1901" s="7" t="str">
        <x:v>DP5-B</x:v>
      </x:c>
      <x:c r="B1901" s="7" t="str">
        <x:v>U07</x:v>
      </x:c>
      <x:c r="C1901" s="7" t="str">
        <x:v>adopt</x:v>
      </x:c>
      <x:c r="D1901" s="7" t="str">
        <x:v>현재 revision과 권한 검사 및 채택</x:v>
      </x:c>
      <x:c r="E1901" s="7" t="str">
        <x:v>via</x:v>
      </x:c>
      <x:c r="F1901" s="14" t="n">
        <x:v>3.5</x:v>
      </x:c>
      <x:c r="G1901" s="14" t="n">
        <x:v>3.53</x:v>
      </x:c>
      <x:c r="H1901" s="14" t="n">
        <x:v>0.03</x:v>
      </x:c>
      <x:c r="I1901" s="14" t="n">
        <x:v>0</x:v>
      </x:c>
      <x:c r="J1901" s="7" t="str">
        <x:v>meaning</x:v>
      </x:c>
      <x:c r="K1901" s="7" t="str">
        <x:v>none</x:v>
      </x:c>
      <x:c r="L1901" s="14" t="n">
        <x:f>IF(G1901&lt;=I1901,0,MAX(0,L1900)+IF(E1901="via",MAX(0,G1901-MAX(F1901,I1901)),0))</x:f>
        <x:v>3.53</x:v>
      </x:c>
    </x:row>
    <x:row r="1902" ht="42" customHeight="1">
      <x:c r="A1902" s="12" t="str">
        <x:v>DP5-B</x:v>
      </x:c>
      <x:c r="B1902" s="12" t="str">
        <x:v>U07</x:v>
      </x:c>
      <x:c r="C1902" s="12" t="str">
        <x:v>first_display</x:v>
      </x:c>
      <x:c r="D1902" s="12" t="str">
        <x:v>첫 구체적 채택 내용 화면 표시</x:v>
      </x:c>
      <x:c r="E1902" s="12" t="str">
        <x:v>via</x:v>
      </x:c>
      <x:c r="F1902" s="13" t="n">
        <x:v>3.53</x:v>
      </x:c>
      <x:c r="G1902" s="13" t="n">
        <x:v>3.57</x:v>
      </x:c>
      <x:c r="H1902" s="13" t="n">
        <x:v>0.04</x:v>
      </x:c>
      <x:c r="I1902" s="13" t="n">
        <x:v>0</x:v>
      </x:c>
      <x:c r="J1902" s="12" t="str">
        <x:v>adopt</x:v>
      </x:c>
      <x:c r="K1902" s="12" t="str">
        <x:v>none</x:v>
      </x:c>
      <x:c r="L1902" s="13" t="n">
        <x:f>IF(G1902&lt;=I1902,0,MAX(0,L1901)+IF(E1902="via",MAX(0,G1902-MAX(F1902,I1902)),0))</x:f>
        <x:v>3.57</x:v>
      </x:c>
    </x:row>
    <x:row r="1903" ht="42" customHeight="1">
      <x:c r="A1903" s="7" t="str">
        <x:v>DP5-B</x:v>
      </x:c>
      <x:c r="B1903" s="7" t="str">
        <x:v>U07</x:v>
      </x:c>
      <x:c r="C1903" s="7" t="str">
        <x:v>long_work</x:v>
      </x:c>
      <x:c r="D1903" s="7" t="str">
        <x:v>요청의 남은 VIA 판단</x:v>
      </x:c>
      <x:c r="E1903" s="7" t="str">
        <x:v>via</x:v>
      </x:c>
      <x:c r="F1903" s="14" t="n">
        <x:v>3.53</x:v>
      </x:c>
      <x:c r="G1903" s="14" t="n">
        <x:v>5.13</x:v>
      </x:c>
      <x:c r="H1903" s="14" t="n">
        <x:v>1.6</x:v>
      </x:c>
      <x:c r="I1903" s="14" t="n">
        <x:v>0</x:v>
      </x:c>
      <x:c r="J1903" s="7" t="str">
        <x:v>adopt</x:v>
      </x:c>
      <x:c r="K1903" s="7" t="str">
        <x:v>semantic</x:v>
      </x:c>
      <x:c r="L1903" s="14" t="n">
        <x:f>IF(G1903&lt;=I1903,0,MAX(0,L1901)+IF(E1903="via",MAX(0,G1903-MAX(F1903,I1903)),0))</x:f>
        <x:v>5.13</x:v>
      </x:c>
    </x:row>
    <x:row r="1904" ht="42" customHeight="1">
      <x:c r="A1904" s="12" t="str">
        <x:v>DP5-B</x:v>
      </x:c>
      <x:c r="B1904" s="12" t="str">
        <x:v>U07</x:v>
      </x:c>
      <x:c r="C1904" s="12" t="str">
        <x:v>result_display</x:v>
      </x:c>
      <x:c r="D1904" s="12" t="str">
        <x:v>최종 설명 상세 표시</x:v>
      </x:c>
      <x:c r="E1904" s="12" t="str">
        <x:v>via</x:v>
      </x:c>
      <x:c r="F1904" s="13" t="n">
        <x:v>5.13</x:v>
      </x:c>
      <x:c r="G1904" s="13" t="n">
        <x:v>5.17</x:v>
      </x:c>
      <x:c r="H1904" s="13" t="n">
        <x:v>0.04</x:v>
      </x:c>
      <x:c r="I1904" s="13" t="n">
        <x:v>0</x:v>
      </x:c>
      <x:c r="J1904" s="12" t="str">
        <x:v>long_work</x:v>
      </x:c>
      <x:c r="K1904" s="12" t="str">
        <x:v>none</x:v>
      </x:c>
      <x:c r="L1904" s="13" t="n">
        <x:f>IF(G1904&lt;=I1904,0,MAX(0,L1903)+IF(E1904="via",MAX(0,G1904-MAX(F1904,I1904)),0))</x:f>
        <x:v>5.17</x:v>
      </x:c>
    </x:row>
    <x:row r="1905" ht="42" customHeight="1">
      <x:c r="A1905" s="7" t="str">
        <x:v>DP5-B</x:v>
      </x:c>
      <x:c r="B1905" s="7" t="str">
        <x:v>U07</x:v>
      </x:c>
      <x:c r="C1905" s="7" t="str">
        <x:v>response_audio</x:v>
      </x:c>
      <x:c r="D1905" s="7" t="str">
        <x:v>선택한 응답 음성 생성</x:v>
      </x:c>
      <x:c r="E1905" s="7" t="str">
        <x:v>via</x:v>
      </x:c>
      <x:c r="F1905" s="14" t="n">
        <x:v>5.13</x:v>
      </x:c>
      <x:c r="G1905" s="14" t="n">
        <x:v>7.018</x:v>
      </x:c>
      <x:c r="H1905" s="14" t="n">
        <x:v>1.888</x:v>
      </x:c>
      <x:c r="I1905" s="14" t="n">
        <x:v>0</x:v>
      </x:c>
      <x:c r="J1905" s="7" t="str">
        <x:v>long_work</x:v>
      </x:c>
      <x:c r="K1905" s="7" t="str">
        <x:v>speech</x:v>
      </x:c>
      <x:c r="L1905" s="14" t="n">
        <x:f>IF(G1905&lt;=I1905,0,MAX(0,L1903)+IF(E1905="via",MAX(0,G1905-MAX(F1905,I1905)),0))</x:f>
        <x:v>7.018</x:v>
      </x:c>
    </x:row>
    <x:row r="1906" ht="42" customHeight="1">
      <x:c r="A1906" s="12" t="str">
        <x:v>DP5-B</x:v>
      </x:c>
      <x:c r="B1906" s="12" t="str">
        <x:v>U07</x:v>
      </x:c>
      <x:c r="C1906" s="12" t="str">
        <x:v>intent_audio</x:v>
      </x:c>
      <x:c r="D1906" s="12" t="str">
        <x:v>채택한 구체적 수행 의도의 짧은 음성</x:v>
      </x:c>
      <x:c r="E1906" s="12" t="str">
        <x:v>via</x:v>
      </x:c>
      <x:c r="F1906" s="13" t="n">
        <x:v>3.53</x:v>
      </x:c>
      <x:c r="G1906" s="13" t="n">
        <x:v>4.664</x:v>
      </x:c>
      <x:c r="H1906" s="13" t="n">
        <x:v>1.134</x:v>
      </x:c>
      <x:c r="I1906" s="13" t="n">
        <x:v>0</x:v>
      </x:c>
      <x:c r="J1906" s="12" t="str">
        <x:v>adopt</x:v>
      </x:c>
      <x:c r="K1906" s="12" t="str">
        <x:v>speech</x:v>
      </x:c>
      <x:c r="L1906" s="13" t="n">
        <x:f>IF(G1906&lt;=I1906,0,MAX(0,L1901)+IF(E1906="via",MAX(0,G1906-MAX(F1906,I1906)),0))</x:f>
        <x:v>4.664</x:v>
      </x:c>
    </x:row>
    <x:row r="1907" ht="42" customHeight="1">
      <x:c r="A1907" s="7" t="str">
        <x:v>DP5-B</x:v>
      </x:c>
      <x:c r="B1907" s="7" t="str">
        <x:v>U07</x:v>
      </x:c>
      <x:c r="C1907" s="7" t="str">
        <x:v>first_chunk</x:v>
      </x:c>
      <x:c r="D1907" s="7" t="str">
        <x:v>같은 생성 job의 유효 첫 chunk 관측</x:v>
      </x:c>
      <x:c r="E1907" s="7" t="str">
        <x:v>via</x:v>
      </x:c>
      <x:c r="F1907" s="14" t="n">
        <x:v>3.53</x:v>
      </x:c>
      <x:c r="G1907" s="14" t="n">
        <x:v>3.964</x:v>
      </x:c>
      <x:c r="H1907" s="14" t="n">
        <x:v>0.434</x:v>
      </x:c>
      <x:c r="I1907" s="14" t="n">
        <x:v>0</x:v>
      </x:c>
      <x:c r="J1907" s="7" t="str">
        <x:v>adopt</x:v>
      </x:c>
      <x:c r="K1907" s="7" t="str">
        <x:v>none</x:v>
      </x:c>
      <x:c r="L1907" s="14" t="n">
        <x:f>IF(G1907&lt;=I1907,0,MAX(0,L1901)+IF(E1907="via",MAX(0,G1907-MAX(F1907,I1907)),0))</x:f>
        <x:v>3.964</x:v>
      </x:c>
    </x:row>
    <x:row r="1908" ht="42" customHeight="1">
      <x:c r="A1908" s="12" t="str">
        <x:v>DP5-B</x:v>
      </x:c>
      <x:c r="B1908" s="12" t="str">
        <x:v>U07</x:v>
      </x:c>
      <x:c r="C1908" s="12" t="str">
        <x:v>first_audio_output</x:v>
      </x:c>
      <x:c r="D1908" s="12" t="str">
        <x:v>공통 장치의 첫 음성 출력</x:v>
      </x:c>
      <x:c r="E1908" s="12" t="str">
        <x:v>via</x:v>
      </x:c>
      <x:c r="F1908" s="13" t="n">
        <x:v>3.964</x:v>
      </x:c>
      <x:c r="G1908" s="13" t="n">
        <x:v>4.004</x:v>
      </x:c>
      <x:c r="H1908" s="13" t="n">
        <x:v>0.04</x:v>
      </x:c>
      <x:c r="I1908" s="13" t="n">
        <x:v>0</x:v>
      </x:c>
      <x:c r="J1908" s="12" t="str">
        <x:v>adopt, first_chunk</x:v>
      </x:c>
      <x:c r="K1908" s="12" t="str">
        <x:v>none</x:v>
      </x:c>
      <x:c r="L1908" s="13" t="n">
        <x:f>IF(G1908&lt;=I1908,0,MAX(0,L1901,L1907)+IF(E1908="via",MAX(0,G1908-MAX(F1908,I1908)),0))</x:f>
        <x:v>4.004</x:v>
      </x:c>
    </x:row>
    <x:row r="1909" ht="42" customHeight="1">
      <x:c r="A1909" s="7" t="str">
        <x:v>DP5-B</x:v>
      </x:c>
      <x:c r="B1909" s="7" t="str">
        <x:v>U07</x:v>
      </x:c>
      <x:c r="C1909" s="7" t="str">
        <x:v>next_speech_selection</x:v>
      </x:c>
      <x:c r="D1909" s="7" t="str">
        <x:v>현재 발화 재생 후 다음 응답 선택</x:v>
      </x:c>
      <x:c r="E1909" s="7" t="str">
        <x:v>external</x:v>
      </x:c>
      <x:c r="F1909" s="14" t="n">
        <x:v>4.004</x:v>
      </x:c>
      <x:c r="G1909" s="14" t="n">
        <x:v>7.004</x:v>
      </x:c>
      <x:c r="H1909" s="14" t="n">
        <x:v>3</x:v>
      </x:c>
      <x:c r="I1909" s="14" t="n">
        <x:v>0</x:v>
      </x:c>
      <x:c r="J1909" s="7" t="str">
        <x:v>first_audio_output</x:v>
      </x:c>
      <x:c r="K1909" s="7" t="str">
        <x:v>none</x:v>
      </x:c>
      <x:c r="L1909" s="14" t="n">
        <x:f>IF(G1909&lt;=I1909,0,MAX(0,L1908)+IF(E1909="via",MAX(0,G1909-MAX(F1909,I1909)),0))</x:f>
        <x:v>4.004</x:v>
      </x:c>
    </x:row>
    <x:row r="1910" ht="42" customHeight="1">
      <x:c r="A1910" s="12" t="str">
        <x:v>DP5-B</x:v>
      </x:c>
      <x:c r="B1910" s="12" t="str">
        <x:v>U07</x:v>
      </x:c>
      <x:c r="C1910" s="12" t="str">
        <x:v>terminal</x:v>
      </x:c>
      <x:c r="D1910" s="12" t="str">
        <x:v>공통 목표 최종 상태와 전체 음성 준비</x:v>
      </x:c>
      <x:c r="E1910" s="12" t="str">
        <x:v>via</x:v>
      </x:c>
      <x:c r="F1910" s="13" t="n">
        <x:v>7.018</x:v>
      </x:c>
      <x:c r="G1910" s="13" t="n">
        <x:v>7.018</x:v>
      </x:c>
      <x:c r="H1910" s="13" t="n">
        <x:v>0</x:v>
      </x:c>
      <x:c r="I1910" s="13" t="n">
        <x:v>0</x:v>
      </x:c>
      <x:c r="J1910" s="12" t="str">
        <x:v>result_display, response_audio, intent_audio, first_audio_output</x:v>
      </x:c>
      <x:c r="K1910" s="12" t="str">
        <x:v>none</x:v>
      </x:c>
      <x:c r="L1910" s="13" t="n">
        <x:f>IF(G1910&lt;=I1910,0,MAX(0,L1904,L1905,L1906,L1908)+IF(E1910="via",MAX(0,G1910-MAX(F1910,I1910)),0))</x:f>
        <x:v>7.018</x:v>
      </x:c>
    </x:row>
    <x:row r="1911" ht="42" customHeight="1">
      <x:c r="A1911" s="7" t="str">
        <x:v>DP5-B</x:v>
      </x:c>
      <x:c r="B1911" s="7" t="str">
        <x:v>U08</x:v>
      </x:c>
      <x:c r="C1911" s="7" t="str">
        <x:v>bg1</x:v>
      </x:c>
      <x:c r="D1911" s="7" t="str">
        <x:v>진행 중인 현재 대화의 의미 step</x:v>
      </x:c>
      <x:c r="E1911" s="7" t="str">
        <x:v>via</x:v>
      </x:c>
      <x:c r="F1911" s="14" t="n">
        <x:v>-1</x:v>
      </x:c>
      <x:c r="G1911" s="14" t="n">
        <x:v>2.4</x:v>
      </x:c>
      <x:c r="H1911" s="14" t="n">
        <x:v>3.4</x:v>
      </x:c>
      <x:c r="I1911" s="14" t="n">
        <x:v>-6</x:v>
      </x:c>
      <x:c r="J1911" s="7" t="str">
        <x:v>original_work</x:v>
      </x:c>
      <x:c r="K1911" s="7" t="str">
        <x:v>semantic</x:v>
      </x:c>
      <x:c r="L1911" s="14" t="n">
        <x:f>IF(G1911&lt;=I1911,0,MAX(0,L1912)+IF(E1911="via",MAX(0,G1911-MAX(F1911,I1911)),0))</x:f>
        <x:v>5.4</x:v>
      </x:c>
    </x:row>
    <x:row r="1912" ht="42" customHeight="1">
      <x:c r="A1912" s="12" t="str">
        <x:v>DP5-B</x:v>
      </x:c>
      <x:c r="B1912" s="12" t="str">
        <x:v>U08</x:v>
      </x:c>
      <x:c r="C1912" s="12" t="str">
        <x:v>original_work</x:v>
      </x:c>
      <x:c r="D1912" s="12" t="str">
        <x:v>원래 목표의 최초 VIA 처리</x:v>
      </x:c>
      <x:c r="E1912" s="12" t="str">
        <x:v>via</x:v>
      </x:c>
      <x:c r="F1912" s="13" t="n">
        <x:v>-6</x:v>
      </x:c>
      <x:c r="G1912" s="13" t="n">
        <x:v>-4</x:v>
      </x:c>
      <x:c r="H1912" s="13" t="n">
        <x:v>2</x:v>
      </x:c>
      <x:c r="I1912" s="13" t="n">
        <x:v>-6</x:v>
      </x:c>
      <x:c r="J1912" s="12" t="str"/>
      <x:c r="K1912" s="12" t="str">
        <x:v>none</x:v>
      </x:c>
      <x:c r="L1912" s="13" t="n">
        <x:f>IF(G1912&lt;=I1912,0,MAX(0)+IF(E1912="via",MAX(0,G1912-MAX(F1912,I1912)),0))</x:f>
        <x:v>2</x:v>
      </x:c>
    </x:row>
    <x:row r="1913" ht="42" customHeight="1">
      <x:c r="A1913" s="7" t="str">
        <x:v>DP5-B</x:v>
      </x:c>
      <x:c r="B1913" s="7" t="str">
        <x:v>U08</x:v>
      </x:c>
      <x:c r="C1913" s="7" t="str">
        <x:v>input_end</x:v>
      </x:c>
      <x:c r="D1913" s="7" t="str">
        <x:v>사용자 입력 종료</x:v>
      </x:c>
      <x:c r="E1913" s="7" t="str">
        <x:v>external</x:v>
      </x:c>
      <x:c r="F1913" s="14" t="n">
        <x:v>0</x:v>
      </x:c>
      <x:c r="G1913" s="14" t="n">
        <x:v>0</x:v>
      </x:c>
      <x:c r="H1913" s="14" t="n">
        <x:v>0</x:v>
      </x:c>
      <x:c r="I1913" s="14" t="n">
        <x:v>-6</x:v>
      </x:c>
      <x:c r="J1913" s="7" t="str">
        <x:v>original_work</x:v>
      </x:c>
      <x:c r="K1913" s="7" t="str">
        <x:v>none</x:v>
      </x:c>
      <x:c r="L1913" s="14" t="n">
        <x:f>IF(G1913&lt;=I1913,0,MAX(0,L1912)+IF(E1913="via",MAX(0,G1913-MAX(F1913,I1913)),0))</x:f>
        <x:v>2</x:v>
      </x:c>
    </x:row>
    <x:row r="1914" ht="42" customHeight="1">
      <x:c r="A1914" s="12" t="str">
        <x:v>DP5-B</x:v>
      </x:c>
      <x:c r="B1914" s="12" t="str">
        <x:v>U08</x:v>
      </x:c>
      <x:c r="C1914" s="12" t="str">
        <x:v>intake</x:v>
      </x:c>
      <x:c r="D1914" s="12" t="str">
        <x:v>입력 확정</x:v>
      </x:c>
      <x:c r="E1914" s="12" t="str">
        <x:v>via</x:v>
      </x:c>
      <x:c r="F1914" s="13" t="n">
        <x:v>0</x:v>
      </x:c>
      <x:c r="G1914" s="13" t="n">
        <x:v>0.06</x:v>
      </x:c>
      <x:c r="H1914" s="13" t="n">
        <x:v>0.06</x:v>
      </x:c>
      <x:c r="I1914" s="13" t="n">
        <x:v>-6</x:v>
      </x:c>
      <x:c r="J1914" s="12" t="str">
        <x:v>input_end</x:v>
      </x:c>
      <x:c r="K1914" s="12" t="str">
        <x:v>none</x:v>
      </x:c>
      <x:c r="L1914" s="13" t="n">
        <x:f>IF(G1914&lt;=I1914,0,MAX(0,L1913)+IF(E1914="via",MAX(0,G1914-MAX(F1914,I1914)),0))</x:f>
        <x:v>2.06</x:v>
      </x:c>
    </x:row>
    <x:row r="1915" ht="42" customHeight="1">
      <x:c r="A1915" s="7" t="str">
        <x:v>DP5-B</x:v>
      </x:c>
      <x:c r="B1915" s="7" t="str">
        <x:v>U08</x:v>
      </x:c>
      <x:c r="C1915" s="7" t="str">
        <x:v>read</x:v>
      </x:c>
      <x:c r="D1915" s="7" t="str">
        <x:v>공통 허용 원본 조회</x:v>
      </x:c>
      <x:c r="E1915" s="7" t="str">
        <x:v>via</x:v>
      </x:c>
      <x:c r="F1915" s="14" t="n">
        <x:v>0.06</x:v>
      </x:c>
      <x:c r="G1915" s="14" t="n">
        <x:v>0.14</x:v>
      </x:c>
      <x:c r="H1915" s="14" t="n">
        <x:v>0.08</x:v>
      </x:c>
      <x:c r="I1915" s="14" t="n">
        <x:v>-6</x:v>
      </x:c>
      <x:c r="J1915" s="7" t="str">
        <x:v>intake</x:v>
      </x:c>
      <x:c r="K1915" s="7" t="str">
        <x:v>none</x:v>
      </x:c>
      <x:c r="L1915" s="14" t="n">
        <x:f>IF(G1915&lt;=I1915,0,MAX(0,L1914)+IF(E1915="via",MAX(0,G1915-MAX(F1915,I1915)),0))</x:f>
        <x:v>2.14</x:v>
      </x:c>
    </x:row>
    <x:row r="1916" ht="42" customHeight="1">
      <x:c r="A1916" s="12" t="str">
        <x:v>DP5-B</x:v>
      </x:c>
      <x:c r="B1916" s="12" t="str">
        <x:v>U08</x:v>
      </x:c>
      <x:c r="C1916" s="12" t="str">
        <x:v>meaning</x:v>
      </x:c>
      <x:c r="D1916" s="12" t="str">
        <x:v>최초 요청 의미 채택 packet 생성</x:v>
      </x:c>
      <x:c r="E1916" s="12" t="str">
        <x:v>via</x:v>
      </x:c>
      <x:c r="F1916" s="13" t="n">
        <x:v>2.4</x:v>
      </x:c>
      <x:c r="G1916" s="13" t="n">
        <x:v>3.5</x:v>
      </x:c>
      <x:c r="H1916" s="13" t="n">
        <x:v>1.1</x:v>
      </x:c>
      <x:c r="I1916" s="13" t="n">
        <x:v>-6</x:v>
      </x:c>
      <x:c r="J1916" s="12" t="str">
        <x:v>read, bg1</x:v>
      </x:c>
      <x:c r="K1916" s="12" t="str">
        <x:v>semantic</x:v>
      </x:c>
      <x:c r="L1916" s="13" t="n">
        <x:f>IF(G1916&lt;=I1916,0,MAX(0,L1915,L1911)+IF(E1916="via",MAX(0,G1916-MAX(F1916,I1916)),0))</x:f>
        <x:v>6.5</x:v>
      </x:c>
    </x:row>
    <x:row r="1917" ht="42" customHeight="1">
      <x:c r="A1917" s="7" t="str">
        <x:v>DP5-B</x:v>
      </x:c>
      <x:c r="B1917" s="7" t="str">
        <x:v>U08</x:v>
      </x:c>
      <x:c r="C1917" s="7" t="str">
        <x:v>adopt</x:v>
      </x:c>
      <x:c r="D1917" s="7" t="str">
        <x:v>현재 revision과 권한 검사 및 채택</x:v>
      </x:c>
      <x:c r="E1917" s="7" t="str">
        <x:v>via</x:v>
      </x:c>
      <x:c r="F1917" s="14" t="n">
        <x:v>3.5</x:v>
      </x:c>
      <x:c r="G1917" s="14" t="n">
        <x:v>3.53</x:v>
      </x:c>
      <x:c r="H1917" s="14" t="n">
        <x:v>0.03</x:v>
      </x:c>
      <x:c r="I1917" s="14" t="n">
        <x:v>-6</x:v>
      </x:c>
      <x:c r="J1917" s="7" t="str">
        <x:v>meaning</x:v>
      </x:c>
      <x:c r="K1917" s="7" t="str">
        <x:v>none</x:v>
      </x:c>
      <x:c r="L1917" s="14" t="n">
        <x:f>IF(G1917&lt;=I1917,0,MAX(0,L1916)+IF(E1917="via",MAX(0,G1917-MAX(F1917,I1917)),0))</x:f>
        <x:v>6.529999999999999</x:v>
      </x:c>
    </x:row>
    <x:row r="1918" ht="42" customHeight="1">
      <x:c r="A1918" s="12" t="str">
        <x:v>DP5-B</x:v>
      </x:c>
      <x:c r="B1918" s="12" t="str">
        <x:v>U08</x:v>
      </x:c>
      <x:c r="C1918" s="12" t="str">
        <x:v>first_display</x:v>
      </x:c>
      <x:c r="D1918" s="12" t="str">
        <x:v>첫 구체적 채택 내용 화면 표시</x:v>
      </x:c>
      <x:c r="E1918" s="12" t="str">
        <x:v>via</x:v>
      </x:c>
      <x:c r="F1918" s="13" t="n">
        <x:v>3.53</x:v>
      </x:c>
      <x:c r="G1918" s="13" t="n">
        <x:v>3.57</x:v>
      </x:c>
      <x:c r="H1918" s="13" t="n">
        <x:v>0.04</x:v>
      </x:c>
      <x:c r="I1918" s="13" t="n">
        <x:v>-6</x:v>
      </x:c>
      <x:c r="J1918" s="12" t="str">
        <x:v>adopt</x:v>
      </x:c>
      <x:c r="K1918" s="12" t="str">
        <x:v>none</x:v>
      </x:c>
      <x:c r="L1918" s="13" t="n">
        <x:f>IF(G1918&lt;=I1918,0,MAX(0,L1917)+IF(E1918="via",MAX(0,G1918-MAX(F1918,I1918)),0))</x:f>
        <x:v>6.569999999999999</x:v>
      </x:c>
    </x:row>
    <x:row r="1919" ht="42" customHeight="1">
      <x:c r="A1919" s="7" t="str">
        <x:v>DP5-B</x:v>
      </x:c>
      <x:c r="B1919" s="7" t="str">
        <x:v>U08</x:v>
      </x:c>
      <x:c r="C1919" s="7" t="str">
        <x:v>long_work</x:v>
      </x:c>
      <x:c r="D1919" s="7" t="str">
        <x:v>요청의 남은 VIA 판단</x:v>
      </x:c>
      <x:c r="E1919" s="7" t="str">
        <x:v>via</x:v>
      </x:c>
      <x:c r="F1919" s="14" t="n">
        <x:v>3.53</x:v>
      </x:c>
      <x:c r="G1919" s="14" t="n">
        <x:v>5.13</x:v>
      </x:c>
      <x:c r="H1919" s="14" t="n">
        <x:v>1.6</x:v>
      </x:c>
      <x:c r="I1919" s="14" t="n">
        <x:v>-6</x:v>
      </x:c>
      <x:c r="J1919" s="7" t="str">
        <x:v>adopt</x:v>
      </x:c>
      <x:c r="K1919" s="7" t="str">
        <x:v>semantic</x:v>
      </x:c>
      <x:c r="L1919" s="14" t="n">
        <x:f>IF(G1919&lt;=I1919,0,MAX(0,L1917)+IF(E1919="via",MAX(0,G1919-MAX(F1919,I1919)),0))</x:f>
        <x:v>8.129999999999999</x:v>
      </x:c>
    </x:row>
    <x:row r="1920" ht="42" customHeight="1">
      <x:c r="A1920" s="12" t="str">
        <x:v>DP5-B</x:v>
      </x:c>
      <x:c r="B1920" s="12" t="str">
        <x:v>U08</x:v>
      </x:c>
      <x:c r="C1920" s="12" t="str">
        <x:v>result_display</x:v>
      </x:c>
      <x:c r="D1920" s="12" t="str">
        <x:v>최종 설명 상세 표시</x:v>
      </x:c>
      <x:c r="E1920" s="12" t="str">
        <x:v>via</x:v>
      </x:c>
      <x:c r="F1920" s="13" t="n">
        <x:v>5.13</x:v>
      </x:c>
      <x:c r="G1920" s="13" t="n">
        <x:v>5.17</x:v>
      </x:c>
      <x:c r="H1920" s="13" t="n">
        <x:v>0.04</x:v>
      </x:c>
      <x:c r="I1920" s="13" t="n">
        <x:v>-6</x:v>
      </x:c>
      <x:c r="J1920" s="12" t="str">
        <x:v>long_work</x:v>
      </x:c>
      <x:c r="K1920" s="12" t="str">
        <x:v>none</x:v>
      </x:c>
      <x:c r="L1920" s="13" t="n">
        <x:f>IF(G1920&lt;=I1920,0,MAX(0,L1919)+IF(E1920="via",MAX(0,G1920-MAX(F1920,I1920)),0))</x:f>
        <x:v>8.169999999999998</x:v>
      </x:c>
    </x:row>
    <x:row r="1921" ht="42" customHeight="1">
      <x:c r="A1921" s="7" t="str">
        <x:v>DP5-B</x:v>
      </x:c>
      <x:c r="B1921" s="7" t="str">
        <x:v>U08</x:v>
      </x:c>
      <x:c r="C1921" s="7" t="str">
        <x:v>response_audio</x:v>
      </x:c>
      <x:c r="D1921" s="7" t="str">
        <x:v>선택한 응답 음성 생성</x:v>
      </x:c>
      <x:c r="E1921" s="7" t="str">
        <x:v>via</x:v>
      </x:c>
      <x:c r="F1921" s="14" t="n">
        <x:v>5.13</x:v>
      </x:c>
      <x:c r="G1921" s="14" t="n">
        <x:v>7.018</x:v>
      </x:c>
      <x:c r="H1921" s="14" t="n">
        <x:v>1.888</x:v>
      </x:c>
      <x:c r="I1921" s="14" t="n">
        <x:v>-6</x:v>
      </x:c>
      <x:c r="J1921" s="7" t="str">
        <x:v>long_work</x:v>
      </x:c>
      <x:c r="K1921" s="7" t="str">
        <x:v>speech</x:v>
      </x:c>
      <x:c r="L1921" s="14" t="n">
        <x:f>IF(G1921&lt;=I1921,0,MAX(0,L1919)+IF(E1921="via",MAX(0,G1921-MAX(F1921,I1921)),0))</x:f>
        <x:v>10.017999999999999</x:v>
      </x:c>
    </x:row>
    <x:row r="1922" ht="42" customHeight="1">
      <x:c r="A1922" s="12" t="str">
        <x:v>DP5-B</x:v>
      </x:c>
      <x:c r="B1922" s="12" t="str">
        <x:v>U08</x:v>
      </x:c>
      <x:c r="C1922" s="12" t="str">
        <x:v>intent_audio</x:v>
      </x:c>
      <x:c r="D1922" s="12" t="str">
        <x:v>채택한 구체적 수행 의도의 짧은 음성</x:v>
      </x:c>
      <x:c r="E1922" s="12" t="str">
        <x:v>via</x:v>
      </x:c>
      <x:c r="F1922" s="13" t="n">
        <x:v>3.53</x:v>
      </x:c>
      <x:c r="G1922" s="13" t="n">
        <x:v>4.664</x:v>
      </x:c>
      <x:c r="H1922" s="13" t="n">
        <x:v>1.134</x:v>
      </x:c>
      <x:c r="I1922" s="13" t="n">
        <x:v>-6</x:v>
      </x:c>
      <x:c r="J1922" s="12" t="str">
        <x:v>adopt</x:v>
      </x:c>
      <x:c r="K1922" s="12" t="str">
        <x:v>speech</x:v>
      </x:c>
      <x:c r="L1922" s="13" t="n">
        <x:f>IF(G1922&lt;=I1922,0,MAX(0,L1917)+IF(E1922="via",MAX(0,G1922-MAX(F1922,I1922)),0))</x:f>
        <x:v>7.664</x:v>
      </x:c>
    </x:row>
    <x:row r="1923" ht="42" customHeight="1">
      <x:c r="A1923" s="7" t="str">
        <x:v>DP5-B</x:v>
      </x:c>
      <x:c r="B1923" s="7" t="str">
        <x:v>U08</x:v>
      </x:c>
      <x:c r="C1923" s="7" t="str">
        <x:v>first_chunk</x:v>
      </x:c>
      <x:c r="D1923" s="7" t="str">
        <x:v>같은 생성 job의 유효 첫 chunk 관측</x:v>
      </x:c>
      <x:c r="E1923" s="7" t="str">
        <x:v>via</x:v>
      </x:c>
      <x:c r="F1923" s="14" t="n">
        <x:v>3.53</x:v>
      </x:c>
      <x:c r="G1923" s="14" t="n">
        <x:v>3.964</x:v>
      </x:c>
      <x:c r="H1923" s="14" t="n">
        <x:v>0.434</x:v>
      </x:c>
      <x:c r="I1923" s="14" t="n">
        <x:v>-6</x:v>
      </x:c>
      <x:c r="J1923" s="7" t="str">
        <x:v>adopt</x:v>
      </x:c>
      <x:c r="K1923" s="7" t="str">
        <x:v>none</x:v>
      </x:c>
      <x:c r="L1923" s="14" t="n">
        <x:f>IF(G1923&lt;=I1923,0,MAX(0,L1917)+IF(E1923="via",MAX(0,G1923-MAX(F1923,I1923)),0))</x:f>
        <x:v>6.9639999999999995</x:v>
      </x:c>
    </x:row>
    <x:row r="1924" ht="42" customHeight="1">
      <x:c r="A1924" s="12" t="str">
        <x:v>DP5-B</x:v>
      </x:c>
      <x:c r="B1924" s="12" t="str">
        <x:v>U08</x:v>
      </x:c>
      <x:c r="C1924" s="12" t="str">
        <x:v>first_audio_output</x:v>
      </x:c>
      <x:c r="D1924" s="12" t="str">
        <x:v>공통 장치의 첫 음성 출력</x:v>
      </x:c>
      <x:c r="E1924" s="12" t="str">
        <x:v>via</x:v>
      </x:c>
      <x:c r="F1924" s="13" t="n">
        <x:v>3.964</x:v>
      </x:c>
      <x:c r="G1924" s="13" t="n">
        <x:v>4.004</x:v>
      </x:c>
      <x:c r="H1924" s="13" t="n">
        <x:v>0.04</x:v>
      </x:c>
      <x:c r="I1924" s="13" t="n">
        <x:v>-6</x:v>
      </x:c>
      <x:c r="J1924" s="12" t="str">
        <x:v>adopt, first_chunk</x:v>
      </x:c>
      <x:c r="K1924" s="12" t="str">
        <x:v>none</x:v>
      </x:c>
      <x:c r="L1924" s="13" t="n">
        <x:f>IF(G1924&lt;=I1924,0,MAX(0,L1917,L1923)+IF(E1924="via",MAX(0,G1924-MAX(F1924,I1924)),0))</x:f>
        <x:v>7.004</x:v>
      </x:c>
    </x:row>
    <x:row r="1925" ht="42" customHeight="1">
      <x:c r="A1925" s="7" t="str">
        <x:v>DP5-B</x:v>
      </x:c>
      <x:c r="B1925" s="7" t="str">
        <x:v>U08</x:v>
      </x:c>
      <x:c r="C1925" s="7" t="str">
        <x:v>next_speech_selection</x:v>
      </x:c>
      <x:c r="D1925" s="7" t="str">
        <x:v>현재 발화 재생 후 다음 응답 선택</x:v>
      </x:c>
      <x:c r="E1925" s="7" t="str">
        <x:v>external</x:v>
      </x:c>
      <x:c r="F1925" s="14" t="n">
        <x:v>4.004</x:v>
      </x:c>
      <x:c r="G1925" s="14" t="n">
        <x:v>7.004</x:v>
      </x:c>
      <x:c r="H1925" s="14" t="n">
        <x:v>3</x:v>
      </x:c>
      <x:c r="I1925" s="14" t="n">
        <x:v>-6</x:v>
      </x:c>
      <x:c r="J1925" s="7" t="str">
        <x:v>first_audio_output</x:v>
      </x:c>
      <x:c r="K1925" s="7" t="str">
        <x:v>none</x:v>
      </x:c>
      <x:c r="L1925" s="14" t="n">
        <x:f>IF(G1925&lt;=I1925,0,MAX(0,L1924)+IF(E1925="via",MAX(0,G1925-MAX(F1925,I1925)),0))</x:f>
        <x:v>7.004</x:v>
      </x:c>
    </x:row>
    <x:row r="1926" ht="42" customHeight="1">
      <x:c r="A1926" s="12" t="str">
        <x:v>DP5-B</x:v>
      </x:c>
      <x:c r="B1926" s="12" t="str">
        <x:v>U08</x:v>
      </x:c>
      <x:c r="C1926" s="12" t="str">
        <x:v>terminal</x:v>
      </x:c>
      <x:c r="D1926" s="12" t="str">
        <x:v>공통 목표 최종 상태와 전체 음성 준비</x:v>
      </x:c>
      <x:c r="E1926" s="12" t="str">
        <x:v>via</x:v>
      </x:c>
      <x:c r="F1926" s="13" t="n">
        <x:v>7.018</x:v>
      </x:c>
      <x:c r="G1926" s="13" t="n">
        <x:v>7.018</x:v>
      </x:c>
      <x:c r="H1926" s="13" t="n">
        <x:v>0</x:v>
      </x:c>
      <x:c r="I1926" s="13" t="n">
        <x:v>-6</x:v>
      </x:c>
      <x:c r="J1926" s="12" t="str">
        <x:v>result_display, response_audio, intent_audio, first_audio_output</x:v>
      </x:c>
      <x:c r="K1926" s="12" t="str">
        <x:v>none</x:v>
      </x:c>
      <x:c r="L1926" s="13" t="n">
        <x:f>IF(G1926&lt;=I1926,0,MAX(0,L1920,L1921,L1922,L1924)+IF(E1926="via",MAX(0,G1926-MAX(F1926,I1926)),0))</x:f>
        <x:v>10.017999999999999</x:v>
      </x:c>
    </x:row>
    <x:row r="1927" ht="42" customHeight="1">
      <x:c r="A1927" s="7" t="str">
        <x:v>DP5-B</x:v>
      </x:c>
      <x:c r="B1927" s="7" t="str">
        <x:v>U09</x:v>
      </x:c>
      <x:c r="C1927" s="7" t="str">
        <x:v>input_end</x:v>
      </x:c>
      <x:c r="D1927" s="7" t="str">
        <x:v>사용자 입력 종료</x:v>
      </x:c>
      <x:c r="E1927" s="7" t="str">
        <x:v>external</x:v>
      </x:c>
      <x:c r="F1927" s="14" t="n">
        <x:v>0</x:v>
      </x:c>
      <x:c r="G1927" s="14" t="n">
        <x:v>0</x:v>
      </x:c>
      <x:c r="H1927" s="14" t="n">
        <x:v>0</x:v>
      </x:c>
      <x:c r="I1927" s="14" t="n">
        <x:v>0</x:v>
      </x:c>
      <x:c r="J1927" s="7" t="str"/>
      <x:c r="K1927" s="7" t="str">
        <x:v>none</x:v>
      </x:c>
      <x:c r="L1927" s="14" t="n">
        <x:f>IF(G1927&lt;=I1927,0,MAX(0)+IF(E1927="via",MAX(0,G1927-MAX(F1927,I1927)),0))</x:f>
        <x:v>0</x:v>
      </x:c>
    </x:row>
    <x:row r="1928" ht="42" customHeight="1">
      <x:c r="A1928" s="12" t="str">
        <x:v>DP5-B</x:v>
      </x:c>
      <x:c r="B1928" s="12" t="str">
        <x:v>U09</x:v>
      </x:c>
      <x:c r="C1928" s="12" t="str">
        <x:v>intake</x:v>
      </x:c>
      <x:c r="D1928" s="12" t="str">
        <x:v>입력 확정</x:v>
      </x:c>
      <x:c r="E1928" s="12" t="str">
        <x:v>via</x:v>
      </x:c>
      <x:c r="F1928" s="13" t="n">
        <x:v>0</x:v>
      </x:c>
      <x:c r="G1928" s="13" t="n">
        <x:v>0.3</x:v>
      </x:c>
      <x:c r="H1928" s="13" t="n">
        <x:v>0.3</x:v>
      </x:c>
      <x:c r="I1928" s="13" t="n">
        <x:v>0</x:v>
      </x:c>
      <x:c r="J1928" s="12" t="str">
        <x:v>input_end</x:v>
      </x:c>
      <x:c r="K1928" s="12" t="str">
        <x:v>none</x:v>
      </x:c>
      <x:c r="L1928" s="13" t="n">
        <x:f>IF(G1928&lt;=I1928,0,MAX(0,L1927)+IF(E1928="via",MAX(0,G1928-MAX(F1928,I1928)),0))</x:f>
        <x:v>0.3</x:v>
      </x:c>
    </x:row>
    <x:row r="1929" ht="42" customHeight="1">
      <x:c r="A1929" s="7" t="str">
        <x:v>DP5-B</x:v>
      </x:c>
      <x:c r="B1929" s="7" t="str">
        <x:v>U09</x:v>
      </x:c>
      <x:c r="C1929" s="7" t="str">
        <x:v>read</x:v>
      </x:c>
      <x:c r="D1929" s="7" t="str">
        <x:v>공통 허용 원본 조회</x:v>
      </x:c>
      <x:c r="E1929" s="7" t="str">
        <x:v>via</x:v>
      </x:c>
      <x:c r="F1929" s="14" t="n">
        <x:v>0.3</x:v>
      </x:c>
      <x:c r="G1929" s="14" t="n">
        <x:v>0.38</x:v>
      </x:c>
      <x:c r="H1929" s="14" t="n">
        <x:v>0.08</x:v>
      </x:c>
      <x:c r="I1929" s="14" t="n">
        <x:v>0</x:v>
      </x:c>
      <x:c r="J1929" s="7" t="str">
        <x:v>intake</x:v>
      </x:c>
      <x:c r="K1929" s="7" t="str">
        <x:v>none</x:v>
      </x:c>
      <x:c r="L1929" s="14" t="n">
        <x:f>IF(G1929&lt;=I1929,0,MAX(0,L1928)+IF(E1929="via",MAX(0,G1929-MAX(F1929,I1929)),0))</x:f>
        <x:v>0.38</x:v>
      </x:c>
    </x:row>
    <x:row r="1930" ht="42" customHeight="1">
      <x:c r="A1930" s="12" t="str">
        <x:v>DP5-B</x:v>
      </x:c>
      <x:c r="B1930" s="12" t="str">
        <x:v>U09</x:v>
      </x:c>
      <x:c r="C1930" s="12" t="str">
        <x:v>native_selection</x:v>
      </x:c>
      <x:c r="D1930" s="12" t="str">
        <x:v>Native 선택 사실 조회</x:v>
      </x:c>
      <x:c r="E1930" s="12" t="str">
        <x:v>via</x:v>
      </x:c>
      <x:c r="F1930" s="13" t="n">
        <x:v>0.38</x:v>
      </x:c>
      <x:c r="G1930" s="13" t="n">
        <x:v>0.46</x:v>
      </x:c>
      <x:c r="H1930" s="13" t="n">
        <x:v>0.08</x:v>
      </x:c>
      <x:c r="I1930" s="13" t="n">
        <x:v>0</x:v>
      </x:c>
      <x:c r="J1930" s="12" t="str">
        <x:v>read</x:v>
      </x:c>
      <x:c r="K1930" s="12" t="str">
        <x:v>none</x:v>
      </x:c>
      <x:c r="L1930" s="13" t="n">
        <x:f>IF(G1930&lt;=I1930,0,MAX(0,L1929)+IF(E1930="via",MAX(0,G1930-MAX(F1930,I1930)),0))</x:f>
        <x:v>0.46</x:v>
      </x:c>
    </x:row>
    <x:row r="1931" ht="42" customHeight="1">
      <x:c r="A1931" s="7" t="str">
        <x:v>DP5-B</x:v>
      </x:c>
      <x:c r="B1931" s="7" t="str">
        <x:v>U09</x:v>
      </x:c>
      <x:c r="C1931" s="7" t="str">
        <x:v>meaning</x:v>
      </x:c>
      <x:c r="D1931" s="7" t="str">
        <x:v>최초 요청 의미 채택 packet 생성</x:v>
      </x:c>
      <x:c r="E1931" s="7" t="str">
        <x:v>via</x:v>
      </x:c>
      <x:c r="F1931" s="14" t="n">
        <x:v>0.46</x:v>
      </x:c>
      <x:c r="G1931" s="14" t="n">
        <x:v>1.56</x:v>
      </x:c>
      <x:c r="H1931" s="14" t="n">
        <x:v>1.1</x:v>
      </x:c>
      <x:c r="I1931" s="14" t="n">
        <x:v>0</x:v>
      </x:c>
      <x:c r="J1931" s="7" t="str">
        <x:v>native_selection</x:v>
      </x:c>
      <x:c r="K1931" s="7" t="str">
        <x:v>semantic</x:v>
      </x:c>
      <x:c r="L1931" s="14" t="n">
        <x:f>IF(G1931&lt;=I1931,0,MAX(0,L1930)+IF(E1931="via",MAX(0,G1931-MAX(F1931,I1931)),0))</x:f>
        <x:v>1.56</x:v>
      </x:c>
    </x:row>
    <x:row r="1932" ht="42" customHeight="1">
      <x:c r="A1932" s="12" t="str">
        <x:v>DP5-B</x:v>
      </x:c>
      <x:c r="B1932" s="12" t="str">
        <x:v>U09</x:v>
      </x:c>
      <x:c r="C1932" s="12" t="str">
        <x:v>adopt</x:v>
      </x:c>
      <x:c r="D1932" s="12" t="str">
        <x:v>현재 revision과 권한 검사 및 채택</x:v>
      </x:c>
      <x:c r="E1932" s="12" t="str">
        <x:v>via</x:v>
      </x:c>
      <x:c r="F1932" s="13" t="n">
        <x:v>1.56</x:v>
      </x:c>
      <x:c r="G1932" s="13" t="n">
        <x:v>1.59</x:v>
      </x:c>
      <x:c r="H1932" s="13" t="n">
        <x:v>0.03</x:v>
      </x:c>
      <x:c r="I1932" s="13" t="n">
        <x:v>0</x:v>
      </x:c>
      <x:c r="J1932" s="12" t="str">
        <x:v>meaning</x:v>
      </x:c>
      <x:c r="K1932" s="12" t="str">
        <x:v>none</x:v>
      </x:c>
      <x:c r="L1932" s="13" t="n">
        <x:f>IF(G1932&lt;=I1932,0,MAX(0,L1931)+IF(E1932="via",MAX(0,G1932-MAX(F1932,I1932)),0))</x:f>
        <x:v>1.59</x:v>
      </x:c>
    </x:row>
    <x:row r="1933" ht="42" customHeight="1">
      <x:c r="A1933" s="7" t="str">
        <x:v>DP5-B</x:v>
      </x:c>
      <x:c r="B1933" s="7" t="str">
        <x:v>U09</x:v>
      </x:c>
      <x:c r="C1933" s="7" t="str">
        <x:v>first_display</x:v>
      </x:c>
      <x:c r="D1933" s="7" t="str">
        <x:v>첫 구체적 채택 내용 화면 표시</x:v>
      </x:c>
      <x:c r="E1933" s="7" t="str">
        <x:v>via</x:v>
      </x:c>
      <x:c r="F1933" s="14" t="n">
        <x:v>1.59</x:v>
      </x:c>
      <x:c r="G1933" s="14" t="n">
        <x:v>1.6300000000000001</x:v>
      </x:c>
      <x:c r="H1933" s="14" t="n">
        <x:v>0.04</x:v>
      </x:c>
      <x:c r="I1933" s="14" t="n">
        <x:v>0</x:v>
      </x:c>
      <x:c r="J1933" s="7" t="str">
        <x:v>adopt</x:v>
      </x:c>
      <x:c r="K1933" s="7" t="str">
        <x:v>none</x:v>
      </x:c>
      <x:c r="L1933" s="14" t="n">
        <x:f>IF(G1933&lt;=I1933,0,MAX(0,L1932)+IF(E1933="via",MAX(0,G1933-MAX(F1933,I1933)),0))</x:f>
        <x:v>1.6300000000000001</x:v>
      </x:c>
    </x:row>
    <x:row r="1934" ht="42" customHeight="1">
      <x:c r="A1934" s="12" t="str">
        <x:v>DP5-B</x:v>
      </x:c>
      <x:c r="B1934" s="12" t="str">
        <x:v>U09</x:v>
      </x:c>
      <x:c r="C1934" s="12" t="str">
        <x:v>agent_ingress</x:v>
      </x:c>
      <x:c r="D1934" s="12" t="str">
        <x:v>Agent 요청 전송</x:v>
      </x:c>
      <x:c r="E1934" s="12" t="str">
        <x:v>via</x:v>
      </x:c>
      <x:c r="F1934" s="13" t="n">
        <x:v>1.59</x:v>
      </x:c>
      <x:c r="G1934" s="13" t="n">
        <x:v>1.6300000000000001</x:v>
      </x:c>
      <x:c r="H1934" s="13" t="n">
        <x:v>0.04</x:v>
      </x:c>
      <x:c r="I1934" s="13" t="n">
        <x:v>0</x:v>
      </x:c>
      <x:c r="J1934" s="12" t="str">
        <x:v>adopt</x:v>
      </x:c>
      <x:c r="K1934" s="12" t="str">
        <x:v>none</x:v>
      </x:c>
      <x:c r="L1934" s="13" t="n">
        <x:f>IF(G1934&lt;=I1934,0,MAX(0,L1932)+IF(E1934="via",MAX(0,G1934-MAX(F1934,I1934)),0))</x:f>
        <x:v>1.6300000000000001</x:v>
      </x:c>
    </x:row>
    <x:row r="1935" ht="42" customHeight="1">
      <x:c r="A1935" s="7" t="str">
        <x:v>DP5-B</x:v>
      </x:c>
      <x:c r="B1935" s="7" t="str">
        <x:v>U09</x:v>
      </x:c>
      <x:c r="C1935" s="7" t="str">
        <x:v>agent_result</x:v>
      </x:c>
      <x:c r="D1935" s="7" t="str">
        <x:v>외부 Agent 업무</x:v>
      </x:c>
      <x:c r="E1935" s="7" t="str">
        <x:v>external</x:v>
      </x:c>
      <x:c r="F1935" s="14" t="n">
        <x:v>1.6300000000000001</x:v>
      </x:c>
      <x:c r="G1935" s="14" t="n">
        <x:v>9.63</x:v>
      </x:c>
      <x:c r="H1935" s="14" t="n">
        <x:v>8</x:v>
      </x:c>
      <x:c r="I1935" s="14" t="n">
        <x:v>0</x:v>
      </x:c>
      <x:c r="J1935" s="7" t="str">
        <x:v>agent_ingress</x:v>
      </x:c>
      <x:c r="K1935" s="7" t="str">
        <x:v>none</x:v>
      </x:c>
      <x:c r="L1935" s="14" t="n">
        <x:f>IF(G1935&lt;=I1935,0,MAX(0,L1934)+IF(E1935="via",MAX(0,G1935-MAX(F1935,I1935)),0))</x:f>
        <x:v>1.6300000000000001</x:v>
      </x:c>
    </x:row>
    <x:row r="1936" ht="42" customHeight="1">
      <x:c r="A1936" s="12" t="str">
        <x:v>DP5-B</x:v>
      </x:c>
      <x:c r="B1936" s="12" t="str">
        <x:v>U09</x:v>
      </x:c>
      <x:c r="C1936" s="12" t="str">
        <x:v>result_display</x:v>
      </x:c>
      <x:c r="D1936" s="12" t="str">
        <x:v>최종 결과 상세 표시</x:v>
      </x:c>
      <x:c r="E1936" s="12" t="str">
        <x:v>via</x:v>
      </x:c>
      <x:c r="F1936" s="13" t="n">
        <x:v>9.63</x:v>
      </x:c>
      <x:c r="G1936" s="13" t="n">
        <x:v>9.67</x:v>
      </x:c>
      <x:c r="H1936" s="13" t="n">
        <x:v>0.04</x:v>
      </x:c>
      <x:c r="I1936" s="13" t="n">
        <x:v>0</x:v>
      </x:c>
      <x:c r="J1936" s="12" t="str">
        <x:v>agent_result</x:v>
      </x:c>
      <x:c r="K1936" s="12" t="str">
        <x:v>none</x:v>
      </x:c>
      <x:c r="L1936" s="13" t="n">
        <x:f>IF(G1936&lt;=I1936,0,MAX(0,L1935)+IF(E1936="via",MAX(0,G1936-MAX(F1936,I1936)),0))</x:f>
        <x:v>1.6699999999999993</x:v>
      </x:c>
    </x:row>
    <x:row r="1937" ht="42" customHeight="1">
      <x:c r="A1937" s="7" t="str">
        <x:v>DP5-B</x:v>
      </x:c>
      <x:c r="B1937" s="7" t="str">
        <x:v>U09</x:v>
      </x:c>
      <x:c r="C1937" s="7" t="str">
        <x:v>response_audio</x:v>
      </x:c>
      <x:c r="D1937" s="7" t="str">
        <x:v>선택한 응답 음성 생성</x:v>
      </x:c>
      <x:c r="E1937" s="7" t="str">
        <x:v>via</x:v>
      </x:c>
      <x:c r="F1937" s="14" t="n">
        <x:v>9.63</x:v>
      </x:c>
      <x:c r="G1937" s="14" t="n">
        <x:v>11.518</x:v>
      </x:c>
      <x:c r="H1937" s="14" t="n">
        <x:v>1.888</x:v>
      </x:c>
      <x:c r="I1937" s="14" t="n">
        <x:v>0</x:v>
      </x:c>
      <x:c r="J1937" s="7" t="str">
        <x:v>agent_result</x:v>
      </x:c>
      <x:c r="K1937" s="7" t="str">
        <x:v>speech</x:v>
      </x:c>
      <x:c r="L1937" s="14" t="n">
        <x:f>IF(G1937&lt;=I1937,0,MAX(0,L1935)+IF(E1937="via",MAX(0,G1937-MAX(F1937,I1937)),0))</x:f>
        <x:v>3.518</x:v>
      </x:c>
    </x:row>
    <x:row r="1938" ht="42" customHeight="1">
      <x:c r="A1938" s="12" t="str">
        <x:v>DP5-B</x:v>
      </x:c>
      <x:c r="B1938" s="12" t="str">
        <x:v>U09</x:v>
      </x:c>
      <x:c r="C1938" s="12" t="str">
        <x:v>intent_audio</x:v>
      </x:c>
      <x:c r="D1938" s="12" t="str">
        <x:v>채택한 구체적 수행 의도의 짧은 음성</x:v>
      </x:c>
      <x:c r="E1938" s="12" t="str">
        <x:v>via</x:v>
      </x:c>
      <x:c r="F1938" s="13" t="n">
        <x:v>1.59</x:v>
      </x:c>
      <x:c r="G1938" s="13" t="n">
        <x:v>2.724</x:v>
      </x:c>
      <x:c r="H1938" s="13" t="n">
        <x:v>1.134</x:v>
      </x:c>
      <x:c r="I1938" s="13" t="n">
        <x:v>0</x:v>
      </x:c>
      <x:c r="J1938" s="12" t="str">
        <x:v>adopt</x:v>
      </x:c>
      <x:c r="K1938" s="12" t="str">
        <x:v>speech</x:v>
      </x:c>
      <x:c r="L1938" s="13" t="n">
        <x:f>IF(G1938&lt;=I1938,0,MAX(0,L1932)+IF(E1938="via",MAX(0,G1938-MAX(F1938,I1938)),0))</x:f>
        <x:v>2.724</x:v>
      </x:c>
    </x:row>
    <x:row r="1939" ht="42" customHeight="1">
      <x:c r="A1939" s="7" t="str">
        <x:v>DP5-B</x:v>
      </x:c>
      <x:c r="B1939" s="7" t="str">
        <x:v>U09</x:v>
      </x:c>
      <x:c r="C1939" s="7" t="str">
        <x:v>first_chunk</x:v>
      </x:c>
      <x:c r="D1939" s="7" t="str">
        <x:v>같은 생성 job의 유효 첫 chunk 관측</x:v>
      </x:c>
      <x:c r="E1939" s="7" t="str">
        <x:v>via</x:v>
      </x:c>
      <x:c r="F1939" s="14" t="n">
        <x:v>1.59</x:v>
      </x:c>
      <x:c r="G1939" s="14" t="n">
        <x:v>2.024</x:v>
      </x:c>
      <x:c r="H1939" s="14" t="n">
        <x:v>0.434</x:v>
      </x:c>
      <x:c r="I1939" s="14" t="n">
        <x:v>0</x:v>
      </x:c>
      <x:c r="J1939" s="7" t="str">
        <x:v>adopt</x:v>
      </x:c>
      <x:c r="K1939" s="7" t="str">
        <x:v>none</x:v>
      </x:c>
      <x:c r="L1939" s="14" t="n">
        <x:f>IF(G1939&lt;=I1939,0,MAX(0,L1932)+IF(E1939="via",MAX(0,G1939-MAX(F1939,I1939)),0))</x:f>
        <x:v>2.024</x:v>
      </x:c>
    </x:row>
    <x:row r="1940" ht="42" customHeight="1">
      <x:c r="A1940" s="12" t="str">
        <x:v>DP5-B</x:v>
      </x:c>
      <x:c r="B1940" s="12" t="str">
        <x:v>U09</x:v>
      </x:c>
      <x:c r="C1940" s="12" t="str">
        <x:v>first_audio_output</x:v>
      </x:c>
      <x:c r="D1940" s="12" t="str">
        <x:v>공통 장치의 첫 음성 출력</x:v>
      </x:c>
      <x:c r="E1940" s="12" t="str">
        <x:v>via</x:v>
      </x:c>
      <x:c r="F1940" s="13" t="n">
        <x:v>2.024</x:v>
      </x:c>
      <x:c r="G1940" s="13" t="n">
        <x:v>2.064</x:v>
      </x:c>
      <x:c r="H1940" s="13" t="n">
        <x:v>0.04</x:v>
      </x:c>
      <x:c r="I1940" s="13" t="n">
        <x:v>0</x:v>
      </x:c>
      <x:c r="J1940" s="12" t="str">
        <x:v>adopt, first_chunk</x:v>
      </x:c>
      <x:c r="K1940" s="12" t="str">
        <x:v>none</x:v>
      </x:c>
      <x:c r="L1940" s="13" t="n">
        <x:f>IF(G1940&lt;=I1940,0,MAX(0,L1932,L1939)+IF(E1940="via",MAX(0,G1940-MAX(F1940,I1940)),0))</x:f>
        <x:v>2.064</x:v>
      </x:c>
    </x:row>
    <x:row r="1941" ht="42" customHeight="1">
      <x:c r="A1941" s="7" t="str">
        <x:v>DP5-B</x:v>
      </x:c>
      <x:c r="B1941" s="7" t="str">
        <x:v>U09</x:v>
      </x:c>
      <x:c r="C1941" s="7" t="str">
        <x:v>next_speech_selection</x:v>
      </x:c>
      <x:c r="D1941" s="7" t="str">
        <x:v>현재 발화 재생 후 다음 응답 선택</x:v>
      </x:c>
      <x:c r="E1941" s="7" t="str">
        <x:v>external</x:v>
      </x:c>
      <x:c r="F1941" s="14" t="n">
        <x:v>2.064</x:v>
      </x:c>
      <x:c r="G1941" s="14" t="n">
        <x:v>5.064</x:v>
      </x:c>
      <x:c r="H1941" s="14" t="n">
        <x:v>3</x:v>
      </x:c>
      <x:c r="I1941" s="14" t="n">
        <x:v>0</x:v>
      </x:c>
      <x:c r="J1941" s="7" t="str">
        <x:v>first_audio_output</x:v>
      </x:c>
      <x:c r="K1941" s="7" t="str">
        <x:v>none</x:v>
      </x:c>
      <x:c r="L1941" s="14" t="n">
        <x:f>IF(G1941&lt;=I1941,0,MAX(0,L1940)+IF(E1941="via",MAX(0,G1941-MAX(F1941,I1941)),0))</x:f>
        <x:v>2.064</x:v>
      </x:c>
    </x:row>
    <x:row r="1942" ht="42" customHeight="1">
      <x:c r="A1942" s="12" t="str">
        <x:v>DP5-B</x:v>
      </x:c>
      <x:c r="B1942" s="12" t="str">
        <x:v>U09</x:v>
      </x:c>
      <x:c r="C1942" s="12" t="str">
        <x:v>terminal</x:v>
      </x:c>
      <x:c r="D1942" s="12" t="str">
        <x:v>공통 목표 최종 상태와 전체 음성 준비</x:v>
      </x:c>
      <x:c r="E1942" s="12" t="str">
        <x:v>via</x:v>
      </x:c>
      <x:c r="F1942" s="13" t="n">
        <x:v>11.518</x:v>
      </x:c>
      <x:c r="G1942" s="13" t="n">
        <x:v>11.518</x:v>
      </x:c>
      <x:c r="H1942" s="13" t="n">
        <x:v>0</x:v>
      </x:c>
      <x:c r="I1942" s="13" t="n">
        <x:v>0</x:v>
      </x:c>
      <x:c r="J1942" s="12" t="str">
        <x:v>result_display, response_audio, intent_audio, first_audio_output</x:v>
      </x:c>
      <x:c r="K1942" s="12" t="str">
        <x:v>none</x:v>
      </x:c>
      <x:c r="L1942" s="13" t="n">
        <x:f>IF(G1942&lt;=I1942,0,MAX(0,L1936,L1937,L1938,L1940)+IF(E1942="via",MAX(0,G1942-MAX(F1942,I1942)),0))</x:f>
        <x:v>3.518</x:v>
      </x:c>
    </x:row>
    <x:row r="1943" ht="42" customHeight="1">
      <x:c r="A1943" s="7" t="str">
        <x:v>DP5-B</x:v>
      </x:c>
      <x:c r="B1943" s="7" t="str">
        <x:v>U10</x:v>
      </x:c>
      <x:c r="C1943" s="7" t="str">
        <x:v>input_end</x:v>
      </x:c>
      <x:c r="D1943" s="7" t="str">
        <x:v>사용자 입력 종료</x:v>
      </x:c>
      <x:c r="E1943" s="7" t="str">
        <x:v>external</x:v>
      </x:c>
      <x:c r="F1943" s="14" t="n">
        <x:v>0</x:v>
      </x:c>
      <x:c r="G1943" s="14" t="n">
        <x:v>0</x:v>
      </x:c>
      <x:c r="H1943" s="14" t="n">
        <x:v>0</x:v>
      </x:c>
      <x:c r="I1943" s="14" t="n">
        <x:v>0</x:v>
      </x:c>
      <x:c r="J1943" s="7" t="str"/>
      <x:c r="K1943" s="7" t="str">
        <x:v>none</x:v>
      </x:c>
      <x:c r="L1943" s="14" t="n">
        <x:f>IF(G1943&lt;=I1943,0,MAX(0)+IF(E1943="via",MAX(0,G1943-MAX(F1943,I1943)),0))</x:f>
        <x:v>0</x:v>
      </x:c>
    </x:row>
    <x:row r="1944" ht="42" customHeight="1">
      <x:c r="A1944" s="12" t="str">
        <x:v>DP5-B</x:v>
      </x:c>
      <x:c r="B1944" s="12" t="str">
        <x:v>U10</x:v>
      </x:c>
      <x:c r="C1944" s="12" t="str">
        <x:v>intake</x:v>
      </x:c>
      <x:c r="D1944" s="12" t="str">
        <x:v>입력 확정</x:v>
      </x:c>
      <x:c r="E1944" s="12" t="str">
        <x:v>via</x:v>
      </x:c>
      <x:c r="F1944" s="13" t="n">
        <x:v>0</x:v>
      </x:c>
      <x:c r="G1944" s="13" t="n">
        <x:v>0.3</x:v>
      </x:c>
      <x:c r="H1944" s="13" t="n">
        <x:v>0.3</x:v>
      </x:c>
      <x:c r="I1944" s="13" t="n">
        <x:v>0</x:v>
      </x:c>
      <x:c r="J1944" s="12" t="str">
        <x:v>input_end</x:v>
      </x:c>
      <x:c r="K1944" s="12" t="str">
        <x:v>none</x:v>
      </x:c>
      <x:c r="L1944" s="13" t="n">
        <x:f>IF(G1944&lt;=I1944,0,MAX(0,L1943)+IF(E1944="via",MAX(0,G1944-MAX(F1944,I1944)),0))</x:f>
        <x:v>0.3</x:v>
      </x:c>
    </x:row>
    <x:row r="1945" ht="42" customHeight="1">
      <x:c r="A1945" s="7" t="str">
        <x:v>DP5-B</x:v>
      </x:c>
      <x:c r="B1945" s="7" t="str">
        <x:v>U10</x:v>
      </x:c>
      <x:c r="C1945" s="7" t="str">
        <x:v>read</x:v>
      </x:c>
      <x:c r="D1945" s="7" t="str">
        <x:v>공통 허용 원본 조회</x:v>
      </x:c>
      <x:c r="E1945" s="7" t="str">
        <x:v>via</x:v>
      </x:c>
      <x:c r="F1945" s="14" t="n">
        <x:v>0.3</x:v>
      </x:c>
      <x:c r="G1945" s="14" t="n">
        <x:v>0.38</x:v>
      </x:c>
      <x:c r="H1945" s="14" t="n">
        <x:v>0.08</x:v>
      </x:c>
      <x:c r="I1945" s="14" t="n">
        <x:v>0</x:v>
      </x:c>
      <x:c r="J1945" s="7" t="str">
        <x:v>intake</x:v>
      </x:c>
      <x:c r="K1945" s="7" t="str">
        <x:v>none</x:v>
      </x:c>
      <x:c r="L1945" s="14" t="n">
        <x:f>IF(G1945&lt;=I1945,0,MAX(0,L1944)+IF(E1945="via",MAX(0,G1945-MAX(F1945,I1945)),0))</x:f>
        <x:v>0.38</x:v>
      </x:c>
    </x:row>
    <x:row r="1946" ht="42" customHeight="1">
      <x:c r="A1946" s="12" t="str">
        <x:v>DP5-B</x:v>
      </x:c>
      <x:c r="B1946" s="12" t="str">
        <x:v>U10</x:v>
      </x:c>
      <x:c r="C1946" s="12" t="str">
        <x:v>meaning</x:v>
      </x:c>
      <x:c r="D1946" s="12" t="str">
        <x:v>최초 요청 의미 채택 packet 생성</x:v>
      </x:c>
      <x:c r="E1946" s="12" t="str">
        <x:v>via</x:v>
      </x:c>
      <x:c r="F1946" s="13" t="n">
        <x:v>0.38</x:v>
      </x:c>
      <x:c r="G1946" s="13" t="n">
        <x:v>1.7800000000000002</x:v>
      </x:c>
      <x:c r="H1946" s="13" t="n">
        <x:v>1.4000000000000001</x:v>
      </x:c>
      <x:c r="I1946" s="13" t="n">
        <x:v>0</x:v>
      </x:c>
      <x:c r="J1946" s="12" t="str">
        <x:v>read</x:v>
      </x:c>
      <x:c r="K1946" s="12" t="str">
        <x:v>semantic</x:v>
      </x:c>
      <x:c r="L1946" s="13" t="n">
        <x:f>IF(G1946&lt;=I1946,0,MAX(0,L1945)+IF(E1946="via",MAX(0,G1946-MAX(F1946,I1946)),0))</x:f>
        <x:v>1.7800000000000002</x:v>
      </x:c>
    </x:row>
    <x:row r="1947" ht="42" customHeight="1">
      <x:c r="A1947" s="7" t="str">
        <x:v>DP5-B</x:v>
      </x:c>
      <x:c r="B1947" s="7" t="str">
        <x:v>U10</x:v>
      </x:c>
      <x:c r="C1947" s="7" t="str">
        <x:v>adopt</x:v>
      </x:c>
      <x:c r="D1947" s="7" t="str">
        <x:v>현재 revision과 권한 검사 및 채택</x:v>
      </x:c>
      <x:c r="E1947" s="7" t="str">
        <x:v>via</x:v>
      </x:c>
      <x:c r="F1947" s="14" t="n">
        <x:v>1.7800000000000002</x:v>
      </x:c>
      <x:c r="G1947" s="14" t="n">
        <x:v>1.8100000000000003</x:v>
      </x:c>
      <x:c r="H1947" s="14" t="n">
        <x:v>0.03</x:v>
      </x:c>
      <x:c r="I1947" s="14" t="n">
        <x:v>0</x:v>
      </x:c>
      <x:c r="J1947" s="7" t="str">
        <x:v>meaning</x:v>
      </x:c>
      <x:c r="K1947" s="7" t="str">
        <x:v>none</x:v>
      </x:c>
      <x:c r="L1947" s="14" t="n">
        <x:f>IF(G1947&lt;=I1947,0,MAX(0,L1946)+IF(E1947="via",MAX(0,G1947-MAX(F1947,I1947)),0))</x:f>
        <x:v>1.8100000000000003</x:v>
      </x:c>
    </x:row>
    <x:row r="1948" ht="42" customHeight="1">
      <x:c r="A1948" s="12" t="str">
        <x:v>DP5-B</x:v>
      </x:c>
      <x:c r="B1948" s="12" t="str">
        <x:v>U10</x:v>
      </x:c>
      <x:c r="C1948" s="12" t="str">
        <x:v>first_display</x:v>
      </x:c>
      <x:c r="D1948" s="12" t="str">
        <x:v>첫 구체적 채택 내용 화면 표시</x:v>
      </x:c>
      <x:c r="E1948" s="12" t="str">
        <x:v>via</x:v>
      </x:c>
      <x:c r="F1948" s="13" t="n">
        <x:v>1.8100000000000003</x:v>
      </x:c>
      <x:c r="G1948" s="13" t="n">
        <x:v>1.8500000000000003</x:v>
      </x:c>
      <x:c r="H1948" s="13" t="n">
        <x:v>0.04</x:v>
      </x:c>
      <x:c r="I1948" s="13" t="n">
        <x:v>0</x:v>
      </x:c>
      <x:c r="J1948" s="12" t="str">
        <x:v>adopt</x:v>
      </x:c>
      <x:c r="K1948" s="12" t="str">
        <x:v>none</x:v>
      </x:c>
      <x:c r="L1948" s="13" t="n">
        <x:f>IF(G1948&lt;=I1948,0,MAX(0,L1947)+IF(E1948="via",MAX(0,G1948-MAX(F1948,I1948)),0))</x:f>
        <x:v>1.8500000000000003</x:v>
      </x:c>
    </x:row>
    <x:row r="1949" ht="42" customHeight="1">
      <x:c r="A1949" s="7" t="str">
        <x:v>DP5-B</x:v>
      </x:c>
      <x:c r="B1949" s="7" t="str">
        <x:v>U10</x:v>
      </x:c>
      <x:c r="C1949" s="7" t="str">
        <x:v>agent_ingress</x:v>
      </x:c>
      <x:c r="D1949" s="7" t="str">
        <x:v>Agent 요청 전송</x:v>
      </x:c>
      <x:c r="E1949" s="7" t="str">
        <x:v>via</x:v>
      </x:c>
      <x:c r="F1949" s="14" t="n">
        <x:v>1.8100000000000003</x:v>
      </x:c>
      <x:c r="G1949" s="14" t="n">
        <x:v>1.8500000000000003</x:v>
      </x:c>
      <x:c r="H1949" s="14" t="n">
        <x:v>0.04</x:v>
      </x:c>
      <x:c r="I1949" s="14" t="n">
        <x:v>0</x:v>
      </x:c>
      <x:c r="J1949" s="7" t="str">
        <x:v>adopt</x:v>
      </x:c>
      <x:c r="K1949" s="7" t="str">
        <x:v>none</x:v>
      </x:c>
      <x:c r="L1949" s="14" t="n">
        <x:f>IF(G1949&lt;=I1949,0,MAX(0,L1947)+IF(E1949="via",MAX(0,G1949-MAX(F1949,I1949)),0))</x:f>
        <x:v>1.8500000000000003</x:v>
      </x:c>
    </x:row>
    <x:row r="1950" ht="42" customHeight="1">
      <x:c r="A1950" s="12" t="str">
        <x:v>DP5-B</x:v>
      </x:c>
      <x:c r="B1950" s="12" t="str">
        <x:v>U10</x:v>
      </x:c>
      <x:c r="C1950" s="12" t="str">
        <x:v>agent_result</x:v>
      </x:c>
      <x:c r="D1950" s="12" t="str">
        <x:v>외부 Agent 업무</x:v>
      </x:c>
      <x:c r="E1950" s="12" t="str">
        <x:v>external</x:v>
      </x:c>
      <x:c r="F1950" s="13" t="n">
        <x:v>1.8500000000000003</x:v>
      </x:c>
      <x:c r="G1950" s="13" t="n">
        <x:v>9.85</x:v>
      </x:c>
      <x:c r="H1950" s="13" t="n">
        <x:v>8</x:v>
      </x:c>
      <x:c r="I1950" s="13" t="n">
        <x:v>0</x:v>
      </x:c>
      <x:c r="J1950" s="12" t="str">
        <x:v>agent_ingress</x:v>
      </x:c>
      <x:c r="K1950" s="12" t="str">
        <x:v>none</x:v>
      </x:c>
      <x:c r="L1950" s="13" t="n">
        <x:f>IF(G1950&lt;=I1950,0,MAX(0,L1949)+IF(E1950="via",MAX(0,G1950-MAX(F1950,I1950)),0))</x:f>
        <x:v>1.8500000000000003</x:v>
      </x:c>
    </x:row>
    <x:row r="1951" ht="42" customHeight="1">
      <x:c r="A1951" s="7" t="str">
        <x:v>DP5-B</x:v>
      </x:c>
      <x:c r="B1951" s="7" t="str">
        <x:v>U10</x:v>
      </x:c>
      <x:c r="C1951" s="7" t="str">
        <x:v>result_display</x:v>
      </x:c>
      <x:c r="D1951" s="7" t="str">
        <x:v>최종 결과 상세 표시</x:v>
      </x:c>
      <x:c r="E1951" s="7" t="str">
        <x:v>via</x:v>
      </x:c>
      <x:c r="F1951" s="14" t="n">
        <x:v>9.85</x:v>
      </x:c>
      <x:c r="G1951" s="14" t="n">
        <x:v>9.889999999999999</x:v>
      </x:c>
      <x:c r="H1951" s="14" t="n">
        <x:v>0.04</x:v>
      </x:c>
      <x:c r="I1951" s="14" t="n">
        <x:v>0</x:v>
      </x:c>
      <x:c r="J1951" s="7" t="str">
        <x:v>agent_result</x:v>
      </x:c>
      <x:c r="K1951" s="7" t="str">
        <x:v>none</x:v>
      </x:c>
      <x:c r="L1951" s="14" t="n">
        <x:f>IF(G1951&lt;=I1951,0,MAX(0,L1950)+IF(E1951="via",MAX(0,G1951-MAX(F1951,I1951)),0))</x:f>
        <x:v>1.8899999999999995</x:v>
      </x:c>
    </x:row>
    <x:row r="1952" ht="42" customHeight="1">
      <x:c r="A1952" s="12" t="str">
        <x:v>DP5-B</x:v>
      </x:c>
      <x:c r="B1952" s="12" t="str">
        <x:v>U10</x:v>
      </x:c>
      <x:c r="C1952" s="12" t="str">
        <x:v>response_audio</x:v>
      </x:c>
      <x:c r="D1952" s="12" t="str">
        <x:v>선택한 응답 음성 생성</x:v>
      </x:c>
      <x:c r="E1952" s="12" t="str">
        <x:v>via</x:v>
      </x:c>
      <x:c r="F1952" s="13" t="n">
        <x:v>9.85</x:v>
      </x:c>
      <x:c r="G1952" s="13" t="n">
        <x:v>11.738</x:v>
      </x:c>
      <x:c r="H1952" s="13" t="n">
        <x:v>1.888</x:v>
      </x:c>
      <x:c r="I1952" s="13" t="n">
        <x:v>0</x:v>
      </x:c>
      <x:c r="J1952" s="12" t="str">
        <x:v>agent_result</x:v>
      </x:c>
      <x:c r="K1952" s="12" t="str">
        <x:v>speech</x:v>
      </x:c>
      <x:c r="L1952" s="13" t="n">
        <x:f>IF(G1952&lt;=I1952,0,MAX(0,L1950)+IF(E1952="via",MAX(0,G1952-MAX(F1952,I1952)),0))</x:f>
        <x:v>3.7380000000000004</x:v>
      </x:c>
    </x:row>
    <x:row r="1953" ht="42" customHeight="1">
      <x:c r="A1953" s="7" t="str">
        <x:v>DP5-B</x:v>
      </x:c>
      <x:c r="B1953" s="7" t="str">
        <x:v>U10</x:v>
      </x:c>
      <x:c r="C1953" s="7" t="str">
        <x:v>intent_audio</x:v>
      </x:c>
      <x:c r="D1953" s="7" t="str">
        <x:v>채택한 구체적 수행 의도의 짧은 음성</x:v>
      </x:c>
      <x:c r="E1953" s="7" t="str">
        <x:v>via</x:v>
      </x:c>
      <x:c r="F1953" s="14" t="n">
        <x:v>1.8100000000000003</x:v>
      </x:c>
      <x:c r="G1953" s="14" t="n">
        <x:v>2.944</x:v>
      </x:c>
      <x:c r="H1953" s="14" t="n">
        <x:v>1.134</x:v>
      </x:c>
      <x:c r="I1953" s="14" t="n">
        <x:v>0</x:v>
      </x:c>
      <x:c r="J1953" s="7" t="str">
        <x:v>adopt</x:v>
      </x:c>
      <x:c r="K1953" s="7" t="str">
        <x:v>speech</x:v>
      </x:c>
      <x:c r="L1953" s="14" t="n">
        <x:f>IF(G1953&lt;=I1953,0,MAX(0,L1947)+IF(E1953="via",MAX(0,G1953-MAX(F1953,I1953)),0))</x:f>
        <x:v>2.944</x:v>
      </x:c>
    </x:row>
    <x:row r="1954" ht="42" customHeight="1">
      <x:c r="A1954" s="12" t="str">
        <x:v>DP5-B</x:v>
      </x:c>
      <x:c r="B1954" s="12" t="str">
        <x:v>U10</x:v>
      </x:c>
      <x:c r="C1954" s="12" t="str">
        <x:v>first_chunk</x:v>
      </x:c>
      <x:c r="D1954" s="12" t="str">
        <x:v>같은 생성 job의 유효 첫 chunk 관측</x:v>
      </x:c>
      <x:c r="E1954" s="12" t="str">
        <x:v>via</x:v>
      </x:c>
      <x:c r="F1954" s="13" t="n">
        <x:v>1.8100000000000003</x:v>
      </x:c>
      <x:c r="G1954" s="13" t="n">
        <x:v>2.244</x:v>
      </x:c>
      <x:c r="H1954" s="13" t="n">
        <x:v>0.434</x:v>
      </x:c>
      <x:c r="I1954" s="13" t="n">
        <x:v>0</x:v>
      </x:c>
      <x:c r="J1954" s="12" t="str">
        <x:v>adopt</x:v>
      </x:c>
      <x:c r="K1954" s="12" t="str">
        <x:v>none</x:v>
      </x:c>
      <x:c r="L1954" s="13" t="n">
        <x:f>IF(G1954&lt;=I1954,0,MAX(0,L1947)+IF(E1954="via",MAX(0,G1954-MAX(F1954,I1954)),0))</x:f>
        <x:v>2.244</x:v>
      </x:c>
    </x:row>
    <x:row r="1955" ht="42" customHeight="1">
      <x:c r="A1955" s="7" t="str">
        <x:v>DP5-B</x:v>
      </x:c>
      <x:c r="B1955" s="7" t="str">
        <x:v>U10</x:v>
      </x:c>
      <x:c r="C1955" s="7" t="str">
        <x:v>first_audio_output</x:v>
      </x:c>
      <x:c r="D1955" s="7" t="str">
        <x:v>공통 장치의 첫 음성 출력</x:v>
      </x:c>
      <x:c r="E1955" s="7" t="str">
        <x:v>via</x:v>
      </x:c>
      <x:c r="F1955" s="14" t="n">
        <x:v>2.244</x:v>
      </x:c>
      <x:c r="G1955" s="14" t="n">
        <x:v>2.2840000000000003</x:v>
      </x:c>
      <x:c r="H1955" s="14" t="n">
        <x:v>0.04</x:v>
      </x:c>
      <x:c r="I1955" s="14" t="n">
        <x:v>0</x:v>
      </x:c>
      <x:c r="J1955" s="7" t="str">
        <x:v>adopt, first_chunk</x:v>
      </x:c>
      <x:c r="K1955" s="7" t="str">
        <x:v>none</x:v>
      </x:c>
      <x:c r="L1955" s="14" t="n">
        <x:f>IF(G1955&lt;=I1955,0,MAX(0,L1947,L1954)+IF(E1955="via",MAX(0,G1955-MAX(F1955,I1955)),0))</x:f>
        <x:v>2.2840000000000003</x:v>
      </x:c>
    </x:row>
    <x:row r="1956" ht="42" customHeight="1">
      <x:c r="A1956" s="12" t="str">
        <x:v>DP5-B</x:v>
      </x:c>
      <x:c r="B1956" s="12" t="str">
        <x:v>U10</x:v>
      </x:c>
      <x:c r="C1956" s="12" t="str">
        <x:v>next_speech_selection</x:v>
      </x:c>
      <x:c r="D1956" s="12" t="str">
        <x:v>현재 발화 재생 후 다음 응답 선택</x:v>
      </x:c>
      <x:c r="E1956" s="12" t="str">
        <x:v>external</x:v>
      </x:c>
      <x:c r="F1956" s="13" t="n">
        <x:v>2.2840000000000003</x:v>
      </x:c>
      <x:c r="G1956" s="13" t="n">
        <x:v>5.284000000000001</x:v>
      </x:c>
      <x:c r="H1956" s="13" t="n">
        <x:v>3</x:v>
      </x:c>
      <x:c r="I1956" s="13" t="n">
        <x:v>0</x:v>
      </x:c>
      <x:c r="J1956" s="12" t="str">
        <x:v>first_audio_output</x:v>
      </x:c>
      <x:c r="K1956" s="12" t="str">
        <x:v>none</x:v>
      </x:c>
      <x:c r="L1956" s="13" t="n">
        <x:f>IF(G1956&lt;=I1956,0,MAX(0,L1955)+IF(E1956="via",MAX(0,G1956-MAX(F1956,I1956)),0))</x:f>
        <x:v>2.2840000000000003</x:v>
      </x:c>
    </x:row>
    <x:row r="1957" ht="42" customHeight="1">
      <x:c r="A1957" s="7" t="str">
        <x:v>DP5-B</x:v>
      </x:c>
      <x:c r="B1957" s="7" t="str">
        <x:v>U10</x:v>
      </x:c>
      <x:c r="C1957" s="7" t="str">
        <x:v>terminal</x:v>
      </x:c>
      <x:c r="D1957" s="7" t="str">
        <x:v>공통 목표 최종 상태와 전체 음성 준비</x:v>
      </x:c>
      <x:c r="E1957" s="7" t="str">
        <x:v>via</x:v>
      </x:c>
      <x:c r="F1957" s="14" t="n">
        <x:v>11.738</x:v>
      </x:c>
      <x:c r="G1957" s="14" t="n">
        <x:v>11.738</x:v>
      </x:c>
      <x:c r="H1957" s="14" t="n">
        <x:v>0</x:v>
      </x:c>
      <x:c r="I1957" s="14" t="n">
        <x:v>0</x:v>
      </x:c>
      <x:c r="J1957" s="7" t="str">
        <x:v>result_display, response_audio, intent_audio, first_audio_output</x:v>
      </x:c>
      <x:c r="K1957" s="7" t="str">
        <x:v>none</x:v>
      </x:c>
      <x:c r="L1957" s="14" t="n">
        <x:f>IF(G1957&lt;=I1957,0,MAX(0,L1951,L1952,L1953,L1955)+IF(E1957="via",MAX(0,G1957-MAX(F1957,I1957)),0))</x:f>
        <x:v>3.7380000000000004</x:v>
      </x:c>
    </x:row>
    <x:row r="1958" ht="42" customHeight="1">
      <x:c r="A1958" s="12" t="str">
        <x:v>DP5-B</x:v>
      </x:c>
      <x:c r="B1958" s="12" t="str">
        <x:v>U11</x:v>
      </x:c>
      <x:c r="C1958" s="12" t="str">
        <x:v>input_end</x:v>
      </x:c>
      <x:c r="D1958" s="12" t="str">
        <x:v>사용자 입력 종료</x:v>
      </x:c>
      <x:c r="E1958" s="12" t="str">
        <x:v>external</x:v>
      </x:c>
      <x:c r="F1958" s="13" t="n">
        <x:v>0</x:v>
      </x:c>
      <x:c r="G1958" s="13" t="n">
        <x:v>0</x:v>
      </x:c>
      <x:c r="H1958" s="13" t="n">
        <x:v>0</x:v>
      </x:c>
      <x:c r="I1958" s="13" t="n">
        <x:v>0</x:v>
      </x:c>
      <x:c r="J1958" s="12" t="str"/>
      <x:c r="K1958" s="12" t="str">
        <x:v>none</x:v>
      </x:c>
      <x:c r="L1958" s="13" t="n">
        <x:f>IF(G1958&lt;=I1958,0,MAX(0)+IF(E1958="via",MAX(0,G1958-MAX(F1958,I1958)),0))</x:f>
        <x:v>0</x:v>
      </x:c>
    </x:row>
    <x:row r="1959" ht="42" customHeight="1">
      <x:c r="A1959" s="7" t="str">
        <x:v>DP5-B</x:v>
      </x:c>
      <x:c r="B1959" s="7" t="str">
        <x:v>U11</x:v>
      </x:c>
      <x:c r="C1959" s="7" t="str">
        <x:v>intake</x:v>
      </x:c>
      <x:c r="D1959" s="7" t="str">
        <x:v>입력 확정</x:v>
      </x:c>
      <x:c r="E1959" s="7" t="str">
        <x:v>via</x:v>
      </x:c>
      <x:c r="F1959" s="14" t="n">
        <x:v>0</x:v>
      </x:c>
      <x:c r="G1959" s="14" t="n">
        <x:v>0.3</x:v>
      </x:c>
      <x:c r="H1959" s="14" t="n">
        <x:v>0.3</x:v>
      </x:c>
      <x:c r="I1959" s="14" t="n">
        <x:v>0</x:v>
      </x:c>
      <x:c r="J1959" s="7" t="str">
        <x:v>input_end</x:v>
      </x:c>
      <x:c r="K1959" s="7" t="str">
        <x:v>none</x:v>
      </x:c>
      <x:c r="L1959" s="14" t="n">
        <x:f>IF(G1959&lt;=I1959,0,MAX(0,L1958)+IF(E1959="via",MAX(0,G1959-MAX(F1959,I1959)),0))</x:f>
        <x:v>0.3</x:v>
      </x:c>
    </x:row>
    <x:row r="1960" ht="42" customHeight="1">
      <x:c r="A1960" s="12" t="str">
        <x:v>DP5-B</x:v>
      </x:c>
      <x:c r="B1960" s="12" t="str">
        <x:v>U11</x:v>
      </x:c>
      <x:c r="C1960" s="12" t="str">
        <x:v>read</x:v>
      </x:c>
      <x:c r="D1960" s="12" t="str">
        <x:v>공통 허용 원본 조회</x:v>
      </x:c>
      <x:c r="E1960" s="12" t="str">
        <x:v>via</x:v>
      </x:c>
      <x:c r="F1960" s="13" t="n">
        <x:v>0.3</x:v>
      </x:c>
      <x:c r="G1960" s="13" t="n">
        <x:v>0.38</x:v>
      </x:c>
      <x:c r="H1960" s="13" t="n">
        <x:v>0.08</x:v>
      </x:c>
      <x:c r="I1960" s="13" t="n">
        <x:v>0</x:v>
      </x:c>
      <x:c r="J1960" s="12" t="str">
        <x:v>intake</x:v>
      </x:c>
      <x:c r="K1960" s="12" t="str">
        <x:v>none</x:v>
      </x:c>
      <x:c r="L1960" s="13" t="n">
        <x:f>IF(G1960&lt;=I1960,0,MAX(0,L1959)+IF(E1960="via",MAX(0,G1960-MAX(F1960,I1960)),0))</x:f>
        <x:v>0.38</x:v>
      </x:c>
    </x:row>
    <x:row r="1961" ht="42" customHeight="1">
      <x:c r="A1961" s="7" t="str">
        <x:v>DP5-B</x:v>
      </x:c>
      <x:c r="B1961" s="7" t="str">
        <x:v>U11</x:v>
      </x:c>
      <x:c r="C1961" s="7" t="str">
        <x:v>meaning</x:v>
      </x:c>
      <x:c r="D1961" s="7" t="str">
        <x:v>최초 요청 의미 채택 packet 생성</x:v>
      </x:c>
      <x:c r="E1961" s="7" t="str">
        <x:v>via</x:v>
      </x:c>
      <x:c r="F1961" s="14" t="n">
        <x:v>0.38</x:v>
      </x:c>
      <x:c r="G1961" s="14" t="n">
        <x:v>2.08</x:v>
      </x:c>
      <x:c r="H1961" s="14" t="n">
        <x:v>1.7</x:v>
      </x:c>
      <x:c r="I1961" s="14" t="n">
        <x:v>0</x:v>
      </x:c>
      <x:c r="J1961" s="7" t="str">
        <x:v>read</x:v>
      </x:c>
      <x:c r="K1961" s="7" t="str">
        <x:v>semantic</x:v>
      </x:c>
      <x:c r="L1961" s="14" t="n">
        <x:f>IF(G1961&lt;=I1961,0,MAX(0,L1960)+IF(E1961="via",MAX(0,G1961-MAX(F1961,I1961)),0))</x:f>
        <x:v>2.08</x:v>
      </x:c>
    </x:row>
    <x:row r="1962" ht="42" customHeight="1">
      <x:c r="A1962" s="12" t="str">
        <x:v>DP5-B</x:v>
      </x:c>
      <x:c r="B1962" s="12" t="str">
        <x:v>U11</x:v>
      </x:c>
      <x:c r="C1962" s="12" t="str">
        <x:v>adopt</x:v>
      </x:c>
      <x:c r="D1962" s="12" t="str">
        <x:v>현재 revision과 권한 검사 및 채택</x:v>
      </x:c>
      <x:c r="E1962" s="12" t="str">
        <x:v>via</x:v>
      </x:c>
      <x:c r="F1962" s="13" t="n">
        <x:v>2.08</x:v>
      </x:c>
      <x:c r="G1962" s="13" t="n">
        <x:v>2.11</x:v>
      </x:c>
      <x:c r="H1962" s="13" t="n">
        <x:v>0.03</x:v>
      </x:c>
      <x:c r="I1962" s="13" t="n">
        <x:v>0</x:v>
      </x:c>
      <x:c r="J1962" s="12" t="str">
        <x:v>meaning</x:v>
      </x:c>
      <x:c r="K1962" s="12" t="str">
        <x:v>none</x:v>
      </x:c>
      <x:c r="L1962" s="13" t="n">
        <x:f>IF(G1962&lt;=I1962,0,MAX(0,L1961)+IF(E1962="via",MAX(0,G1962-MAX(F1962,I1962)),0))</x:f>
        <x:v>2.11</x:v>
      </x:c>
    </x:row>
    <x:row r="1963" ht="42" customHeight="1">
      <x:c r="A1963" s="7" t="str">
        <x:v>DP5-B</x:v>
      </x:c>
      <x:c r="B1963" s="7" t="str">
        <x:v>U11</x:v>
      </x:c>
      <x:c r="C1963" s="7" t="str">
        <x:v>first_display</x:v>
      </x:c>
      <x:c r="D1963" s="7" t="str">
        <x:v>첫 구체적 채택 내용 화면 표시</x:v>
      </x:c>
      <x:c r="E1963" s="7" t="str">
        <x:v>via</x:v>
      </x:c>
      <x:c r="F1963" s="14" t="n">
        <x:v>2.11</x:v>
      </x:c>
      <x:c r="G1963" s="14" t="n">
        <x:v>2.15</x:v>
      </x:c>
      <x:c r="H1963" s="14" t="n">
        <x:v>0.04</x:v>
      </x:c>
      <x:c r="I1963" s="14" t="n">
        <x:v>0</x:v>
      </x:c>
      <x:c r="J1963" s="7" t="str">
        <x:v>adopt</x:v>
      </x:c>
      <x:c r="K1963" s="7" t="str">
        <x:v>none</x:v>
      </x:c>
      <x:c r="L1963" s="14" t="n">
        <x:f>IF(G1963&lt;=I1963,0,MAX(0,L1962)+IF(E1963="via",MAX(0,G1963-MAX(F1963,I1963)),0))</x:f>
        <x:v>2.15</x:v>
      </x:c>
    </x:row>
    <x:row r="1964" ht="42" customHeight="1">
      <x:c r="A1964" s="12" t="str">
        <x:v>DP5-B</x:v>
      </x:c>
      <x:c r="B1964" s="12" t="str">
        <x:v>U11</x:v>
      </x:c>
      <x:c r="C1964" s="12" t="str">
        <x:v>agent_ingress</x:v>
      </x:c>
      <x:c r="D1964" s="12" t="str">
        <x:v>Agent 요청 전송</x:v>
      </x:c>
      <x:c r="E1964" s="12" t="str">
        <x:v>via</x:v>
      </x:c>
      <x:c r="F1964" s="13" t="n">
        <x:v>2.11</x:v>
      </x:c>
      <x:c r="G1964" s="13" t="n">
        <x:v>2.15</x:v>
      </x:c>
      <x:c r="H1964" s="13" t="n">
        <x:v>0.04</x:v>
      </x:c>
      <x:c r="I1964" s="13" t="n">
        <x:v>0</x:v>
      </x:c>
      <x:c r="J1964" s="12" t="str">
        <x:v>adopt</x:v>
      </x:c>
      <x:c r="K1964" s="12" t="str">
        <x:v>none</x:v>
      </x:c>
      <x:c r="L1964" s="13" t="n">
        <x:f>IF(G1964&lt;=I1964,0,MAX(0,L1962)+IF(E1964="via",MAX(0,G1964-MAX(F1964,I1964)),0))</x:f>
        <x:v>2.15</x:v>
      </x:c>
    </x:row>
    <x:row r="1965" ht="42" customHeight="1">
      <x:c r="A1965" s="7" t="str">
        <x:v>DP5-B</x:v>
      </x:c>
      <x:c r="B1965" s="7" t="str">
        <x:v>U11</x:v>
      </x:c>
      <x:c r="C1965" s="7" t="str">
        <x:v>agent_result</x:v>
      </x:c>
      <x:c r="D1965" s="7" t="str">
        <x:v>외부 Agent 업무</x:v>
      </x:c>
      <x:c r="E1965" s="7" t="str">
        <x:v>external</x:v>
      </x:c>
      <x:c r="F1965" s="14" t="n">
        <x:v>2.15</x:v>
      </x:c>
      <x:c r="G1965" s="14" t="n">
        <x:v>10.15</x:v>
      </x:c>
      <x:c r="H1965" s="14" t="n">
        <x:v>8</x:v>
      </x:c>
      <x:c r="I1965" s="14" t="n">
        <x:v>0</x:v>
      </x:c>
      <x:c r="J1965" s="7" t="str">
        <x:v>agent_ingress</x:v>
      </x:c>
      <x:c r="K1965" s="7" t="str">
        <x:v>none</x:v>
      </x:c>
      <x:c r="L1965" s="14" t="n">
        <x:f>IF(G1965&lt;=I1965,0,MAX(0,L1964)+IF(E1965="via",MAX(0,G1965-MAX(F1965,I1965)),0))</x:f>
        <x:v>2.15</x:v>
      </x:c>
    </x:row>
    <x:row r="1966" ht="42" customHeight="1">
      <x:c r="A1966" s="12" t="str">
        <x:v>DP5-B</x:v>
      </x:c>
      <x:c r="B1966" s="12" t="str">
        <x:v>U11</x:v>
      </x:c>
      <x:c r="C1966" s="12" t="str">
        <x:v>result_display</x:v>
      </x:c>
      <x:c r="D1966" s="12" t="str">
        <x:v>최종 결과 상세 표시</x:v>
      </x:c>
      <x:c r="E1966" s="12" t="str">
        <x:v>via</x:v>
      </x:c>
      <x:c r="F1966" s="13" t="n">
        <x:v>10.15</x:v>
      </x:c>
      <x:c r="G1966" s="13" t="n">
        <x:v>10.19</x:v>
      </x:c>
      <x:c r="H1966" s="13" t="n">
        <x:v>0.04</x:v>
      </x:c>
      <x:c r="I1966" s="13" t="n">
        <x:v>0</x:v>
      </x:c>
      <x:c r="J1966" s="12" t="str">
        <x:v>agent_result</x:v>
      </x:c>
      <x:c r="K1966" s="12" t="str">
        <x:v>none</x:v>
      </x:c>
      <x:c r="L1966" s="13" t="n">
        <x:f>IF(G1966&lt;=I1966,0,MAX(0,L1965)+IF(E1966="via",MAX(0,G1966-MAX(F1966,I1966)),0))</x:f>
        <x:v>2.189999999999999</x:v>
      </x:c>
    </x:row>
    <x:row r="1967" ht="42" customHeight="1">
      <x:c r="A1967" s="7" t="str">
        <x:v>DP5-B</x:v>
      </x:c>
      <x:c r="B1967" s="7" t="str">
        <x:v>U11</x:v>
      </x:c>
      <x:c r="C1967" s="7" t="str">
        <x:v>response_audio</x:v>
      </x:c>
      <x:c r="D1967" s="7" t="str">
        <x:v>선택한 응답 음성 생성</x:v>
      </x:c>
      <x:c r="E1967" s="7" t="str">
        <x:v>via</x:v>
      </x:c>
      <x:c r="F1967" s="14" t="n">
        <x:v>10.15</x:v>
      </x:c>
      <x:c r="G1967" s="14" t="n">
        <x:v>12.038</x:v>
      </x:c>
      <x:c r="H1967" s="14" t="n">
        <x:v>1.888</x:v>
      </x:c>
      <x:c r="I1967" s="14" t="n">
        <x:v>0</x:v>
      </x:c>
      <x:c r="J1967" s="7" t="str">
        <x:v>agent_result</x:v>
      </x:c>
      <x:c r="K1967" s="7" t="str">
        <x:v>speech</x:v>
      </x:c>
      <x:c r="L1967" s="14" t="n">
        <x:f>IF(G1967&lt;=I1967,0,MAX(0,L1965)+IF(E1967="via",MAX(0,G1967-MAX(F1967,I1967)),0))</x:f>
        <x:v>4.038</x:v>
      </x:c>
    </x:row>
    <x:row r="1968" ht="42" customHeight="1">
      <x:c r="A1968" s="12" t="str">
        <x:v>DP5-B</x:v>
      </x:c>
      <x:c r="B1968" s="12" t="str">
        <x:v>U11</x:v>
      </x:c>
      <x:c r="C1968" s="12" t="str">
        <x:v>intent_audio</x:v>
      </x:c>
      <x:c r="D1968" s="12" t="str">
        <x:v>채택한 구체적 수행 의도의 짧은 음성</x:v>
      </x:c>
      <x:c r="E1968" s="12" t="str">
        <x:v>via</x:v>
      </x:c>
      <x:c r="F1968" s="13" t="n">
        <x:v>2.11</x:v>
      </x:c>
      <x:c r="G1968" s="13" t="n">
        <x:v>3.2439999999999998</x:v>
      </x:c>
      <x:c r="H1968" s="13" t="n">
        <x:v>1.134</x:v>
      </x:c>
      <x:c r="I1968" s="13" t="n">
        <x:v>0</x:v>
      </x:c>
      <x:c r="J1968" s="12" t="str">
        <x:v>adopt</x:v>
      </x:c>
      <x:c r="K1968" s="12" t="str">
        <x:v>speech</x:v>
      </x:c>
      <x:c r="L1968" s="13" t="n">
        <x:f>IF(G1968&lt;=I1968,0,MAX(0,L1962)+IF(E1968="via",MAX(0,G1968-MAX(F1968,I1968)),0))</x:f>
        <x:v>3.2439999999999998</x:v>
      </x:c>
    </x:row>
    <x:row r="1969" ht="42" customHeight="1">
      <x:c r="A1969" s="7" t="str">
        <x:v>DP5-B</x:v>
      </x:c>
      <x:c r="B1969" s="7" t="str">
        <x:v>U11</x:v>
      </x:c>
      <x:c r="C1969" s="7" t="str">
        <x:v>first_chunk</x:v>
      </x:c>
      <x:c r="D1969" s="7" t="str">
        <x:v>같은 생성 job의 유효 첫 chunk 관측</x:v>
      </x:c>
      <x:c r="E1969" s="7" t="str">
        <x:v>via</x:v>
      </x:c>
      <x:c r="F1969" s="14" t="n">
        <x:v>2.11</x:v>
      </x:c>
      <x:c r="G1969" s="14" t="n">
        <x:v>2.544</x:v>
      </x:c>
      <x:c r="H1969" s="14" t="n">
        <x:v>0.434</x:v>
      </x:c>
      <x:c r="I1969" s="14" t="n">
        <x:v>0</x:v>
      </x:c>
      <x:c r="J1969" s="7" t="str">
        <x:v>adopt</x:v>
      </x:c>
      <x:c r="K1969" s="7" t="str">
        <x:v>none</x:v>
      </x:c>
      <x:c r="L1969" s="14" t="n">
        <x:f>IF(G1969&lt;=I1969,0,MAX(0,L1962)+IF(E1969="via",MAX(0,G1969-MAX(F1969,I1969)),0))</x:f>
        <x:v>2.544</x:v>
      </x:c>
    </x:row>
    <x:row r="1970" ht="42" customHeight="1">
      <x:c r="A1970" s="12" t="str">
        <x:v>DP5-B</x:v>
      </x:c>
      <x:c r="B1970" s="12" t="str">
        <x:v>U11</x:v>
      </x:c>
      <x:c r="C1970" s="12" t="str">
        <x:v>first_audio_output</x:v>
      </x:c>
      <x:c r="D1970" s="12" t="str">
        <x:v>공통 장치의 첫 음성 출력</x:v>
      </x:c>
      <x:c r="E1970" s="12" t="str">
        <x:v>via</x:v>
      </x:c>
      <x:c r="F1970" s="13" t="n">
        <x:v>2.544</x:v>
      </x:c>
      <x:c r="G1970" s="13" t="n">
        <x:v>2.584</x:v>
      </x:c>
      <x:c r="H1970" s="13" t="n">
        <x:v>0.04</x:v>
      </x:c>
      <x:c r="I1970" s="13" t="n">
        <x:v>0</x:v>
      </x:c>
      <x:c r="J1970" s="12" t="str">
        <x:v>adopt, first_chunk</x:v>
      </x:c>
      <x:c r="K1970" s="12" t="str">
        <x:v>none</x:v>
      </x:c>
      <x:c r="L1970" s="13" t="n">
        <x:f>IF(G1970&lt;=I1970,0,MAX(0,L1962,L1969)+IF(E1970="via",MAX(0,G1970-MAX(F1970,I1970)),0))</x:f>
        <x:v>2.584</x:v>
      </x:c>
    </x:row>
    <x:row r="1971" ht="42" customHeight="1">
      <x:c r="A1971" s="7" t="str">
        <x:v>DP5-B</x:v>
      </x:c>
      <x:c r="B1971" s="7" t="str">
        <x:v>U11</x:v>
      </x:c>
      <x:c r="C1971" s="7" t="str">
        <x:v>next_speech_selection</x:v>
      </x:c>
      <x:c r="D1971" s="7" t="str">
        <x:v>현재 발화 재생 후 다음 응답 선택</x:v>
      </x:c>
      <x:c r="E1971" s="7" t="str">
        <x:v>external</x:v>
      </x:c>
      <x:c r="F1971" s="14" t="n">
        <x:v>2.584</x:v>
      </x:c>
      <x:c r="G1971" s="14" t="n">
        <x:v>5.584</x:v>
      </x:c>
      <x:c r="H1971" s="14" t="n">
        <x:v>3</x:v>
      </x:c>
      <x:c r="I1971" s="14" t="n">
        <x:v>0</x:v>
      </x:c>
      <x:c r="J1971" s="7" t="str">
        <x:v>first_audio_output</x:v>
      </x:c>
      <x:c r="K1971" s="7" t="str">
        <x:v>none</x:v>
      </x:c>
      <x:c r="L1971" s="14" t="n">
        <x:f>IF(G1971&lt;=I1971,0,MAX(0,L1970)+IF(E1971="via",MAX(0,G1971-MAX(F1971,I1971)),0))</x:f>
        <x:v>2.584</x:v>
      </x:c>
    </x:row>
    <x:row r="1972" ht="42" customHeight="1">
      <x:c r="A1972" s="12" t="str">
        <x:v>DP5-B</x:v>
      </x:c>
      <x:c r="B1972" s="12" t="str">
        <x:v>U11</x:v>
      </x:c>
      <x:c r="C1972" s="12" t="str">
        <x:v>terminal</x:v>
      </x:c>
      <x:c r="D1972" s="12" t="str">
        <x:v>공통 목표 최종 상태와 전체 음성 준비</x:v>
      </x:c>
      <x:c r="E1972" s="12" t="str">
        <x:v>via</x:v>
      </x:c>
      <x:c r="F1972" s="13" t="n">
        <x:v>12.038</x:v>
      </x:c>
      <x:c r="G1972" s="13" t="n">
        <x:v>12.038</x:v>
      </x:c>
      <x:c r="H1972" s="13" t="n">
        <x:v>0</x:v>
      </x:c>
      <x:c r="I1972" s="13" t="n">
        <x:v>0</x:v>
      </x:c>
      <x:c r="J1972" s="12" t="str">
        <x:v>result_display, response_audio, intent_audio, first_audio_output</x:v>
      </x:c>
      <x:c r="K1972" s="12" t="str">
        <x:v>none</x:v>
      </x:c>
      <x:c r="L1972" s="13" t="n">
        <x:f>IF(G1972&lt;=I1972,0,MAX(0,L1966,L1967,L1968,L1970)+IF(E1972="via",MAX(0,G1972-MAX(F1972,I1972)),0))</x:f>
        <x:v>4.038</x:v>
      </x:c>
    </x:row>
    <x:row r="1973" ht="42" customHeight="1">
      <x:c r="A1973" s="7" t="str">
        <x:v>DP5-B</x:v>
      </x:c>
      <x:c r="B1973" s="7" t="str">
        <x:v>U12</x:v>
      </x:c>
      <x:c r="C1973" s="7" t="str">
        <x:v>input_end</x:v>
      </x:c>
      <x:c r="D1973" s="7" t="str">
        <x:v>사용자 입력 종료</x:v>
      </x:c>
      <x:c r="E1973" s="7" t="str">
        <x:v>external</x:v>
      </x:c>
      <x:c r="F1973" s="14" t="n">
        <x:v>0</x:v>
      </x:c>
      <x:c r="G1973" s="14" t="n">
        <x:v>0</x:v>
      </x:c>
      <x:c r="H1973" s="14" t="n">
        <x:v>0</x:v>
      </x:c>
      <x:c r="I1973" s="14" t="n">
        <x:v>0</x:v>
      </x:c>
      <x:c r="J1973" s="7" t="str"/>
      <x:c r="K1973" s="7" t="str">
        <x:v>none</x:v>
      </x:c>
      <x:c r="L1973" s="14" t="n">
        <x:f>IF(G1973&lt;=I1973,0,MAX(0)+IF(E1973="via",MAX(0,G1973-MAX(F1973,I1973)),0))</x:f>
        <x:v>0</x:v>
      </x:c>
    </x:row>
    <x:row r="1974" ht="42" customHeight="1">
      <x:c r="A1974" s="12" t="str">
        <x:v>DP5-B</x:v>
      </x:c>
      <x:c r="B1974" s="12" t="str">
        <x:v>U12</x:v>
      </x:c>
      <x:c r="C1974" s="12" t="str">
        <x:v>intake</x:v>
      </x:c>
      <x:c r="D1974" s="12" t="str">
        <x:v>입력 확정</x:v>
      </x:c>
      <x:c r="E1974" s="12" t="str">
        <x:v>via</x:v>
      </x:c>
      <x:c r="F1974" s="13" t="n">
        <x:v>0</x:v>
      </x:c>
      <x:c r="G1974" s="13" t="n">
        <x:v>0.3</x:v>
      </x:c>
      <x:c r="H1974" s="13" t="n">
        <x:v>0.3</x:v>
      </x:c>
      <x:c r="I1974" s="13" t="n">
        <x:v>0</x:v>
      </x:c>
      <x:c r="J1974" s="12" t="str">
        <x:v>input_end</x:v>
      </x:c>
      <x:c r="K1974" s="12" t="str">
        <x:v>none</x:v>
      </x:c>
      <x:c r="L1974" s="13" t="n">
        <x:f>IF(G1974&lt;=I1974,0,MAX(0,L1973)+IF(E1974="via",MAX(0,G1974-MAX(F1974,I1974)),0))</x:f>
        <x:v>0.3</x:v>
      </x:c>
    </x:row>
    <x:row r="1975" ht="42" customHeight="1">
      <x:c r="A1975" s="7" t="str">
        <x:v>DP5-B</x:v>
      </x:c>
      <x:c r="B1975" s="7" t="str">
        <x:v>U12</x:v>
      </x:c>
      <x:c r="C1975" s="7" t="str">
        <x:v>read</x:v>
      </x:c>
      <x:c r="D1975" s="7" t="str">
        <x:v>공통 허용 원본 조회</x:v>
      </x:c>
      <x:c r="E1975" s="7" t="str">
        <x:v>via</x:v>
      </x:c>
      <x:c r="F1975" s="14" t="n">
        <x:v>0.3</x:v>
      </x:c>
      <x:c r="G1975" s="14" t="n">
        <x:v>0.38</x:v>
      </x:c>
      <x:c r="H1975" s="14" t="n">
        <x:v>0.08</x:v>
      </x:c>
      <x:c r="I1975" s="14" t="n">
        <x:v>0</x:v>
      </x:c>
      <x:c r="J1975" s="7" t="str">
        <x:v>intake</x:v>
      </x:c>
      <x:c r="K1975" s="7" t="str">
        <x:v>none</x:v>
      </x:c>
      <x:c r="L1975" s="14" t="n">
        <x:f>IF(G1975&lt;=I1975,0,MAX(0,L1974)+IF(E1975="via",MAX(0,G1975-MAX(F1975,I1975)),0))</x:f>
        <x:v>0.38</x:v>
      </x:c>
    </x:row>
    <x:row r="1976" ht="42" customHeight="1">
      <x:c r="A1976" s="12" t="str">
        <x:v>DP5-B</x:v>
      </x:c>
      <x:c r="B1976" s="12" t="str">
        <x:v>U12</x:v>
      </x:c>
      <x:c r="C1976" s="12" t="str">
        <x:v>pre_raw</x:v>
      </x:c>
      <x:c r="D1976" s="12" t="str">
        <x:v>선행 원본 화면 해석</x:v>
      </x:c>
      <x:c r="E1976" s="12" t="str">
        <x:v>via</x:v>
      </x:c>
      <x:c r="F1976" s="13" t="n">
        <x:v>-12</x:v>
      </x:c>
      <x:c r="G1976" s="13" t="n">
        <x:v>-10.6</x:v>
      </x:c>
      <x:c r="H1976" s="13" t="n">
        <x:v>1.4000000000000001</x:v>
      </x:c>
      <x:c r="I1976" s="13" t="n">
        <x:v>0</x:v>
      </x:c>
      <x:c r="J1976" s="12" t="str"/>
      <x:c r="K1976" s="12" t="str">
        <x:v>semantic</x:v>
      </x:c>
      <x:c r="L1976" s="13" t="n">
        <x:f>IF(G1976&lt;=I1976,0,MAX(0)+IF(E1976="via",MAX(0,G1976-MAX(F1976,I1976)),0))</x:f>
        <x:v>0</x:v>
      </x:c>
    </x:row>
    <x:row r="1977" ht="42" customHeight="1">
      <x:c r="A1977" s="7" t="str">
        <x:v>DP5-B</x:v>
      </x:c>
      <x:c r="B1977" s="7" t="str">
        <x:v>U12</x:v>
      </x:c>
      <x:c r="C1977" s="7" t="str">
        <x:v>reuse_screen</x:v>
      </x:c>
      <x:c r="D1977" s="7" t="str">
        <x:v>이미 확정한 화면 대상 재사용</x:v>
      </x:c>
      <x:c r="E1977" s="7" t="str">
        <x:v>via</x:v>
      </x:c>
      <x:c r="F1977" s="14" t="n">
        <x:v>0.38</x:v>
      </x:c>
      <x:c r="G1977" s="14" t="n">
        <x:v>0.46</x:v>
      </x:c>
      <x:c r="H1977" s="14" t="n">
        <x:v>0.08</x:v>
      </x:c>
      <x:c r="I1977" s="14" t="n">
        <x:v>0</x:v>
      </x:c>
      <x:c r="J1977" s="7" t="str">
        <x:v>read, pre_raw</x:v>
      </x:c>
      <x:c r="K1977" s="7" t="str">
        <x:v>none</x:v>
      </x:c>
      <x:c r="L1977" s="14" t="n">
        <x:f>IF(G1977&lt;=I1977,0,MAX(0,L1975,L1976)+IF(E1977="via",MAX(0,G1977-MAX(F1977,I1977)),0))</x:f>
        <x:v>0.46</x:v>
      </x:c>
    </x:row>
    <x:row r="1978" ht="42" customHeight="1">
      <x:c r="A1978" s="12" t="str">
        <x:v>DP5-B</x:v>
      </x:c>
      <x:c r="B1978" s="12" t="str">
        <x:v>U12</x:v>
      </x:c>
      <x:c r="C1978" s="12" t="str">
        <x:v>meaning</x:v>
      </x:c>
      <x:c r="D1978" s="12" t="str">
        <x:v>최초 요청 의미 채택 packet 생성</x:v>
      </x:c>
      <x:c r="E1978" s="12" t="str">
        <x:v>via</x:v>
      </x:c>
      <x:c r="F1978" s="13" t="n">
        <x:v>0.46</x:v>
      </x:c>
      <x:c r="G1978" s="13" t="n">
        <x:v>1.56</x:v>
      </x:c>
      <x:c r="H1978" s="13" t="n">
        <x:v>1.1</x:v>
      </x:c>
      <x:c r="I1978" s="13" t="n">
        <x:v>0</x:v>
      </x:c>
      <x:c r="J1978" s="12" t="str">
        <x:v>reuse_screen</x:v>
      </x:c>
      <x:c r="K1978" s="12" t="str">
        <x:v>semantic</x:v>
      </x:c>
      <x:c r="L1978" s="13" t="n">
        <x:f>IF(G1978&lt;=I1978,0,MAX(0,L1977)+IF(E1978="via",MAX(0,G1978-MAX(F1978,I1978)),0))</x:f>
        <x:v>1.56</x:v>
      </x:c>
    </x:row>
    <x:row r="1979" ht="42" customHeight="1">
      <x:c r="A1979" s="7" t="str">
        <x:v>DP5-B</x:v>
      </x:c>
      <x:c r="B1979" s="7" t="str">
        <x:v>U12</x:v>
      </x:c>
      <x:c r="C1979" s="7" t="str">
        <x:v>adopt</x:v>
      </x:c>
      <x:c r="D1979" s="7" t="str">
        <x:v>현재 revision과 권한 검사 및 채택</x:v>
      </x:c>
      <x:c r="E1979" s="7" t="str">
        <x:v>via</x:v>
      </x:c>
      <x:c r="F1979" s="14" t="n">
        <x:v>1.56</x:v>
      </x:c>
      <x:c r="G1979" s="14" t="n">
        <x:v>1.59</x:v>
      </x:c>
      <x:c r="H1979" s="14" t="n">
        <x:v>0.03</x:v>
      </x:c>
      <x:c r="I1979" s="14" t="n">
        <x:v>0</x:v>
      </x:c>
      <x:c r="J1979" s="7" t="str">
        <x:v>meaning</x:v>
      </x:c>
      <x:c r="K1979" s="7" t="str">
        <x:v>none</x:v>
      </x:c>
      <x:c r="L1979" s="14" t="n">
        <x:f>IF(G1979&lt;=I1979,0,MAX(0,L1978)+IF(E1979="via",MAX(0,G1979-MAX(F1979,I1979)),0))</x:f>
        <x:v>1.59</x:v>
      </x:c>
    </x:row>
    <x:row r="1980" ht="42" customHeight="1">
      <x:c r="A1980" s="12" t="str">
        <x:v>DP5-B</x:v>
      </x:c>
      <x:c r="B1980" s="12" t="str">
        <x:v>U12</x:v>
      </x:c>
      <x:c r="C1980" s="12" t="str">
        <x:v>first_display</x:v>
      </x:c>
      <x:c r="D1980" s="12" t="str">
        <x:v>첫 구체적 채택 내용 화면 표시</x:v>
      </x:c>
      <x:c r="E1980" s="12" t="str">
        <x:v>via</x:v>
      </x:c>
      <x:c r="F1980" s="13" t="n">
        <x:v>1.59</x:v>
      </x:c>
      <x:c r="G1980" s="13" t="n">
        <x:v>1.6300000000000001</x:v>
      </x:c>
      <x:c r="H1980" s="13" t="n">
        <x:v>0.04</x:v>
      </x:c>
      <x:c r="I1980" s="13" t="n">
        <x:v>0</x:v>
      </x:c>
      <x:c r="J1980" s="12" t="str">
        <x:v>adopt</x:v>
      </x:c>
      <x:c r="K1980" s="12" t="str">
        <x:v>none</x:v>
      </x:c>
      <x:c r="L1980" s="13" t="n">
        <x:f>IF(G1980&lt;=I1980,0,MAX(0,L1979)+IF(E1980="via",MAX(0,G1980-MAX(F1980,I1980)),0))</x:f>
        <x:v>1.6300000000000001</x:v>
      </x:c>
    </x:row>
    <x:row r="1981" ht="42" customHeight="1">
      <x:c r="A1981" s="7" t="str">
        <x:v>DP5-B</x:v>
      </x:c>
      <x:c r="B1981" s="7" t="str">
        <x:v>U12</x:v>
      </x:c>
      <x:c r="C1981" s="7" t="str">
        <x:v>agent_ingress</x:v>
      </x:c>
      <x:c r="D1981" s="7" t="str">
        <x:v>Agent 요청 전송</x:v>
      </x:c>
      <x:c r="E1981" s="7" t="str">
        <x:v>via</x:v>
      </x:c>
      <x:c r="F1981" s="14" t="n">
        <x:v>1.59</x:v>
      </x:c>
      <x:c r="G1981" s="14" t="n">
        <x:v>1.6300000000000001</x:v>
      </x:c>
      <x:c r="H1981" s="14" t="n">
        <x:v>0.04</x:v>
      </x:c>
      <x:c r="I1981" s="14" t="n">
        <x:v>0</x:v>
      </x:c>
      <x:c r="J1981" s="7" t="str">
        <x:v>adopt</x:v>
      </x:c>
      <x:c r="K1981" s="7" t="str">
        <x:v>none</x:v>
      </x:c>
      <x:c r="L1981" s="14" t="n">
        <x:f>IF(G1981&lt;=I1981,0,MAX(0,L1979)+IF(E1981="via",MAX(0,G1981-MAX(F1981,I1981)),0))</x:f>
        <x:v>1.6300000000000001</x:v>
      </x:c>
    </x:row>
    <x:row r="1982" ht="42" customHeight="1">
      <x:c r="A1982" s="12" t="str">
        <x:v>DP5-B</x:v>
      </x:c>
      <x:c r="B1982" s="12" t="str">
        <x:v>U12</x:v>
      </x:c>
      <x:c r="C1982" s="12" t="str">
        <x:v>agent_result</x:v>
      </x:c>
      <x:c r="D1982" s="12" t="str">
        <x:v>외부 Agent 업무</x:v>
      </x:c>
      <x:c r="E1982" s="12" t="str">
        <x:v>external</x:v>
      </x:c>
      <x:c r="F1982" s="13" t="n">
        <x:v>1.6300000000000001</x:v>
      </x:c>
      <x:c r="G1982" s="13" t="n">
        <x:v>9.63</x:v>
      </x:c>
      <x:c r="H1982" s="13" t="n">
        <x:v>8</x:v>
      </x:c>
      <x:c r="I1982" s="13" t="n">
        <x:v>0</x:v>
      </x:c>
      <x:c r="J1982" s="12" t="str">
        <x:v>agent_ingress</x:v>
      </x:c>
      <x:c r="K1982" s="12" t="str">
        <x:v>none</x:v>
      </x:c>
      <x:c r="L1982" s="13" t="n">
        <x:f>IF(G1982&lt;=I1982,0,MAX(0,L1981)+IF(E1982="via",MAX(0,G1982-MAX(F1982,I1982)),0))</x:f>
        <x:v>1.6300000000000001</x:v>
      </x:c>
    </x:row>
    <x:row r="1983" ht="42" customHeight="1">
      <x:c r="A1983" s="7" t="str">
        <x:v>DP5-B</x:v>
      </x:c>
      <x:c r="B1983" s="7" t="str">
        <x:v>U12</x:v>
      </x:c>
      <x:c r="C1983" s="7" t="str">
        <x:v>result_display</x:v>
      </x:c>
      <x:c r="D1983" s="7" t="str">
        <x:v>최종 결과 상세 표시</x:v>
      </x:c>
      <x:c r="E1983" s="7" t="str">
        <x:v>via</x:v>
      </x:c>
      <x:c r="F1983" s="14" t="n">
        <x:v>9.63</x:v>
      </x:c>
      <x:c r="G1983" s="14" t="n">
        <x:v>9.67</x:v>
      </x:c>
      <x:c r="H1983" s="14" t="n">
        <x:v>0.04</x:v>
      </x:c>
      <x:c r="I1983" s="14" t="n">
        <x:v>0</x:v>
      </x:c>
      <x:c r="J1983" s="7" t="str">
        <x:v>agent_result</x:v>
      </x:c>
      <x:c r="K1983" s="7" t="str">
        <x:v>none</x:v>
      </x:c>
      <x:c r="L1983" s="14" t="n">
        <x:f>IF(G1983&lt;=I1983,0,MAX(0,L1982)+IF(E1983="via",MAX(0,G1983-MAX(F1983,I1983)),0))</x:f>
        <x:v>1.6699999999999993</x:v>
      </x:c>
    </x:row>
    <x:row r="1984" ht="42" customHeight="1">
      <x:c r="A1984" s="12" t="str">
        <x:v>DP5-B</x:v>
      </x:c>
      <x:c r="B1984" s="12" t="str">
        <x:v>U12</x:v>
      </x:c>
      <x:c r="C1984" s="12" t="str">
        <x:v>response_audio</x:v>
      </x:c>
      <x:c r="D1984" s="12" t="str">
        <x:v>선택한 응답 음성 생성</x:v>
      </x:c>
      <x:c r="E1984" s="12" t="str">
        <x:v>via</x:v>
      </x:c>
      <x:c r="F1984" s="13" t="n">
        <x:v>9.63</x:v>
      </x:c>
      <x:c r="G1984" s="13" t="n">
        <x:v>11.518</x:v>
      </x:c>
      <x:c r="H1984" s="13" t="n">
        <x:v>1.888</x:v>
      </x:c>
      <x:c r="I1984" s="13" t="n">
        <x:v>0</x:v>
      </x:c>
      <x:c r="J1984" s="12" t="str">
        <x:v>agent_result</x:v>
      </x:c>
      <x:c r="K1984" s="12" t="str">
        <x:v>speech</x:v>
      </x:c>
      <x:c r="L1984" s="13" t="n">
        <x:f>IF(G1984&lt;=I1984,0,MAX(0,L1982)+IF(E1984="via",MAX(0,G1984-MAX(F1984,I1984)),0))</x:f>
        <x:v>3.518</x:v>
      </x:c>
    </x:row>
    <x:row r="1985" ht="42" customHeight="1">
      <x:c r="A1985" s="7" t="str">
        <x:v>DP5-B</x:v>
      </x:c>
      <x:c r="B1985" s="7" t="str">
        <x:v>U12</x:v>
      </x:c>
      <x:c r="C1985" s="7" t="str">
        <x:v>intent_audio</x:v>
      </x:c>
      <x:c r="D1985" s="7" t="str">
        <x:v>채택한 구체적 수행 의도의 짧은 음성</x:v>
      </x:c>
      <x:c r="E1985" s="7" t="str">
        <x:v>via</x:v>
      </x:c>
      <x:c r="F1985" s="14" t="n">
        <x:v>1.59</x:v>
      </x:c>
      <x:c r="G1985" s="14" t="n">
        <x:v>2.724</x:v>
      </x:c>
      <x:c r="H1985" s="14" t="n">
        <x:v>1.134</x:v>
      </x:c>
      <x:c r="I1985" s="14" t="n">
        <x:v>0</x:v>
      </x:c>
      <x:c r="J1985" s="7" t="str">
        <x:v>adopt</x:v>
      </x:c>
      <x:c r="K1985" s="7" t="str">
        <x:v>speech</x:v>
      </x:c>
      <x:c r="L1985" s="14" t="n">
        <x:f>IF(G1985&lt;=I1985,0,MAX(0,L1979)+IF(E1985="via",MAX(0,G1985-MAX(F1985,I1985)),0))</x:f>
        <x:v>2.724</x:v>
      </x:c>
    </x:row>
    <x:row r="1986" ht="42" customHeight="1">
      <x:c r="A1986" s="12" t="str">
        <x:v>DP5-B</x:v>
      </x:c>
      <x:c r="B1986" s="12" t="str">
        <x:v>U12</x:v>
      </x:c>
      <x:c r="C1986" s="12" t="str">
        <x:v>first_chunk</x:v>
      </x:c>
      <x:c r="D1986" s="12" t="str">
        <x:v>같은 생성 job의 유효 첫 chunk 관측</x:v>
      </x:c>
      <x:c r="E1986" s="12" t="str">
        <x:v>via</x:v>
      </x:c>
      <x:c r="F1986" s="13" t="n">
        <x:v>1.59</x:v>
      </x:c>
      <x:c r="G1986" s="13" t="n">
        <x:v>2.024</x:v>
      </x:c>
      <x:c r="H1986" s="13" t="n">
        <x:v>0.434</x:v>
      </x:c>
      <x:c r="I1986" s="13" t="n">
        <x:v>0</x:v>
      </x:c>
      <x:c r="J1986" s="12" t="str">
        <x:v>adopt</x:v>
      </x:c>
      <x:c r="K1986" s="12" t="str">
        <x:v>none</x:v>
      </x:c>
      <x:c r="L1986" s="13" t="n">
        <x:f>IF(G1986&lt;=I1986,0,MAX(0,L1979)+IF(E1986="via",MAX(0,G1986-MAX(F1986,I1986)),0))</x:f>
        <x:v>2.024</x:v>
      </x:c>
    </x:row>
    <x:row r="1987" ht="42" customHeight="1">
      <x:c r="A1987" s="7" t="str">
        <x:v>DP5-B</x:v>
      </x:c>
      <x:c r="B1987" s="7" t="str">
        <x:v>U12</x:v>
      </x:c>
      <x:c r="C1987" s="7" t="str">
        <x:v>first_audio_output</x:v>
      </x:c>
      <x:c r="D1987" s="7" t="str">
        <x:v>공통 장치의 첫 음성 출력</x:v>
      </x:c>
      <x:c r="E1987" s="7" t="str">
        <x:v>via</x:v>
      </x:c>
      <x:c r="F1987" s="14" t="n">
        <x:v>2.024</x:v>
      </x:c>
      <x:c r="G1987" s="14" t="n">
        <x:v>2.064</x:v>
      </x:c>
      <x:c r="H1987" s="14" t="n">
        <x:v>0.04</x:v>
      </x:c>
      <x:c r="I1987" s="14" t="n">
        <x:v>0</x:v>
      </x:c>
      <x:c r="J1987" s="7" t="str">
        <x:v>adopt, first_chunk</x:v>
      </x:c>
      <x:c r="K1987" s="7" t="str">
        <x:v>none</x:v>
      </x:c>
      <x:c r="L1987" s="14" t="n">
        <x:f>IF(G1987&lt;=I1987,0,MAX(0,L1979,L1986)+IF(E1987="via",MAX(0,G1987-MAX(F1987,I1987)),0))</x:f>
        <x:v>2.064</x:v>
      </x:c>
    </x:row>
    <x:row r="1988" ht="42" customHeight="1">
      <x:c r="A1988" s="12" t="str">
        <x:v>DP5-B</x:v>
      </x:c>
      <x:c r="B1988" s="12" t="str">
        <x:v>U12</x:v>
      </x:c>
      <x:c r="C1988" s="12" t="str">
        <x:v>next_speech_selection</x:v>
      </x:c>
      <x:c r="D1988" s="12" t="str">
        <x:v>현재 발화 재생 후 다음 응답 선택</x:v>
      </x:c>
      <x:c r="E1988" s="12" t="str">
        <x:v>external</x:v>
      </x:c>
      <x:c r="F1988" s="13" t="n">
        <x:v>2.064</x:v>
      </x:c>
      <x:c r="G1988" s="13" t="n">
        <x:v>5.064</x:v>
      </x:c>
      <x:c r="H1988" s="13" t="n">
        <x:v>3</x:v>
      </x:c>
      <x:c r="I1988" s="13" t="n">
        <x:v>0</x:v>
      </x:c>
      <x:c r="J1988" s="12" t="str">
        <x:v>first_audio_output</x:v>
      </x:c>
      <x:c r="K1988" s="12" t="str">
        <x:v>none</x:v>
      </x:c>
      <x:c r="L1988" s="13" t="n">
        <x:f>IF(G1988&lt;=I1988,0,MAX(0,L1987)+IF(E1988="via",MAX(0,G1988-MAX(F1988,I1988)),0))</x:f>
        <x:v>2.064</x:v>
      </x:c>
    </x:row>
    <x:row r="1989" ht="42" customHeight="1">
      <x:c r="A1989" s="7" t="str">
        <x:v>DP5-B</x:v>
      </x:c>
      <x:c r="B1989" s="7" t="str">
        <x:v>U12</x:v>
      </x:c>
      <x:c r="C1989" s="7" t="str">
        <x:v>terminal</x:v>
      </x:c>
      <x:c r="D1989" s="7" t="str">
        <x:v>공통 목표 최종 상태와 전체 음성 준비</x:v>
      </x:c>
      <x:c r="E1989" s="7" t="str">
        <x:v>via</x:v>
      </x:c>
      <x:c r="F1989" s="14" t="n">
        <x:v>11.518</x:v>
      </x:c>
      <x:c r="G1989" s="14" t="n">
        <x:v>11.518</x:v>
      </x:c>
      <x:c r="H1989" s="14" t="n">
        <x:v>0</x:v>
      </x:c>
      <x:c r="I1989" s="14" t="n">
        <x:v>0</x:v>
      </x:c>
      <x:c r="J1989" s="7" t="str">
        <x:v>result_display, response_audio, intent_audio, first_audio_output</x:v>
      </x:c>
      <x:c r="K1989" s="7" t="str">
        <x:v>none</x:v>
      </x:c>
      <x:c r="L1989" s="14" t="n">
        <x:f>IF(G1989&lt;=I1989,0,MAX(0,L1983,L1984,L1985,L1987)+IF(E1989="via",MAX(0,G1989-MAX(F1989,I1989)),0))</x:f>
        <x:v>3.518</x:v>
      </x:c>
    </x:row>
    <x:row r="1990" ht="42" customHeight="1">
      <x:c r="A1990" s="12" t="str">
        <x:v>DP5-B</x:v>
      </x:c>
      <x:c r="B1990" s="12" t="str">
        <x:v>U13</x:v>
      </x:c>
      <x:c r="C1990" s="12" t="str">
        <x:v>input_end</x:v>
      </x:c>
      <x:c r="D1990" s="12" t="str">
        <x:v>사용자 입력 종료</x:v>
      </x:c>
      <x:c r="E1990" s="12" t="str">
        <x:v>external</x:v>
      </x:c>
      <x:c r="F1990" s="13" t="n">
        <x:v>0</x:v>
      </x:c>
      <x:c r="G1990" s="13" t="n">
        <x:v>0</x:v>
      </x:c>
      <x:c r="H1990" s="13" t="n">
        <x:v>0</x:v>
      </x:c>
      <x:c r="I1990" s="13" t="n">
        <x:v>0</x:v>
      </x:c>
      <x:c r="J1990" s="12" t="str"/>
      <x:c r="K1990" s="12" t="str">
        <x:v>none</x:v>
      </x:c>
      <x:c r="L1990" s="13" t="n">
        <x:f>IF(G1990&lt;=I1990,0,MAX(0)+IF(E1990="via",MAX(0,G1990-MAX(F1990,I1990)),0))</x:f>
        <x:v>0</x:v>
      </x:c>
    </x:row>
    <x:row r="1991" ht="42" customHeight="1">
      <x:c r="A1991" s="7" t="str">
        <x:v>DP5-B</x:v>
      </x:c>
      <x:c r="B1991" s="7" t="str">
        <x:v>U13</x:v>
      </x:c>
      <x:c r="C1991" s="7" t="str">
        <x:v>intake</x:v>
      </x:c>
      <x:c r="D1991" s="7" t="str">
        <x:v>입력 확정</x:v>
      </x:c>
      <x:c r="E1991" s="7" t="str">
        <x:v>via</x:v>
      </x:c>
      <x:c r="F1991" s="14" t="n">
        <x:v>0</x:v>
      </x:c>
      <x:c r="G1991" s="14" t="n">
        <x:v>0.06</x:v>
      </x:c>
      <x:c r="H1991" s="14" t="n">
        <x:v>0.06</x:v>
      </x:c>
      <x:c r="I1991" s="14" t="n">
        <x:v>0</x:v>
      </x:c>
      <x:c r="J1991" s="7" t="str">
        <x:v>input_end</x:v>
      </x:c>
      <x:c r="K1991" s="7" t="str">
        <x:v>none</x:v>
      </x:c>
      <x:c r="L1991" s="14" t="n">
        <x:f>IF(G1991&lt;=I1991,0,MAX(0,L1990)+IF(E1991="via",MAX(0,G1991-MAX(F1991,I1991)),0))</x:f>
        <x:v>0.06</x:v>
      </x:c>
    </x:row>
    <x:row r="1992" ht="42" customHeight="1">
      <x:c r="A1992" s="12" t="str">
        <x:v>DP5-B</x:v>
      </x:c>
      <x:c r="B1992" s="12" t="str">
        <x:v>U13</x:v>
      </x:c>
      <x:c r="C1992" s="12" t="str">
        <x:v>read</x:v>
      </x:c>
      <x:c r="D1992" s="12" t="str">
        <x:v>공통 허용 원본 조회</x:v>
      </x:c>
      <x:c r="E1992" s="12" t="str">
        <x:v>via</x:v>
      </x:c>
      <x:c r="F1992" s="13" t="n">
        <x:v>0.06</x:v>
      </x:c>
      <x:c r="G1992" s="13" t="n">
        <x:v>0.14</x:v>
      </x:c>
      <x:c r="H1992" s="13" t="n">
        <x:v>0.08</x:v>
      </x:c>
      <x:c r="I1992" s="13" t="n">
        <x:v>0</x:v>
      </x:c>
      <x:c r="J1992" s="12" t="str">
        <x:v>intake</x:v>
      </x:c>
      <x:c r="K1992" s="12" t="str">
        <x:v>none</x:v>
      </x:c>
      <x:c r="L1992" s="13" t="n">
        <x:f>IF(G1992&lt;=I1992,0,MAX(0,L1991)+IF(E1992="via",MAX(0,G1992-MAX(F1992,I1992)),0))</x:f>
        <x:v>0.14</x:v>
      </x:c>
    </x:row>
    <x:row r="1993" ht="42" customHeight="1">
      <x:c r="A1993" s="7" t="str">
        <x:v>DP5-B</x:v>
      </x:c>
      <x:c r="B1993" s="7" t="str">
        <x:v>U13</x:v>
      </x:c>
      <x:c r="C1993" s="7" t="str">
        <x:v>meaning</x:v>
      </x:c>
      <x:c r="D1993" s="7" t="str">
        <x:v>최초 요청 의미 채택 packet 생성</x:v>
      </x:c>
      <x:c r="E1993" s="7" t="str">
        <x:v>via</x:v>
      </x:c>
      <x:c r="F1993" s="14" t="n">
        <x:v>0.14</x:v>
      </x:c>
      <x:c r="G1993" s="14" t="n">
        <x:v>1.2400000000000002</x:v>
      </x:c>
      <x:c r="H1993" s="14" t="n">
        <x:v>1.1</x:v>
      </x:c>
      <x:c r="I1993" s="14" t="n">
        <x:v>0</x:v>
      </x:c>
      <x:c r="J1993" s="7" t="str">
        <x:v>read</x:v>
      </x:c>
      <x:c r="K1993" s="7" t="str">
        <x:v>semantic</x:v>
      </x:c>
      <x:c r="L1993" s="14" t="n">
        <x:f>IF(G1993&lt;=I1993,0,MAX(0,L1992)+IF(E1993="via",MAX(0,G1993-MAX(F1993,I1993)),0))</x:f>
        <x:v>1.2400000000000002</x:v>
      </x:c>
    </x:row>
    <x:row r="1994" ht="42" customHeight="1">
      <x:c r="A1994" s="12" t="str">
        <x:v>DP5-B</x:v>
      </x:c>
      <x:c r="B1994" s="12" t="str">
        <x:v>U13</x:v>
      </x:c>
      <x:c r="C1994" s="12" t="str">
        <x:v>adopt</x:v>
      </x:c>
      <x:c r="D1994" s="12" t="str">
        <x:v>현재 revision과 권한 검사 및 채택</x:v>
      </x:c>
      <x:c r="E1994" s="12" t="str">
        <x:v>via</x:v>
      </x:c>
      <x:c r="F1994" s="13" t="n">
        <x:v>1.2400000000000002</x:v>
      </x:c>
      <x:c r="G1994" s="13" t="n">
        <x:v>1.2700000000000002</x:v>
      </x:c>
      <x:c r="H1994" s="13" t="n">
        <x:v>0.03</x:v>
      </x:c>
      <x:c r="I1994" s="13" t="n">
        <x:v>0</x:v>
      </x:c>
      <x:c r="J1994" s="12" t="str">
        <x:v>meaning</x:v>
      </x:c>
      <x:c r="K1994" s="12" t="str">
        <x:v>none</x:v>
      </x:c>
      <x:c r="L1994" s="13" t="n">
        <x:f>IF(G1994&lt;=I1994,0,MAX(0,L1993)+IF(E1994="via",MAX(0,G1994-MAX(F1994,I1994)),0))</x:f>
        <x:v>1.2700000000000002</x:v>
      </x:c>
    </x:row>
    <x:row r="1995" ht="42" customHeight="1">
      <x:c r="A1995" s="7" t="str">
        <x:v>DP5-B</x:v>
      </x:c>
      <x:c r="B1995" s="7" t="str">
        <x:v>U13</x:v>
      </x:c>
      <x:c r="C1995" s="7" t="str">
        <x:v>first_display</x:v>
      </x:c>
      <x:c r="D1995" s="7" t="str">
        <x:v>첫 구체적 채택 내용 화면 표시</x:v>
      </x:c>
      <x:c r="E1995" s="7" t="str">
        <x:v>via</x:v>
      </x:c>
      <x:c r="F1995" s="14" t="n">
        <x:v>1.2700000000000002</x:v>
      </x:c>
      <x:c r="G1995" s="14" t="n">
        <x:v>1.3100000000000003</x:v>
      </x:c>
      <x:c r="H1995" s="14" t="n">
        <x:v>0.04</x:v>
      </x:c>
      <x:c r="I1995" s="14" t="n">
        <x:v>0</x:v>
      </x:c>
      <x:c r="J1995" s="7" t="str">
        <x:v>adopt</x:v>
      </x:c>
      <x:c r="K1995" s="7" t="str">
        <x:v>none</x:v>
      </x:c>
      <x:c r="L1995" s="14" t="n">
        <x:f>IF(G1995&lt;=I1995,0,MAX(0,L1994)+IF(E1995="via",MAX(0,G1995-MAX(F1995,I1995)),0))</x:f>
        <x:v>1.3100000000000003</x:v>
      </x:c>
    </x:row>
    <x:row r="1996" ht="42" customHeight="1">
      <x:c r="A1996" s="12" t="str">
        <x:v>DP5-B</x:v>
      </x:c>
      <x:c r="B1996" s="12" t="str">
        <x:v>U13</x:v>
      </x:c>
      <x:c r="C1996" s="12" t="str">
        <x:v>agent_ingress</x:v>
      </x:c>
      <x:c r="D1996" s="12" t="str">
        <x:v>Agent 요청 전송</x:v>
      </x:c>
      <x:c r="E1996" s="12" t="str">
        <x:v>via</x:v>
      </x:c>
      <x:c r="F1996" s="13" t="n">
        <x:v>1.2700000000000002</x:v>
      </x:c>
      <x:c r="G1996" s="13" t="n">
        <x:v>1.3100000000000003</x:v>
      </x:c>
      <x:c r="H1996" s="13" t="n">
        <x:v>0.04</x:v>
      </x:c>
      <x:c r="I1996" s="13" t="n">
        <x:v>0</x:v>
      </x:c>
      <x:c r="J1996" s="12" t="str">
        <x:v>adopt</x:v>
      </x:c>
      <x:c r="K1996" s="12" t="str">
        <x:v>none</x:v>
      </x:c>
      <x:c r="L1996" s="13" t="n">
        <x:f>IF(G1996&lt;=I1996,0,MAX(0,L1994)+IF(E1996="via",MAX(0,G1996-MAX(F1996,I1996)),0))</x:f>
        <x:v>1.3100000000000003</x:v>
      </x:c>
    </x:row>
    <x:row r="1997" ht="42" customHeight="1">
      <x:c r="A1997" s="7" t="str">
        <x:v>DP5-B</x:v>
      </x:c>
      <x:c r="B1997" s="7" t="str">
        <x:v>U13</x:v>
      </x:c>
      <x:c r="C1997" s="7" t="str">
        <x:v>agent_result</x:v>
      </x:c>
      <x:c r="D1997" s="7" t="str">
        <x:v>외부 Agent 업무</x:v>
      </x:c>
      <x:c r="E1997" s="7" t="str">
        <x:v>external</x:v>
      </x:c>
      <x:c r="F1997" s="14" t="n">
        <x:v>1.3100000000000003</x:v>
      </x:c>
      <x:c r="G1997" s="14" t="n">
        <x:v>9.31</x:v>
      </x:c>
      <x:c r="H1997" s="14" t="n">
        <x:v>8</x:v>
      </x:c>
      <x:c r="I1997" s="14" t="n">
        <x:v>0</x:v>
      </x:c>
      <x:c r="J1997" s="7" t="str">
        <x:v>agent_ingress</x:v>
      </x:c>
      <x:c r="K1997" s="7" t="str">
        <x:v>none</x:v>
      </x:c>
      <x:c r="L1997" s="14" t="n">
        <x:f>IF(G1997&lt;=I1997,0,MAX(0,L1996)+IF(E1997="via",MAX(0,G1997-MAX(F1997,I1997)),0))</x:f>
        <x:v>1.3100000000000003</x:v>
      </x:c>
    </x:row>
    <x:row r="1998" ht="42" customHeight="1">
      <x:c r="A1998" s="12" t="str">
        <x:v>DP5-B</x:v>
      </x:c>
      <x:c r="B1998" s="12" t="str">
        <x:v>U13</x:v>
      </x:c>
      <x:c r="C1998" s="12" t="str">
        <x:v>result_display</x:v>
      </x:c>
      <x:c r="D1998" s="12" t="str">
        <x:v>최종 결과 상세 표시</x:v>
      </x:c>
      <x:c r="E1998" s="12" t="str">
        <x:v>via</x:v>
      </x:c>
      <x:c r="F1998" s="13" t="n">
        <x:v>9.31</x:v>
      </x:c>
      <x:c r="G1998" s="13" t="n">
        <x:v>9.35</x:v>
      </x:c>
      <x:c r="H1998" s="13" t="n">
        <x:v>0.04</x:v>
      </x:c>
      <x:c r="I1998" s="13" t="n">
        <x:v>0</x:v>
      </x:c>
      <x:c r="J1998" s="12" t="str">
        <x:v>agent_result</x:v>
      </x:c>
      <x:c r="K1998" s="12" t="str">
        <x:v>none</x:v>
      </x:c>
      <x:c r="L1998" s="13" t="n">
        <x:f>IF(G1998&lt;=I1998,0,MAX(0,L1997)+IF(E1998="via",MAX(0,G1998-MAX(F1998,I1998)),0))</x:f>
        <x:v>1.3499999999999994</x:v>
      </x:c>
    </x:row>
    <x:row r="1999" ht="42" customHeight="1">
      <x:c r="A1999" s="7" t="str">
        <x:v>DP5-B</x:v>
      </x:c>
      <x:c r="B1999" s="7" t="str">
        <x:v>U13</x:v>
      </x:c>
      <x:c r="C1999" s="7" t="str">
        <x:v>response_audio</x:v>
      </x:c>
      <x:c r="D1999" s="7" t="str">
        <x:v>선택한 응답 음성 생성</x:v>
      </x:c>
      <x:c r="E1999" s="7" t="str">
        <x:v>via</x:v>
      </x:c>
      <x:c r="F1999" s="14" t="n">
        <x:v>9.31</x:v>
      </x:c>
      <x:c r="G1999" s="14" t="n">
        <x:v>11.198</x:v>
      </x:c>
      <x:c r="H1999" s="14" t="n">
        <x:v>1.888</x:v>
      </x:c>
      <x:c r="I1999" s="14" t="n">
        <x:v>0</x:v>
      </x:c>
      <x:c r="J1999" s="7" t="str">
        <x:v>agent_result</x:v>
      </x:c>
      <x:c r="K1999" s="7" t="str">
        <x:v>speech</x:v>
      </x:c>
      <x:c r="L1999" s="14" t="n">
        <x:f>IF(G1999&lt;=I1999,0,MAX(0,L1997)+IF(E1999="via",MAX(0,G1999-MAX(F1999,I1999)),0))</x:f>
        <x:v>3.1980000000000004</x:v>
      </x:c>
    </x:row>
    <x:row r="2000" ht="42" customHeight="1">
      <x:c r="A2000" s="12" t="str">
        <x:v>DP5-B</x:v>
      </x:c>
      <x:c r="B2000" s="12" t="str">
        <x:v>U13</x:v>
      </x:c>
      <x:c r="C2000" s="12" t="str">
        <x:v>intent_audio</x:v>
      </x:c>
      <x:c r="D2000" s="12" t="str">
        <x:v>채택한 구체적 수행 의도의 짧은 음성</x:v>
      </x:c>
      <x:c r="E2000" s="12" t="str">
        <x:v>via</x:v>
      </x:c>
      <x:c r="F2000" s="13" t="n">
        <x:v>1.2700000000000002</x:v>
      </x:c>
      <x:c r="G2000" s="13" t="n">
        <x:v>2.404</x:v>
      </x:c>
      <x:c r="H2000" s="13" t="n">
        <x:v>1.134</x:v>
      </x:c>
      <x:c r="I2000" s="13" t="n">
        <x:v>0</x:v>
      </x:c>
      <x:c r="J2000" s="12" t="str">
        <x:v>adopt</x:v>
      </x:c>
      <x:c r="K2000" s="12" t="str">
        <x:v>speech</x:v>
      </x:c>
      <x:c r="L2000" s="13" t="n">
        <x:f>IF(G2000&lt;=I2000,0,MAX(0,L1994)+IF(E2000="via",MAX(0,G2000-MAX(F2000,I2000)),0))</x:f>
        <x:v>2.404</x:v>
      </x:c>
    </x:row>
    <x:row r="2001" ht="42" customHeight="1">
      <x:c r="A2001" s="7" t="str">
        <x:v>DP5-B</x:v>
      </x:c>
      <x:c r="B2001" s="7" t="str">
        <x:v>U13</x:v>
      </x:c>
      <x:c r="C2001" s="7" t="str">
        <x:v>first_chunk</x:v>
      </x:c>
      <x:c r="D2001" s="7" t="str">
        <x:v>같은 생성 job의 유효 첫 chunk 관측</x:v>
      </x:c>
      <x:c r="E2001" s="7" t="str">
        <x:v>via</x:v>
      </x:c>
      <x:c r="F2001" s="14" t="n">
        <x:v>1.2700000000000002</x:v>
      </x:c>
      <x:c r="G2001" s="14" t="n">
        <x:v>1.7040000000000002</x:v>
      </x:c>
      <x:c r="H2001" s="14" t="n">
        <x:v>0.434</x:v>
      </x:c>
      <x:c r="I2001" s="14" t="n">
        <x:v>0</x:v>
      </x:c>
      <x:c r="J2001" s="7" t="str">
        <x:v>adopt</x:v>
      </x:c>
      <x:c r="K2001" s="7" t="str">
        <x:v>none</x:v>
      </x:c>
      <x:c r="L2001" s="14" t="n">
        <x:f>IF(G2001&lt;=I2001,0,MAX(0,L1994)+IF(E2001="via",MAX(0,G2001-MAX(F2001,I2001)),0))</x:f>
        <x:v>1.7040000000000002</x:v>
      </x:c>
    </x:row>
    <x:row r="2002" ht="42" customHeight="1">
      <x:c r="A2002" s="12" t="str">
        <x:v>DP5-B</x:v>
      </x:c>
      <x:c r="B2002" s="12" t="str">
        <x:v>U13</x:v>
      </x:c>
      <x:c r="C2002" s="12" t="str">
        <x:v>first_audio_output</x:v>
      </x:c>
      <x:c r="D2002" s="12" t="str">
        <x:v>공통 장치의 첫 음성 출력</x:v>
      </x:c>
      <x:c r="E2002" s="12" t="str">
        <x:v>via</x:v>
      </x:c>
      <x:c r="F2002" s="13" t="n">
        <x:v>1.7040000000000002</x:v>
      </x:c>
      <x:c r="G2002" s="13" t="n">
        <x:v>1.7440000000000002</x:v>
      </x:c>
      <x:c r="H2002" s="13" t="n">
        <x:v>0.04</x:v>
      </x:c>
      <x:c r="I2002" s="13" t="n">
        <x:v>0</x:v>
      </x:c>
      <x:c r="J2002" s="12" t="str">
        <x:v>adopt, first_chunk</x:v>
      </x:c>
      <x:c r="K2002" s="12" t="str">
        <x:v>none</x:v>
      </x:c>
      <x:c r="L2002" s="13" t="n">
        <x:f>IF(G2002&lt;=I2002,0,MAX(0,L1994,L2001)+IF(E2002="via",MAX(0,G2002-MAX(F2002,I2002)),0))</x:f>
        <x:v>1.7440000000000002</x:v>
      </x:c>
    </x:row>
    <x:row r="2003" ht="42" customHeight="1">
      <x:c r="A2003" s="7" t="str">
        <x:v>DP5-B</x:v>
      </x:c>
      <x:c r="B2003" s="7" t="str">
        <x:v>U13</x:v>
      </x:c>
      <x:c r="C2003" s="7" t="str">
        <x:v>next_speech_selection</x:v>
      </x:c>
      <x:c r="D2003" s="7" t="str">
        <x:v>현재 발화 재생 후 다음 응답 선택</x:v>
      </x:c>
      <x:c r="E2003" s="7" t="str">
        <x:v>external</x:v>
      </x:c>
      <x:c r="F2003" s="14" t="n">
        <x:v>1.7440000000000002</x:v>
      </x:c>
      <x:c r="G2003" s="14" t="n">
        <x:v>4.744</x:v>
      </x:c>
      <x:c r="H2003" s="14" t="n">
        <x:v>3</x:v>
      </x:c>
      <x:c r="I2003" s="14" t="n">
        <x:v>0</x:v>
      </x:c>
      <x:c r="J2003" s="7" t="str">
        <x:v>first_audio_output</x:v>
      </x:c>
      <x:c r="K2003" s="7" t="str">
        <x:v>none</x:v>
      </x:c>
      <x:c r="L2003" s="14" t="n">
        <x:f>IF(G2003&lt;=I2003,0,MAX(0,L2002)+IF(E2003="via",MAX(0,G2003-MAX(F2003,I2003)),0))</x:f>
        <x:v>1.7440000000000002</x:v>
      </x:c>
    </x:row>
    <x:row r="2004" ht="42" customHeight="1">
      <x:c r="A2004" s="12" t="str">
        <x:v>DP5-B</x:v>
      </x:c>
      <x:c r="B2004" s="12" t="str">
        <x:v>U13</x:v>
      </x:c>
      <x:c r="C2004" s="12" t="str">
        <x:v>terminal</x:v>
      </x:c>
      <x:c r="D2004" s="12" t="str">
        <x:v>공통 목표 최종 상태와 전체 음성 준비</x:v>
      </x:c>
      <x:c r="E2004" s="12" t="str">
        <x:v>via</x:v>
      </x:c>
      <x:c r="F2004" s="13" t="n">
        <x:v>11.198</x:v>
      </x:c>
      <x:c r="G2004" s="13" t="n">
        <x:v>11.198</x:v>
      </x:c>
      <x:c r="H2004" s="13" t="n">
        <x:v>0</x:v>
      </x:c>
      <x:c r="I2004" s="13" t="n">
        <x:v>0</x:v>
      </x:c>
      <x:c r="J2004" s="12" t="str">
        <x:v>result_display, response_audio, intent_audio, first_audio_output</x:v>
      </x:c>
      <x:c r="K2004" s="12" t="str">
        <x:v>none</x:v>
      </x:c>
      <x:c r="L2004" s="13" t="n">
        <x:f>IF(G2004&lt;=I2004,0,MAX(0,L1998,L1999,L2000,L2002)+IF(E2004="via",MAX(0,G2004-MAX(F2004,I2004)),0))</x:f>
        <x:v>3.1980000000000004</x:v>
      </x:c>
    </x:row>
    <x:row r="2005" ht="42" customHeight="1">
      <x:c r="A2005" s="7" t="str">
        <x:v>DP5-B</x:v>
      </x:c>
      <x:c r="B2005" s="7" t="str">
        <x:v>U14</x:v>
      </x:c>
      <x:c r="C2005" s="7" t="str">
        <x:v>input_end</x:v>
      </x:c>
      <x:c r="D2005" s="7" t="str">
        <x:v>사용자 입력 종료</x:v>
      </x:c>
      <x:c r="E2005" s="7" t="str">
        <x:v>external</x:v>
      </x:c>
      <x:c r="F2005" s="14" t="n">
        <x:v>0</x:v>
      </x:c>
      <x:c r="G2005" s="14" t="n">
        <x:v>0</x:v>
      </x:c>
      <x:c r="H2005" s="14" t="n">
        <x:v>0</x:v>
      </x:c>
      <x:c r="I2005" s="14" t="n">
        <x:v>0</x:v>
      </x:c>
      <x:c r="J2005" s="7" t="str"/>
      <x:c r="K2005" s="7" t="str">
        <x:v>none</x:v>
      </x:c>
      <x:c r="L2005" s="14" t="n">
        <x:f>IF(G2005&lt;=I2005,0,MAX(0)+IF(E2005="via",MAX(0,G2005-MAX(F2005,I2005)),0))</x:f>
        <x:v>0</x:v>
      </x:c>
    </x:row>
    <x:row r="2006" ht="42" customHeight="1">
      <x:c r="A2006" s="12" t="str">
        <x:v>DP5-B</x:v>
      </x:c>
      <x:c r="B2006" s="12" t="str">
        <x:v>U14</x:v>
      </x:c>
      <x:c r="C2006" s="12" t="str">
        <x:v>intake</x:v>
      </x:c>
      <x:c r="D2006" s="12" t="str">
        <x:v>입력 확정</x:v>
      </x:c>
      <x:c r="E2006" s="12" t="str">
        <x:v>via</x:v>
      </x:c>
      <x:c r="F2006" s="13" t="n">
        <x:v>0</x:v>
      </x:c>
      <x:c r="G2006" s="13" t="n">
        <x:v>0.3</x:v>
      </x:c>
      <x:c r="H2006" s="13" t="n">
        <x:v>0.3</x:v>
      </x:c>
      <x:c r="I2006" s="13" t="n">
        <x:v>0</x:v>
      </x:c>
      <x:c r="J2006" s="12" t="str">
        <x:v>input_end</x:v>
      </x:c>
      <x:c r="K2006" s="12" t="str">
        <x:v>none</x:v>
      </x:c>
      <x:c r="L2006" s="13" t="n">
        <x:f>IF(G2006&lt;=I2006,0,MAX(0,L2005)+IF(E2006="via",MAX(0,G2006-MAX(F2006,I2006)),0))</x:f>
        <x:v>0.3</x:v>
      </x:c>
    </x:row>
    <x:row r="2007" ht="42" customHeight="1">
      <x:c r="A2007" s="7" t="str">
        <x:v>DP5-B</x:v>
      </x:c>
      <x:c r="B2007" s="7" t="str">
        <x:v>U14</x:v>
      </x:c>
      <x:c r="C2007" s="7" t="str">
        <x:v>relation_prior</x:v>
      </x:c>
      <x:c r="D2007" s="7" t="str">
        <x:v>미확정 피드백 관계 사전 생산</x:v>
      </x:c>
      <x:c r="E2007" s="7" t="str">
        <x:v>via</x:v>
      </x:c>
      <x:c r="F2007" s="14" t="n">
        <x:v>-8</x:v>
      </x:c>
      <x:c r="G2007" s="14" t="n">
        <x:v>-6</x:v>
      </x:c>
      <x:c r="H2007" s="14" t="n">
        <x:v>2</x:v>
      </x:c>
      <x:c r="I2007" s="14" t="n">
        <x:v>0</x:v>
      </x:c>
      <x:c r="J2007" s="7" t="str"/>
      <x:c r="K2007" s="7" t="str">
        <x:v>semantic</x:v>
      </x:c>
      <x:c r="L2007" s="14" t="n">
        <x:f>IF(G2007&lt;=I2007,0,MAX(0)+IF(E2007="via",MAX(0,G2007-MAX(F2007,I2007)),0))</x:f>
        <x:v>0</x:v>
      </x:c>
    </x:row>
    <x:row r="2008" ht="42" customHeight="1">
      <x:c r="A2008" s="12" t="str">
        <x:v>DP5-B</x:v>
      </x:c>
      <x:c r="B2008" s="12" t="str">
        <x:v>U14</x:v>
      </x:c>
      <x:c r="C2008" s="12" t="str">
        <x:v>relation_unused</x:v>
      </x:c>
      <x:c r="D2008" s="12" t="str">
        <x:v>같은 이력의 미사용 관계 생산</x:v>
      </x:c>
      <x:c r="E2008" s="12" t="str">
        <x:v>via</x:v>
      </x:c>
      <x:c r="F2008" s="13" t="n">
        <x:v>-8</x:v>
      </x:c>
      <x:c r="G2008" s="13" t="n">
        <x:v>-6</x:v>
      </x:c>
      <x:c r="H2008" s="13" t="n">
        <x:v>2</x:v>
      </x:c>
      <x:c r="I2008" s="13" t="n">
        <x:v>0</x:v>
      </x:c>
      <x:c r="J2008" s="12" t="str"/>
      <x:c r="K2008" s="12" t="str">
        <x:v>semantic</x:v>
      </x:c>
      <x:c r="L2008" s="13" t="n">
        <x:f>IF(G2008&lt;=I2008,0,MAX(0)+IF(E2008="via",MAX(0,G2008-MAX(F2008,I2008)),0))</x:f>
        <x:v>0</x:v>
      </x:c>
    </x:row>
    <x:row r="2009" ht="42" customHeight="1">
      <x:c r="A2009" s="7" t="str">
        <x:v>DP5-B</x:v>
      </x:c>
      <x:c r="B2009" s="7" t="str">
        <x:v>U14</x:v>
      </x:c>
      <x:c r="C2009" s="7" t="str">
        <x:v>read</x:v>
      </x:c>
      <x:c r="D2009" s="7" t="str">
        <x:v>공통 허용 원본 조회</x:v>
      </x:c>
      <x:c r="E2009" s="7" t="str">
        <x:v>via</x:v>
      </x:c>
      <x:c r="F2009" s="14" t="n">
        <x:v>0.3</x:v>
      </x:c>
      <x:c r="G2009" s="14" t="n">
        <x:v>0.38</x:v>
      </x:c>
      <x:c r="H2009" s="14" t="n">
        <x:v>0.08</x:v>
      </x:c>
      <x:c r="I2009" s="14" t="n">
        <x:v>0</x:v>
      </x:c>
      <x:c r="J2009" s="7" t="str">
        <x:v>intake</x:v>
      </x:c>
      <x:c r="K2009" s="7" t="str">
        <x:v>none</x:v>
      </x:c>
      <x:c r="L2009" s="14" t="n">
        <x:f>IF(G2009&lt;=I2009,0,MAX(0,L2006)+IF(E2009="via",MAX(0,G2009-MAX(F2009,I2009)),0))</x:f>
        <x:v>0.38</x:v>
      </x:c>
    </x:row>
    <x:row r="2010" ht="42" customHeight="1">
      <x:c r="A2010" s="12" t="str">
        <x:v>DP5-B</x:v>
      </x:c>
      <x:c r="B2010" s="12" t="str">
        <x:v>U14</x:v>
      </x:c>
      <x:c r="C2010" s="12" t="str">
        <x:v>meaning</x:v>
      </x:c>
      <x:c r="D2010" s="12" t="str">
        <x:v>최초 요청 의미 채택 packet 생성</x:v>
      </x:c>
      <x:c r="E2010" s="12" t="str">
        <x:v>via</x:v>
      </x:c>
      <x:c r="F2010" s="13" t="n">
        <x:v>0.38</x:v>
      </x:c>
      <x:c r="G2010" s="13" t="n">
        <x:v>1.54</x:v>
      </x:c>
      <x:c r="H2010" s="13" t="n">
        <x:v>1.1600000000000001</x:v>
      </x:c>
      <x:c r="I2010" s="13" t="n">
        <x:v>0</x:v>
      </x:c>
      <x:c r="J2010" s="12" t="str">
        <x:v>read, relation_prior</x:v>
      </x:c>
      <x:c r="K2010" s="12" t="str">
        <x:v>semantic</x:v>
      </x:c>
      <x:c r="L2010" s="13" t="n">
        <x:f>IF(G2010&lt;=I2010,0,MAX(0,L2009,L2007)+IF(E2010="via",MAX(0,G2010-MAX(F2010,I2010)),0))</x:f>
        <x:v>1.54</x:v>
      </x:c>
    </x:row>
    <x:row r="2011" ht="42" customHeight="1">
      <x:c r="A2011" s="7" t="str">
        <x:v>DP5-B</x:v>
      </x:c>
      <x:c r="B2011" s="7" t="str">
        <x:v>U14</x:v>
      </x:c>
      <x:c r="C2011" s="7" t="str">
        <x:v>adopt</x:v>
      </x:c>
      <x:c r="D2011" s="7" t="str">
        <x:v>현재 revision과 권한 검사 및 채택</x:v>
      </x:c>
      <x:c r="E2011" s="7" t="str">
        <x:v>via</x:v>
      </x:c>
      <x:c r="F2011" s="14" t="n">
        <x:v>1.54</x:v>
      </x:c>
      <x:c r="G2011" s="14" t="n">
        <x:v>1.57</x:v>
      </x:c>
      <x:c r="H2011" s="14" t="n">
        <x:v>0.03</x:v>
      </x:c>
      <x:c r="I2011" s="14" t="n">
        <x:v>0</x:v>
      </x:c>
      <x:c r="J2011" s="7" t="str">
        <x:v>meaning</x:v>
      </x:c>
      <x:c r="K2011" s="7" t="str">
        <x:v>none</x:v>
      </x:c>
      <x:c r="L2011" s="14" t="n">
        <x:f>IF(G2011&lt;=I2011,0,MAX(0,L2010)+IF(E2011="via",MAX(0,G2011-MAX(F2011,I2011)),0))</x:f>
        <x:v>1.57</x:v>
      </x:c>
    </x:row>
    <x:row r="2012" ht="42" customHeight="1">
      <x:c r="A2012" s="12" t="str">
        <x:v>DP5-B</x:v>
      </x:c>
      <x:c r="B2012" s="12" t="str">
        <x:v>U14</x:v>
      </x:c>
      <x:c r="C2012" s="12" t="str">
        <x:v>first_display</x:v>
      </x:c>
      <x:c r="D2012" s="12" t="str">
        <x:v>첫 구체적 채택 내용 화면 표시</x:v>
      </x:c>
      <x:c r="E2012" s="12" t="str">
        <x:v>via</x:v>
      </x:c>
      <x:c r="F2012" s="13" t="n">
        <x:v>1.57</x:v>
      </x:c>
      <x:c r="G2012" s="13" t="n">
        <x:v>1.61</x:v>
      </x:c>
      <x:c r="H2012" s="13" t="n">
        <x:v>0.04</x:v>
      </x:c>
      <x:c r="I2012" s="13" t="n">
        <x:v>0</x:v>
      </x:c>
      <x:c r="J2012" s="12" t="str">
        <x:v>adopt</x:v>
      </x:c>
      <x:c r="K2012" s="12" t="str">
        <x:v>none</x:v>
      </x:c>
      <x:c r="L2012" s="13" t="n">
        <x:f>IF(G2012&lt;=I2012,0,MAX(0,L2011)+IF(E2012="via",MAX(0,G2012-MAX(F2012,I2012)),0))</x:f>
        <x:v>1.61</x:v>
      </x:c>
    </x:row>
    <x:row r="2013" ht="42" customHeight="1">
      <x:c r="A2013" s="7" t="str">
        <x:v>DP5-B</x:v>
      </x:c>
      <x:c r="B2013" s="7" t="str">
        <x:v>U14</x:v>
      </x:c>
      <x:c r="C2013" s="7" t="str">
        <x:v>agent_ingress</x:v>
      </x:c>
      <x:c r="D2013" s="7" t="str">
        <x:v>Agent 요청 전송</x:v>
      </x:c>
      <x:c r="E2013" s="7" t="str">
        <x:v>via</x:v>
      </x:c>
      <x:c r="F2013" s="14" t="n">
        <x:v>1.57</x:v>
      </x:c>
      <x:c r="G2013" s="14" t="n">
        <x:v>1.61</x:v>
      </x:c>
      <x:c r="H2013" s="14" t="n">
        <x:v>0.04</x:v>
      </x:c>
      <x:c r="I2013" s="14" t="n">
        <x:v>0</x:v>
      </x:c>
      <x:c r="J2013" s="7" t="str">
        <x:v>adopt</x:v>
      </x:c>
      <x:c r="K2013" s="7" t="str">
        <x:v>none</x:v>
      </x:c>
      <x:c r="L2013" s="14" t="n">
        <x:f>IF(G2013&lt;=I2013,0,MAX(0,L2011)+IF(E2013="via",MAX(0,G2013-MAX(F2013,I2013)),0))</x:f>
        <x:v>1.61</x:v>
      </x:c>
    </x:row>
    <x:row r="2014" ht="42" customHeight="1">
      <x:c r="A2014" s="12" t="str">
        <x:v>DP5-B</x:v>
      </x:c>
      <x:c r="B2014" s="12" t="str">
        <x:v>U14</x:v>
      </x:c>
      <x:c r="C2014" s="12" t="str">
        <x:v>agent_result</x:v>
      </x:c>
      <x:c r="D2014" s="12" t="str">
        <x:v>외부 Agent 업무</x:v>
      </x:c>
      <x:c r="E2014" s="12" t="str">
        <x:v>external</x:v>
      </x:c>
      <x:c r="F2014" s="13" t="n">
        <x:v>1.61</x:v>
      </x:c>
      <x:c r="G2014" s="13" t="n">
        <x:v>9.61</x:v>
      </x:c>
      <x:c r="H2014" s="13" t="n">
        <x:v>8</x:v>
      </x:c>
      <x:c r="I2014" s="13" t="n">
        <x:v>0</x:v>
      </x:c>
      <x:c r="J2014" s="12" t="str">
        <x:v>agent_ingress</x:v>
      </x:c>
      <x:c r="K2014" s="12" t="str">
        <x:v>none</x:v>
      </x:c>
      <x:c r="L2014" s="13" t="n">
        <x:f>IF(G2014&lt;=I2014,0,MAX(0,L2013)+IF(E2014="via",MAX(0,G2014-MAX(F2014,I2014)),0))</x:f>
        <x:v>1.61</x:v>
      </x:c>
    </x:row>
    <x:row r="2015" ht="42" customHeight="1">
      <x:c r="A2015" s="7" t="str">
        <x:v>DP5-B</x:v>
      </x:c>
      <x:c r="B2015" s="7" t="str">
        <x:v>U14</x:v>
      </x:c>
      <x:c r="C2015" s="7" t="str">
        <x:v>result_display</x:v>
      </x:c>
      <x:c r="D2015" s="7" t="str">
        <x:v>최종 결과 상세 표시</x:v>
      </x:c>
      <x:c r="E2015" s="7" t="str">
        <x:v>via</x:v>
      </x:c>
      <x:c r="F2015" s="14" t="n">
        <x:v>9.61</x:v>
      </x:c>
      <x:c r="G2015" s="14" t="n">
        <x:v>9.649999999999999</x:v>
      </x:c>
      <x:c r="H2015" s="14" t="n">
        <x:v>0.04</x:v>
      </x:c>
      <x:c r="I2015" s="14" t="n">
        <x:v>0</x:v>
      </x:c>
      <x:c r="J2015" s="7" t="str">
        <x:v>agent_result</x:v>
      </x:c>
      <x:c r="K2015" s="7" t="str">
        <x:v>none</x:v>
      </x:c>
      <x:c r="L2015" s="14" t="n">
        <x:f>IF(G2015&lt;=I2015,0,MAX(0,L2014)+IF(E2015="via",MAX(0,G2015-MAX(F2015,I2015)),0))</x:f>
        <x:v>1.6499999999999992</x:v>
      </x:c>
    </x:row>
    <x:row r="2016" ht="42" customHeight="1">
      <x:c r="A2016" s="12" t="str">
        <x:v>DP5-B</x:v>
      </x:c>
      <x:c r="B2016" s="12" t="str">
        <x:v>U14</x:v>
      </x:c>
      <x:c r="C2016" s="12" t="str">
        <x:v>response_audio</x:v>
      </x:c>
      <x:c r="D2016" s="12" t="str">
        <x:v>선택한 응답 음성 생성</x:v>
      </x:c>
      <x:c r="E2016" s="12" t="str">
        <x:v>via</x:v>
      </x:c>
      <x:c r="F2016" s="13" t="n">
        <x:v>9.61</x:v>
      </x:c>
      <x:c r="G2016" s="13" t="n">
        <x:v>11.498</x:v>
      </x:c>
      <x:c r="H2016" s="13" t="n">
        <x:v>1.888</x:v>
      </x:c>
      <x:c r="I2016" s="13" t="n">
        <x:v>0</x:v>
      </x:c>
      <x:c r="J2016" s="12" t="str">
        <x:v>agent_result</x:v>
      </x:c>
      <x:c r="K2016" s="12" t="str">
        <x:v>speech</x:v>
      </x:c>
      <x:c r="L2016" s="13" t="n">
        <x:f>IF(G2016&lt;=I2016,0,MAX(0,L2014)+IF(E2016="via",MAX(0,G2016-MAX(F2016,I2016)),0))</x:f>
        <x:v>3.498</x:v>
      </x:c>
    </x:row>
    <x:row r="2017" ht="42" customHeight="1">
      <x:c r="A2017" s="7" t="str">
        <x:v>DP5-B</x:v>
      </x:c>
      <x:c r="B2017" s="7" t="str">
        <x:v>U14</x:v>
      </x:c>
      <x:c r="C2017" s="7" t="str">
        <x:v>intent_audio</x:v>
      </x:c>
      <x:c r="D2017" s="7" t="str">
        <x:v>채택한 구체적 수행 의도의 짧은 음성</x:v>
      </x:c>
      <x:c r="E2017" s="7" t="str">
        <x:v>via</x:v>
      </x:c>
      <x:c r="F2017" s="14" t="n">
        <x:v>1.57</x:v>
      </x:c>
      <x:c r="G2017" s="14" t="n">
        <x:v>2.7039999999999997</x:v>
      </x:c>
      <x:c r="H2017" s="14" t="n">
        <x:v>1.134</x:v>
      </x:c>
      <x:c r="I2017" s="14" t="n">
        <x:v>0</x:v>
      </x:c>
      <x:c r="J2017" s="7" t="str">
        <x:v>adopt</x:v>
      </x:c>
      <x:c r="K2017" s="7" t="str">
        <x:v>speech</x:v>
      </x:c>
      <x:c r="L2017" s="14" t="n">
        <x:f>IF(G2017&lt;=I2017,0,MAX(0,L2011)+IF(E2017="via",MAX(0,G2017-MAX(F2017,I2017)),0))</x:f>
        <x:v>2.7039999999999997</x:v>
      </x:c>
    </x:row>
    <x:row r="2018" ht="42" customHeight="1">
      <x:c r="A2018" s="12" t="str">
        <x:v>DP5-B</x:v>
      </x:c>
      <x:c r="B2018" s="12" t="str">
        <x:v>U14</x:v>
      </x:c>
      <x:c r="C2018" s="12" t="str">
        <x:v>first_chunk</x:v>
      </x:c>
      <x:c r="D2018" s="12" t="str">
        <x:v>같은 생성 job의 유효 첫 chunk 관측</x:v>
      </x:c>
      <x:c r="E2018" s="12" t="str">
        <x:v>via</x:v>
      </x:c>
      <x:c r="F2018" s="13" t="n">
        <x:v>1.57</x:v>
      </x:c>
      <x:c r="G2018" s="13" t="n">
        <x:v>2.004</x:v>
      </x:c>
      <x:c r="H2018" s="13" t="n">
        <x:v>0.434</x:v>
      </x:c>
      <x:c r="I2018" s="13" t="n">
        <x:v>0</x:v>
      </x:c>
      <x:c r="J2018" s="12" t="str">
        <x:v>adopt</x:v>
      </x:c>
      <x:c r="K2018" s="12" t="str">
        <x:v>none</x:v>
      </x:c>
      <x:c r="L2018" s="13" t="n">
        <x:f>IF(G2018&lt;=I2018,0,MAX(0,L2011)+IF(E2018="via",MAX(0,G2018-MAX(F2018,I2018)),0))</x:f>
        <x:v>2.004</x:v>
      </x:c>
    </x:row>
    <x:row r="2019" ht="42" customHeight="1">
      <x:c r="A2019" s="7" t="str">
        <x:v>DP5-B</x:v>
      </x:c>
      <x:c r="B2019" s="7" t="str">
        <x:v>U14</x:v>
      </x:c>
      <x:c r="C2019" s="7" t="str">
        <x:v>first_audio_output</x:v>
      </x:c>
      <x:c r="D2019" s="7" t="str">
        <x:v>공통 장치의 첫 음성 출력</x:v>
      </x:c>
      <x:c r="E2019" s="7" t="str">
        <x:v>via</x:v>
      </x:c>
      <x:c r="F2019" s="14" t="n">
        <x:v>2.004</x:v>
      </x:c>
      <x:c r="G2019" s="14" t="n">
        <x:v>2.044</x:v>
      </x:c>
      <x:c r="H2019" s="14" t="n">
        <x:v>0.04</x:v>
      </x:c>
      <x:c r="I2019" s="14" t="n">
        <x:v>0</x:v>
      </x:c>
      <x:c r="J2019" s="7" t="str">
        <x:v>adopt, first_chunk</x:v>
      </x:c>
      <x:c r="K2019" s="7" t="str">
        <x:v>none</x:v>
      </x:c>
      <x:c r="L2019" s="14" t="n">
        <x:f>IF(G2019&lt;=I2019,0,MAX(0,L2011,L2018)+IF(E2019="via",MAX(0,G2019-MAX(F2019,I2019)),0))</x:f>
        <x:v>2.044</x:v>
      </x:c>
    </x:row>
    <x:row r="2020" ht="42" customHeight="1">
      <x:c r="A2020" s="12" t="str">
        <x:v>DP5-B</x:v>
      </x:c>
      <x:c r="B2020" s="12" t="str">
        <x:v>U14</x:v>
      </x:c>
      <x:c r="C2020" s="12" t="str">
        <x:v>next_speech_selection</x:v>
      </x:c>
      <x:c r="D2020" s="12" t="str">
        <x:v>현재 발화 재생 후 다음 응답 선택</x:v>
      </x:c>
      <x:c r="E2020" s="12" t="str">
        <x:v>external</x:v>
      </x:c>
      <x:c r="F2020" s="13" t="n">
        <x:v>2.044</x:v>
      </x:c>
      <x:c r="G2020" s="13" t="n">
        <x:v>5.0440000000000005</x:v>
      </x:c>
      <x:c r="H2020" s="13" t="n">
        <x:v>3</x:v>
      </x:c>
      <x:c r="I2020" s="13" t="n">
        <x:v>0</x:v>
      </x:c>
      <x:c r="J2020" s="12" t="str">
        <x:v>first_audio_output</x:v>
      </x:c>
      <x:c r="K2020" s="12" t="str">
        <x:v>none</x:v>
      </x:c>
      <x:c r="L2020" s="13" t="n">
        <x:f>IF(G2020&lt;=I2020,0,MAX(0,L2019)+IF(E2020="via",MAX(0,G2020-MAX(F2020,I2020)),0))</x:f>
        <x:v>2.044</x:v>
      </x:c>
    </x:row>
    <x:row r="2021" ht="42" customHeight="1">
      <x:c r="A2021" s="7" t="str">
        <x:v>DP5-B</x:v>
      </x:c>
      <x:c r="B2021" s="7" t="str">
        <x:v>U14</x:v>
      </x:c>
      <x:c r="C2021" s="7" t="str">
        <x:v>terminal</x:v>
      </x:c>
      <x:c r="D2021" s="7" t="str">
        <x:v>공통 목표 최종 상태와 전체 음성 준비</x:v>
      </x:c>
      <x:c r="E2021" s="7" t="str">
        <x:v>via</x:v>
      </x:c>
      <x:c r="F2021" s="14" t="n">
        <x:v>11.498</x:v>
      </x:c>
      <x:c r="G2021" s="14" t="n">
        <x:v>11.498</x:v>
      </x:c>
      <x:c r="H2021" s="14" t="n">
        <x:v>0</x:v>
      </x:c>
      <x:c r="I2021" s="14" t="n">
        <x:v>0</x:v>
      </x:c>
      <x:c r="J2021" s="7" t="str">
        <x:v>result_display, response_audio, intent_audio, first_audio_output</x:v>
      </x:c>
      <x:c r="K2021" s="7" t="str">
        <x:v>none</x:v>
      </x:c>
      <x:c r="L2021" s="14" t="n">
        <x:f>IF(G2021&lt;=I2021,0,MAX(0,L2015,L2016,L2017,L2019)+IF(E2021="via",MAX(0,G2021-MAX(F2021,I2021)),0))</x:f>
        <x:v>3.498</x:v>
      </x:c>
    </x:row>
    <x:row r="2022" ht="42" customHeight="1">
      <x:c r="A2022" s="12" t="str">
        <x:v>DP5-B</x:v>
      </x:c>
      <x:c r="B2022" s="12" t="str">
        <x:v>U15</x:v>
      </x:c>
      <x:c r="C2022" s="12" t="str">
        <x:v>input_end</x:v>
      </x:c>
      <x:c r="D2022" s="12" t="str">
        <x:v>사용자 입력 종료</x:v>
      </x:c>
      <x:c r="E2022" s="12" t="str">
        <x:v>external</x:v>
      </x:c>
      <x:c r="F2022" s="13" t="n">
        <x:v>0</x:v>
      </x:c>
      <x:c r="G2022" s="13" t="n">
        <x:v>0</x:v>
      </x:c>
      <x:c r="H2022" s="13" t="n">
        <x:v>0</x:v>
      </x:c>
      <x:c r="I2022" s="13" t="n">
        <x:v>0</x:v>
      </x:c>
      <x:c r="J2022" s="12" t="str"/>
      <x:c r="K2022" s="12" t="str">
        <x:v>none</x:v>
      </x:c>
      <x:c r="L2022" s="13" t="n">
        <x:f>IF(G2022&lt;=I2022,0,MAX(0)+IF(E2022="via",MAX(0,G2022-MAX(F2022,I2022)),0))</x:f>
        <x:v>0</x:v>
      </x:c>
    </x:row>
    <x:row r="2023" ht="42" customHeight="1">
      <x:c r="A2023" s="7" t="str">
        <x:v>DP5-B</x:v>
      </x:c>
      <x:c r="B2023" s="7" t="str">
        <x:v>U15</x:v>
      </x:c>
      <x:c r="C2023" s="7" t="str">
        <x:v>intake</x:v>
      </x:c>
      <x:c r="D2023" s="7" t="str">
        <x:v>입력 확정</x:v>
      </x:c>
      <x:c r="E2023" s="7" t="str">
        <x:v>via</x:v>
      </x:c>
      <x:c r="F2023" s="14" t="n">
        <x:v>0</x:v>
      </x:c>
      <x:c r="G2023" s="14" t="n">
        <x:v>0.06</x:v>
      </x:c>
      <x:c r="H2023" s="14" t="n">
        <x:v>0.06</x:v>
      </x:c>
      <x:c r="I2023" s="14" t="n">
        <x:v>0</x:v>
      </x:c>
      <x:c r="J2023" s="7" t="str">
        <x:v>input_end</x:v>
      </x:c>
      <x:c r="K2023" s="7" t="str">
        <x:v>none</x:v>
      </x:c>
      <x:c r="L2023" s="14" t="n">
        <x:f>IF(G2023&lt;=I2023,0,MAX(0,L2022)+IF(E2023="via",MAX(0,G2023-MAX(F2023,I2023)),0))</x:f>
        <x:v>0.06</x:v>
      </x:c>
    </x:row>
    <x:row r="2024" ht="42" customHeight="1">
      <x:c r="A2024" s="12" t="str">
        <x:v>DP5-B</x:v>
      </x:c>
      <x:c r="B2024" s="12" t="str">
        <x:v>U15</x:v>
      </x:c>
      <x:c r="C2024" s="12" t="str">
        <x:v>read</x:v>
      </x:c>
      <x:c r="D2024" s="12" t="str">
        <x:v>공통 허용 원본 조회</x:v>
      </x:c>
      <x:c r="E2024" s="12" t="str">
        <x:v>via</x:v>
      </x:c>
      <x:c r="F2024" s="13" t="n">
        <x:v>0.06</x:v>
      </x:c>
      <x:c r="G2024" s="13" t="n">
        <x:v>0.14</x:v>
      </x:c>
      <x:c r="H2024" s="13" t="n">
        <x:v>0.08</x:v>
      </x:c>
      <x:c r="I2024" s="13" t="n">
        <x:v>0</x:v>
      </x:c>
      <x:c r="J2024" s="12" t="str">
        <x:v>intake</x:v>
      </x:c>
      <x:c r="K2024" s="12" t="str">
        <x:v>none</x:v>
      </x:c>
      <x:c r="L2024" s="13" t="n">
        <x:f>IF(G2024&lt;=I2024,0,MAX(0,L2023)+IF(E2024="via",MAX(0,G2024-MAX(F2024,I2024)),0))</x:f>
        <x:v>0.14</x:v>
      </x:c>
    </x:row>
    <x:row r="2025" ht="42" customHeight="1">
      <x:c r="A2025" s="7" t="str">
        <x:v>DP5-B</x:v>
      </x:c>
      <x:c r="B2025" s="7" t="str">
        <x:v>U15</x:v>
      </x:c>
      <x:c r="C2025" s="7" t="str">
        <x:v>meaning</x:v>
      </x:c>
      <x:c r="D2025" s="7" t="str">
        <x:v>최초 요청 의미 채택 packet 생성</x:v>
      </x:c>
      <x:c r="E2025" s="7" t="str">
        <x:v>via</x:v>
      </x:c>
      <x:c r="F2025" s="14" t="n">
        <x:v>0.14</x:v>
      </x:c>
      <x:c r="G2025" s="14" t="n">
        <x:v>1.2400000000000002</x:v>
      </x:c>
      <x:c r="H2025" s="14" t="n">
        <x:v>1.1</x:v>
      </x:c>
      <x:c r="I2025" s="14" t="n">
        <x:v>0</x:v>
      </x:c>
      <x:c r="J2025" s="7" t="str">
        <x:v>read</x:v>
      </x:c>
      <x:c r="K2025" s="7" t="str">
        <x:v>semantic</x:v>
      </x:c>
      <x:c r="L2025" s="14" t="n">
        <x:f>IF(G2025&lt;=I2025,0,MAX(0,L2024)+IF(E2025="via",MAX(0,G2025-MAX(F2025,I2025)),0))</x:f>
        <x:v>1.2400000000000002</x:v>
      </x:c>
    </x:row>
    <x:row r="2026" ht="42" customHeight="1">
      <x:c r="A2026" s="12" t="str">
        <x:v>DP5-B</x:v>
      </x:c>
      <x:c r="B2026" s="12" t="str">
        <x:v>U15</x:v>
      </x:c>
      <x:c r="C2026" s="12" t="str">
        <x:v>adopt</x:v>
      </x:c>
      <x:c r="D2026" s="12" t="str">
        <x:v>현재 revision과 권한 검사 및 채택</x:v>
      </x:c>
      <x:c r="E2026" s="12" t="str">
        <x:v>via</x:v>
      </x:c>
      <x:c r="F2026" s="13" t="n">
        <x:v>1.2400000000000002</x:v>
      </x:c>
      <x:c r="G2026" s="13" t="n">
        <x:v>1.2700000000000002</x:v>
      </x:c>
      <x:c r="H2026" s="13" t="n">
        <x:v>0.03</x:v>
      </x:c>
      <x:c r="I2026" s="13" t="n">
        <x:v>0</x:v>
      </x:c>
      <x:c r="J2026" s="12" t="str">
        <x:v>meaning</x:v>
      </x:c>
      <x:c r="K2026" s="12" t="str">
        <x:v>none</x:v>
      </x:c>
      <x:c r="L2026" s="13" t="n">
        <x:f>IF(G2026&lt;=I2026,0,MAX(0,L2025)+IF(E2026="via",MAX(0,G2026-MAX(F2026,I2026)),0))</x:f>
        <x:v>1.2700000000000002</x:v>
      </x:c>
    </x:row>
    <x:row r="2027" ht="42" customHeight="1">
      <x:c r="A2027" s="7" t="str">
        <x:v>DP5-B</x:v>
      </x:c>
      <x:c r="B2027" s="7" t="str">
        <x:v>U15</x:v>
      </x:c>
      <x:c r="C2027" s="7" t="str">
        <x:v>first_display</x:v>
      </x:c>
      <x:c r="D2027" s="7" t="str">
        <x:v>첫 구체적 채택 내용 화면 표시</x:v>
      </x:c>
      <x:c r="E2027" s="7" t="str">
        <x:v>via</x:v>
      </x:c>
      <x:c r="F2027" s="14" t="n">
        <x:v>1.2700000000000002</x:v>
      </x:c>
      <x:c r="G2027" s="14" t="n">
        <x:v>1.3100000000000003</x:v>
      </x:c>
      <x:c r="H2027" s="14" t="n">
        <x:v>0.04</x:v>
      </x:c>
      <x:c r="I2027" s="14" t="n">
        <x:v>0</x:v>
      </x:c>
      <x:c r="J2027" s="7" t="str">
        <x:v>adopt</x:v>
      </x:c>
      <x:c r="K2027" s="7" t="str">
        <x:v>none</x:v>
      </x:c>
      <x:c r="L2027" s="14" t="n">
        <x:f>IF(G2027&lt;=I2027,0,MAX(0,L2026)+IF(E2027="via",MAX(0,G2027-MAX(F2027,I2027)),0))</x:f>
        <x:v>1.3100000000000003</x:v>
      </x:c>
    </x:row>
    <x:row r="2028" ht="42" customHeight="1">
      <x:c r="A2028" s="12" t="str">
        <x:v>DP5-B</x:v>
      </x:c>
      <x:c r="B2028" s="12" t="str">
        <x:v>U15</x:v>
      </x:c>
      <x:c r="C2028" s="12" t="str">
        <x:v>agent_ingress</x:v>
      </x:c>
      <x:c r="D2028" s="12" t="str">
        <x:v>Agent 요청 전송</x:v>
      </x:c>
      <x:c r="E2028" s="12" t="str">
        <x:v>via</x:v>
      </x:c>
      <x:c r="F2028" s="13" t="n">
        <x:v>1.2700000000000002</x:v>
      </x:c>
      <x:c r="G2028" s="13" t="n">
        <x:v>1.3100000000000003</x:v>
      </x:c>
      <x:c r="H2028" s="13" t="n">
        <x:v>0.04</x:v>
      </x:c>
      <x:c r="I2028" s="13" t="n">
        <x:v>0</x:v>
      </x:c>
      <x:c r="J2028" s="12" t="str">
        <x:v>adopt</x:v>
      </x:c>
      <x:c r="K2028" s="12" t="str">
        <x:v>none</x:v>
      </x:c>
      <x:c r="L2028" s="13" t="n">
        <x:f>IF(G2028&lt;=I2028,0,MAX(0,L2026)+IF(E2028="via",MAX(0,G2028-MAX(F2028,I2028)),0))</x:f>
        <x:v>1.3100000000000003</x:v>
      </x:c>
    </x:row>
    <x:row r="2029" ht="42" customHeight="1">
      <x:c r="A2029" s="7" t="str">
        <x:v>DP5-B</x:v>
      </x:c>
      <x:c r="B2029" s="7" t="str">
        <x:v>U15</x:v>
      </x:c>
      <x:c r="C2029" s="7" t="str">
        <x:v>agent_result</x:v>
      </x:c>
      <x:c r="D2029" s="7" t="str">
        <x:v>외부 Agent 업무</x:v>
      </x:c>
      <x:c r="E2029" s="7" t="str">
        <x:v>external</x:v>
      </x:c>
      <x:c r="F2029" s="14" t="n">
        <x:v>1.3100000000000003</x:v>
      </x:c>
      <x:c r="G2029" s="14" t="n">
        <x:v>9.31</x:v>
      </x:c>
      <x:c r="H2029" s="14" t="n">
        <x:v>8</x:v>
      </x:c>
      <x:c r="I2029" s="14" t="n">
        <x:v>0</x:v>
      </x:c>
      <x:c r="J2029" s="7" t="str">
        <x:v>agent_ingress</x:v>
      </x:c>
      <x:c r="K2029" s="7" t="str">
        <x:v>none</x:v>
      </x:c>
      <x:c r="L2029" s="14" t="n">
        <x:f>IF(G2029&lt;=I2029,0,MAX(0,L2028)+IF(E2029="via",MAX(0,G2029-MAX(F2029,I2029)),0))</x:f>
        <x:v>1.3100000000000003</x:v>
      </x:c>
    </x:row>
    <x:row r="2030" ht="42" customHeight="1">
      <x:c r="A2030" s="12" t="str">
        <x:v>DP5-B</x:v>
      </x:c>
      <x:c r="B2030" s="12" t="str">
        <x:v>U15</x:v>
      </x:c>
      <x:c r="C2030" s="12" t="str">
        <x:v>result_display</x:v>
      </x:c>
      <x:c r="D2030" s="12" t="str">
        <x:v>최종 결과 상세 표시</x:v>
      </x:c>
      <x:c r="E2030" s="12" t="str">
        <x:v>via</x:v>
      </x:c>
      <x:c r="F2030" s="13" t="n">
        <x:v>9.31</x:v>
      </x:c>
      <x:c r="G2030" s="13" t="n">
        <x:v>9.35</x:v>
      </x:c>
      <x:c r="H2030" s="13" t="n">
        <x:v>0.04</x:v>
      </x:c>
      <x:c r="I2030" s="13" t="n">
        <x:v>0</x:v>
      </x:c>
      <x:c r="J2030" s="12" t="str">
        <x:v>agent_result</x:v>
      </x:c>
      <x:c r="K2030" s="12" t="str">
        <x:v>none</x:v>
      </x:c>
      <x:c r="L2030" s="13" t="n">
        <x:f>IF(G2030&lt;=I2030,0,MAX(0,L2029)+IF(E2030="via",MAX(0,G2030-MAX(F2030,I2030)),0))</x:f>
        <x:v>1.3499999999999994</x:v>
      </x:c>
    </x:row>
    <x:row r="2031" ht="42" customHeight="1">
      <x:c r="A2031" s="7" t="str">
        <x:v>DP5-B</x:v>
      </x:c>
      <x:c r="B2031" s="7" t="str">
        <x:v>U15</x:v>
      </x:c>
      <x:c r="C2031" s="7" t="str">
        <x:v>response_audio</x:v>
      </x:c>
      <x:c r="D2031" s="7" t="str">
        <x:v>선택한 응답 음성 생성</x:v>
      </x:c>
      <x:c r="E2031" s="7" t="str">
        <x:v>via</x:v>
      </x:c>
      <x:c r="F2031" s="14" t="n">
        <x:v>9.31</x:v>
      </x:c>
      <x:c r="G2031" s="14" t="n">
        <x:v>11.198</x:v>
      </x:c>
      <x:c r="H2031" s="14" t="n">
        <x:v>1.888</x:v>
      </x:c>
      <x:c r="I2031" s="14" t="n">
        <x:v>0</x:v>
      </x:c>
      <x:c r="J2031" s="7" t="str">
        <x:v>agent_result</x:v>
      </x:c>
      <x:c r="K2031" s="7" t="str">
        <x:v>speech</x:v>
      </x:c>
      <x:c r="L2031" s="14" t="n">
        <x:f>IF(G2031&lt;=I2031,0,MAX(0,L2029)+IF(E2031="via",MAX(0,G2031-MAX(F2031,I2031)),0))</x:f>
        <x:v>3.1980000000000004</x:v>
      </x:c>
    </x:row>
    <x:row r="2032" ht="42" customHeight="1">
      <x:c r="A2032" s="12" t="str">
        <x:v>DP5-B</x:v>
      </x:c>
      <x:c r="B2032" s="12" t="str">
        <x:v>U15</x:v>
      </x:c>
      <x:c r="C2032" s="12" t="str">
        <x:v>intent_audio</x:v>
      </x:c>
      <x:c r="D2032" s="12" t="str">
        <x:v>채택한 구체적 수행 의도의 짧은 음성</x:v>
      </x:c>
      <x:c r="E2032" s="12" t="str">
        <x:v>via</x:v>
      </x:c>
      <x:c r="F2032" s="13" t="n">
        <x:v>1.2700000000000002</x:v>
      </x:c>
      <x:c r="G2032" s="13" t="n">
        <x:v>2.404</x:v>
      </x:c>
      <x:c r="H2032" s="13" t="n">
        <x:v>1.134</x:v>
      </x:c>
      <x:c r="I2032" s="13" t="n">
        <x:v>0</x:v>
      </x:c>
      <x:c r="J2032" s="12" t="str">
        <x:v>adopt</x:v>
      </x:c>
      <x:c r="K2032" s="12" t="str">
        <x:v>speech</x:v>
      </x:c>
      <x:c r="L2032" s="13" t="n">
        <x:f>IF(G2032&lt;=I2032,0,MAX(0,L2026)+IF(E2032="via",MAX(0,G2032-MAX(F2032,I2032)),0))</x:f>
        <x:v>2.404</x:v>
      </x:c>
    </x:row>
    <x:row r="2033" ht="42" customHeight="1">
      <x:c r="A2033" s="7" t="str">
        <x:v>DP5-B</x:v>
      </x:c>
      <x:c r="B2033" s="7" t="str">
        <x:v>U15</x:v>
      </x:c>
      <x:c r="C2033" s="7" t="str">
        <x:v>first_chunk</x:v>
      </x:c>
      <x:c r="D2033" s="7" t="str">
        <x:v>같은 생성 job의 유효 첫 chunk 관측</x:v>
      </x:c>
      <x:c r="E2033" s="7" t="str">
        <x:v>via</x:v>
      </x:c>
      <x:c r="F2033" s="14" t="n">
        <x:v>1.2700000000000002</x:v>
      </x:c>
      <x:c r="G2033" s="14" t="n">
        <x:v>1.7040000000000002</x:v>
      </x:c>
      <x:c r="H2033" s="14" t="n">
        <x:v>0.434</x:v>
      </x:c>
      <x:c r="I2033" s="14" t="n">
        <x:v>0</x:v>
      </x:c>
      <x:c r="J2033" s="7" t="str">
        <x:v>adopt</x:v>
      </x:c>
      <x:c r="K2033" s="7" t="str">
        <x:v>none</x:v>
      </x:c>
      <x:c r="L2033" s="14" t="n">
        <x:f>IF(G2033&lt;=I2033,0,MAX(0,L2026)+IF(E2033="via",MAX(0,G2033-MAX(F2033,I2033)),0))</x:f>
        <x:v>1.7040000000000002</x:v>
      </x:c>
    </x:row>
    <x:row r="2034" ht="42" customHeight="1">
      <x:c r="A2034" s="12" t="str">
        <x:v>DP5-B</x:v>
      </x:c>
      <x:c r="B2034" s="12" t="str">
        <x:v>U15</x:v>
      </x:c>
      <x:c r="C2034" s="12" t="str">
        <x:v>first_audio_output</x:v>
      </x:c>
      <x:c r="D2034" s="12" t="str">
        <x:v>공통 장치의 첫 음성 출력</x:v>
      </x:c>
      <x:c r="E2034" s="12" t="str">
        <x:v>via</x:v>
      </x:c>
      <x:c r="F2034" s="13" t="n">
        <x:v>1.7040000000000002</x:v>
      </x:c>
      <x:c r="G2034" s="13" t="n">
        <x:v>1.7440000000000002</x:v>
      </x:c>
      <x:c r="H2034" s="13" t="n">
        <x:v>0.04</x:v>
      </x:c>
      <x:c r="I2034" s="13" t="n">
        <x:v>0</x:v>
      </x:c>
      <x:c r="J2034" s="12" t="str">
        <x:v>adopt, first_chunk</x:v>
      </x:c>
      <x:c r="K2034" s="12" t="str">
        <x:v>none</x:v>
      </x:c>
      <x:c r="L2034" s="13" t="n">
        <x:f>IF(G2034&lt;=I2034,0,MAX(0,L2026,L2033)+IF(E2034="via",MAX(0,G2034-MAX(F2034,I2034)),0))</x:f>
        <x:v>1.7440000000000002</x:v>
      </x:c>
    </x:row>
    <x:row r="2035" ht="42" customHeight="1">
      <x:c r="A2035" s="7" t="str">
        <x:v>DP5-B</x:v>
      </x:c>
      <x:c r="B2035" s="7" t="str">
        <x:v>U15</x:v>
      </x:c>
      <x:c r="C2035" s="7" t="str">
        <x:v>next_speech_selection</x:v>
      </x:c>
      <x:c r="D2035" s="7" t="str">
        <x:v>현재 발화 재생 후 다음 응답 선택</x:v>
      </x:c>
      <x:c r="E2035" s="7" t="str">
        <x:v>external</x:v>
      </x:c>
      <x:c r="F2035" s="14" t="n">
        <x:v>1.7440000000000002</x:v>
      </x:c>
      <x:c r="G2035" s="14" t="n">
        <x:v>4.744</x:v>
      </x:c>
      <x:c r="H2035" s="14" t="n">
        <x:v>3</x:v>
      </x:c>
      <x:c r="I2035" s="14" t="n">
        <x:v>0</x:v>
      </x:c>
      <x:c r="J2035" s="7" t="str">
        <x:v>first_audio_output</x:v>
      </x:c>
      <x:c r="K2035" s="7" t="str">
        <x:v>none</x:v>
      </x:c>
      <x:c r="L2035" s="14" t="n">
        <x:f>IF(G2035&lt;=I2035,0,MAX(0,L2034)+IF(E2035="via",MAX(0,G2035-MAX(F2035,I2035)),0))</x:f>
        <x:v>1.7440000000000002</x:v>
      </x:c>
    </x:row>
    <x:row r="2036" ht="42" customHeight="1">
      <x:c r="A2036" s="12" t="str">
        <x:v>DP5-B</x:v>
      </x:c>
      <x:c r="B2036" s="12" t="str">
        <x:v>U15</x:v>
      </x:c>
      <x:c r="C2036" s="12" t="str">
        <x:v>terminal</x:v>
      </x:c>
      <x:c r="D2036" s="12" t="str">
        <x:v>공통 목표 최종 상태와 전체 음성 준비</x:v>
      </x:c>
      <x:c r="E2036" s="12" t="str">
        <x:v>via</x:v>
      </x:c>
      <x:c r="F2036" s="13" t="n">
        <x:v>11.198</x:v>
      </x:c>
      <x:c r="G2036" s="13" t="n">
        <x:v>11.198</x:v>
      </x:c>
      <x:c r="H2036" s="13" t="n">
        <x:v>0</x:v>
      </x:c>
      <x:c r="I2036" s="13" t="n">
        <x:v>0</x:v>
      </x:c>
      <x:c r="J2036" s="12" t="str">
        <x:v>result_display, response_audio, intent_audio, first_audio_output</x:v>
      </x:c>
      <x:c r="K2036" s="12" t="str">
        <x:v>none</x:v>
      </x:c>
      <x:c r="L2036" s="13" t="n">
        <x:f>IF(G2036&lt;=I2036,0,MAX(0,L2030,L2031,L2032,L2034)+IF(E2036="via",MAX(0,G2036-MAX(F2036,I2036)),0))</x:f>
        <x:v>3.1980000000000004</x:v>
      </x:c>
    </x:row>
    <x:row r="2037" ht="42" customHeight="1">
      <x:c r="A2037" s="7" t="str">
        <x:v>DP5-B</x:v>
      </x:c>
      <x:c r="B2037" s="7" t="str">
        <x:v>U16</x:v>
      </x:c>
      <x:c r="C2037" s="7" t="str">
        <x:v>original_work</x:v>
      </x:c>
      <x:c r="D2037" s="7" t="str">
        <x:v>원래 목표의 최초 VIA 처리</x:v>
      </x:c>
      <x:c r="E2037" s="7" t="str">
        <x:v>via</x:v>
      </x:c>
      <x:c r="F2037" s="14" t="n">
        <x:v>-6</x:v>
      </x:c>
      <x:c r="G2037" s="14" t="n">
        <x:v>-4</x:v>
      </x:c>
      <x:c r="H2037" s="14" t="n">
        <x:v>2</x:v>
      </x:c>
      <x:c r="I2037" s="14" t="n">
        <x:v>-6</x:v>
      </x:c>
      <x:c r="J2037" s="7" t="str"/>
      <x:c r="K2037" s="7" t="str">
        <x:v>none</x:v>
      </x:c>
      <x:c r="L2037" s="14" t="n">
        <x:f>IF(G2037&lt;=I2037,0,MAX(0)+IF(E2037="via",MAX(0,G2037-MAX(F2037,I2037)),0))</x:f>
        <x:v>2</x:v>
      </x:c>
    </x:row>
    <x:row r="2038" ht="42" customHeight="1">
      <x:c r="A2038" s="12" t="str">
        <x:v>DP5-B</x:v>
      </x:c>
      <x:c r="B2038" s="12" t="str">
        <x:v>U16</x:v>
      </x:c>
      <x:c r="C2038" s="12" t="str">
        <x:v>input_end</x:v>
      </x:c>
      <x:c r="D2038" s="12" t="str">
        <x:v>사용자 입력 종료</x:v>
      </x:c>
      <x:c r="E2038" s="12" t="str">
        <x:v>external</x:v>
      </x:c>
      <x:c r="F2038" s="13" t="n">
        <x:v>0</x:v>
      </x:c>
      <x:c r="G2038" s="13" t="n">
        <x:v>0</x:v>
      </x:c>
      <x:c r="H2038" s="13" t="n">
        <x:v>0</x:v>
      </x:c>
      <x:c r="I2038" s="13" t="n">
        <x:v>-6</x:v>
      </x:c>
      <x:c r="J2038" s="12" t="str">
        <x:v>original_work</x:v>
      </x:c>
      <x:c r="K2038" s="12" t="str">
        <x:v>none</x:v>
      </x:c>
      <x:c r="L2038" s="13" t="n">
        <x:f>IF(G2038&lt;=I2038,0,MAX(0,L2037)+IF(E2038="via",MAX(0,G2038-MAX(F2038,I2038)),0))</x:f>
        <x:v>2</x:v>
      </x:c>
    </x:row>
    <x:row r="2039" ht="42" customHeight="1">
      <x:c r="A2039" s="7" t="str">
        <x:v>DP5-B</x:v>
      </x:c>
      <x:c r="B2039" s="7" t="str">
        <x:v>U16</x:v>
      </x:c>
      <x:c r="C2039" s="7" t="str">
        <x:v>intake</x:v>
      </x:c>
      <x:c r="D2039" s="7" t="str">
        <x:v>입력 확정</x:v>
      </x:c>
      <x:c r="E2039" s="7" t="str">
        <x:v>via</x:v>
      </x:c>
      <x:c r="F2039" s="14" t="n">
        <x:v>0</x:v>
      </x:c>
      <x:c r="G2039" s="14" t="n">
        <x:v>0.3</x:v>
      </x:c>
      <x:c r="H2039" s="14" t="n">
        <x:v>0.3</x:v>
      </x:c>
      <x:c r="I2039" s="14" t="n">
        <x:v>-6</x:v>
      </x:c>
      <x:c r="J2039" s="7" t="str">
        <x:v>input_end</x:v>
      </x:c>
      <x:c r="K2039" s="7" t="str">
        <x:v>none</x:v>
      </x:c>
      <x:c r="L2039" s="14" t="n">
        <x:f>IF(G2039&lt;=I2039,0,MAX(0,L2038)+IF(E2039="via",MAX(0,G2039-MAX(F2039,I2039)),0))</x:f>
        <x:v>2.3</x:v>
      </x:c>
    </x:row>
    <x:row r="2040" ht="42" customHeight="1">
      <x:c r="A2040" s="12" t="str">
        <x:v>DP5-B</x:v>
      </x:c>
      <x:c r="B2040" s="12" t="str">
        <x:v>U16</x:v>
      </x:c>
      <x:c r="C2040" s="12" t="str">
        <x:v>relation_prior</x:v>
      </x:c>
      <x:c r="D2040" s="12" t="str">
        <x:v>미확정 피드백 관계 사전 생산</x:v>
      </x:c>
      <x:c r="E2040" s="12" t="str">
        <x:v>via</x:v>
      </x:c>
      <x:c r="F2040" s="13" t="n">
        <x:v>-8</x:v>
      </x:c>
      <x:c r="G2040" s="13" t="n">
        <x:v>-6</x:v>
      </x:c>
      <x:c r="H2040" s="13" t="n">
        <x:v>2</x:v>
      </x:c>
      <x:c r="I2040" s="13" t="n">
        <x:v>-6</x:v>
      </x:c>
      <x:c r="J2040" s="12" t="str"/>
      <x:c r="K2040" s="12" t="str">
        <x:v>semantic</x:v>
      </x:c>
      <x:c r="L2040" s="13" t="n">
        <x:f>IF(G2040&lt;=I2040,0,MAX(0)+IF(E2040="via",MAX(0,G2040-MAX(F2040,I2040)),0))</x:f>
        <x:v>0</x:v>
      </x:c>
    </x:row>
    <x:row r="2041" ht="42" customHeight="1">
      <x:c r="A2041" s="7" t="str">
        <x:v>DP5-B</x:v>
      </x:c>
      <x:c r="B2041" s="7" t="str">
        <x:v>U16</x:v>
      </x:c>
      <x:c r="C2041" s="7" t="str">
        <x:v>relation_unused</x:v>
      </x:c>
      <x:c r="D2041" s="7" t="str">
        <x:v>같은 이력의 미사용 관계 생산</x:v>
      </x:c>
      <x:c r="E2041" s="7" t="str">
        <x:v>via</x:v>
      </x:c>
      <x:c r="F2041" s="14" t="n">
        <x:v>-8</x:v>
      </x:c>
      <x:c r="G2041" s="14" t="n">
        <x:v>-6</x:v>
      </x:c>
      <x:c r="H2041" s="14" t="n">
        <x:v>2</x:v>
      </x:c>
      <x:c r="I2041" s="14" t="n">
        <x:v>-6</x:v>
      </x:c>
      <x:c r="J2041" s="7" t="str"/>
      <x:c r="K2041" s="7" t="str">
        <x:v>semantic</x:v>
      </x:c>
      <x:c r="L2041" s="14" t="n">
        <x:f>IF(G2041&lt;=I2041,0,MAX(0)+IF(E2041="via",MAX(0,G2041-MAX(F2041,I2041)),0))</x:f>
        <x:v>0</x:v>
      </x:c>
    </x:row>
    <x:row r="2042" ht="42" customHeight="1">
      <x:c r="A2042" s="12" t="str">
        <x:v>DP5-B</x:v>
      </x:c>
      <x:c r="B2042" s="12" t="str">
        <x:v>U16</x:v>
      </x:c>
      <x:c r="C2042" s="12" t="str">
        <x:v>relation_update</x:v>
      </x:c>
      <x:c r="D2042" s="12" t="str">
        <x:v>정정 원본 관계 갱신</x:v>
      </x:c>
      <x:c r="E2042" s="12" t="str">
        <x:v>via</x:v>
      </x:c>
      <x:c r="F2042" s="13" t="n">
        <x:v>-0.2</x:v>
      </x:c>
      <x:c r="G2042" s="13" t="n">
        <x:v>1.8</x:v>
      </x:c>
      <x:c r="H2042" s="13" t="n">
        <x:v>2</x:v>
      </x:c>
      <x:c r="I2042" s="13" t="n">
        <x:v>-6</x:v>
      </x:c>
      <x:c r="J2042" s="12" t="str"/>
      <x:c r="K2042" s="12" t="str">
        <x:v>semantic</x:v>
      </x:c>
      <x:c r="L2042" s="13" t="n">
        <x:f>IF(G2042&lt;=I2042,0,MAX(0)+IF(E2042="via",MAX(0,G2042-MAX(F2042,I2042)),0))</x:f>
        <x:v>2</x:v>
      </x:c>
    </x:row>
    <x:row r="2043" ht="42" customHeight="1">
      <x:c r="A2043" s="7" t="str">
        <x:v>DP5-B</x:v>
      </x:c>
      <x:c r="B2043" s="7" t="str">
        <x:v>U16</x:v>
      </x:c>
      <x:c r="C2043" s="7" t="str">
        <x:v>read</x:v>
      </x:c>
      <x:c r="D2043" s="7" t="str">
        <x:v>공통 허용 원본 조회</x:v>
      </x:c>
      <x:c r="E2043" s="7" t="str">
        <x:v>via</x:v>
      </x:c>
      <x:c r="F2043" s="14" t="n">
        <x:v>0.3</x:v>
      </x:c>
      <x:c r="G2043" s="14" t="n">
        <x:v>0.38</x:v>
      </x:c>
      <x:c r="H2043" s="14" t="n">
        <x:v>0.08</x:v>
      </x:c>
      <x:c r="I2043" s="14" t="n">
        <x:v>-6</x:v>
      </x:c>
      <x:c r="J2043" s="7" t="str">
        <x:v>intake</x:v>
      </x:c>
      <x:c r="K2043" s="7" t="str">
        <x:v>none</x:v>
      </x:c>
      <x:c r="L2043" s="14" t="n">
        <x:f>IF(G2043&lt;=I2043,0,MAX(0,L2039)+IF(E2043="via",MAX(0,G2043-MAX(F2043,I2043)),0))</x:f>
        <x:v>2.38</x:v>
      </x:c>
    </x:row>
    <x:row r="2044" ht="42" customHeight="1">
      <x:c r="A2044" s="12" t="str">
        <x:v>DP5-B</x:v>
      </x:c>
      <x:c r="B2044" s="12" t="str">
        <x:v>U16</x:v>
      </x:c>
      <x:c r="C2044" s="12" t="str">
        <x:v>meaning</x:v>
      </x:c>
      <x:c r="D2044" s="12" t="str">
        <x:v>최초 요청 의미 채택 packet 생성</x:v>
      </x:c>
      <x:c r="E2044" s="12" t="str">
        <x:v>via</x:v>
      </x:c>
      <x:c r="F2044" s="13" t="n">
        <x:v>0.38</x:v>
      </x:c>
      <x:c r="G2044" s="13" t="n">
        <x:v>1.88</x:v>
      </x:c>
      <x:c r="H2044" s="13" t="n">
        <x:v>1.5</x:v>
      </x:c>
      <x:c r="I2044" s="13" t="n">
        <x:v>-6</x:v>
      </x:c>
      <x:c r="J2044" s="12" t="str">
        <x:v>read</x:v>
      </x:c>
      <x:c r="K2044" s="12" t="str">
        <x:v>semantic</x:v>
      </x:c>
      <x:c r="L2044" s="13" t="n">
        <x:f>IF(G2044&lt;=I2044,0,MAX(0,L2043)+IF(E2044="via",MAX(0,G2044-MAX(F2044,I2044)),0))</x:f>
        <x:v>3.88</x:v>
      </x:c>
    </x:row>
    <x:row r="2045" ht="42" customHeight="1">
      <x:c r="A2045" s="7" t="str">
        <x:v>DP5-B</x:v>
      </x:c>
      <x:c r="B2045" s="7" t="str">
        <x:v>U16</x:v>
      </x:c>
      <x:c r="C2045" s="7" t="str">
        <x:v>adopt</x:v>
      </x:c>
      <x:c r="D2045" s="7" t="str">
        <x:v>현재 revision과 권한 검사 및 채택</x:v>
      </x:c>
      <x:c r="E2045" s="7" t="str">
        <x:v>via</x:v>
      </x:c>
      <x:c r="F2045" s="14" t="n">
        <x:v>1.88</x:v>
      </x:c>
      <x:c r="G2045" s="14" t="n">
        <x:v>1.91</x:v>
      </x:c>
      <x:c r="H2045" s="14" t="n">
        <x:v>0.03</x:v>
      </x:c>
      <x:c r="I2045" s="14" t="n">
        <x:v>-6</x:v>
      </x:c>
      <x:c r="J2045" s="7" t="str">
        <x:v>meaning</x:v>
      </x:c>
      <x:c r="K2045" s="7" t="str">
        <x:v>none</x:v>
      </x:c>
      <x:c r="L2045" s="14" t="n">
        <x:f>IF(G2045&lt;=I2045,0,MAX(0,L2044)+IF(E2045="via",MAX(0,G2045-MAX(F2045,I2045)),0))</x:f>
        <x:v>3.91</x:v>
      </x:c>
    </x:row>
    <x:row r="2046" ht="42" customHeight="1">
      <x:c r="A2046" s="12" t="str">
        <x:v>DP5-B</x:v>
      </x:c>
      <x:c r="B2046" s="12" t="str">
        <x:v>U16</x:v>
      </x:c>
      <x:c r="C2046" s="12" t="str">
        <x:v>first_display</x:v>
      </x:c>
      <x:c r="D2046" s="12" t="str">
        <x:v>첫 구체적 채택 내용 화면 표시</x:v>
      </x:c>
      <x:c r="E2046" s="12" t="str">
        <x:v>via</x:v>
      </x:c>
      <x:c r="F2046" s="13" t="n">
        <x:v>1.91</x:v>
      </x:c>
      <x:c r="G2046" s="13" t="n">
        <x:v>1.95</x:v>
      </x:c>
      <x:c r="H2046" s="13" t="n">
        <x:v>0.04</x:v>
      </x:c>
      <x:c r="I2046" s="13" t="n">
        <x:v>-6</x:v>
      </x:c>
      <x:c r="J2046" s="12" t="str">
        <x:v>adopt</x:v>
      </x:c>
      <x:c r="K2046" s="12" t="str">
        <x:v>none</x:v>
      </x:c>
      <x:c r="L2046" s="13" t="n">
        <x:f>IF(G2046&lt;=I2046,0,MAX(0,L2045)+IF(E2046="via",MAX(0,G2046-MAX(F2046,I2046)),0))</x:f>
        <x:v>3.95</x:v>
      </x:c>
    </x:row>
    <x:row r="2047" ht="42" customHeight="1">
      <x:c r="A2047" s="7" t="str">
        <x:v>DP5-B</x:v>
      </x:c>
      <x:c r="B2047" s="7" t="str">
        <x:v>U16</x:v>
      </x:c>
      <x:c r="C2047" s="7" t="str">
        <x:v>agent_ingress</x:v>
      </x:c>
      <x:c r="D2047" s="7" t="str">
        <x:v>Agent 요청 전송</x:v>
      </x:c>
      <x:c r="E2047" s="7" t="str">
        <x:v>via</x:v>
      </x:c>
      <x:c r="F2047" s="14" t="n">
        <x:v>1.91</x:v>
      </x:c>
      <x:c r="G2047" s="14" t="n">
        <x:v>1.95</x:v>
      </x:c>
      <x:c r="H2047" s="14" t="n">
        <x:v>0.04</x:v>
      </x:c>
      <x:c r="I2047" s="14" t="n">
        <x:v>-6</x:v>
      </x:c>
      <x:c r="J2047" s="7" t="str">
        <x:v>adopt</x:v>
      </x:c>
      <x:c r="K2047" s="7" t="str">
        <x:v>none</x:v>
      </x:c>
      <x:c r="L2047" s="14" t="n">
        <x:f>IF(G2047&lt;=I2047,0,MAX(0,L2045)+IF(E2047="via",MAX(0,G2047-MAX(F2047,I2047)),0))</x:f>
        <x:v>3.95</x:v>
      </x:c>
    </x:row>
    <x:row r="2048" ht="42" customHeight="1">
      <x:c r="A2048" s="12" t="str">
        <x:v>DP5-B</x:v>
      </x:c>
      <x:c r="B2048" s="12" t="str">
        <x:v>U16</x:v>
      </x:c>
      <x:c r="C2048" s="12" t="str">
        <x:v>agent_result</x:v>
      </x:c>
      <x:c r="D2048" s="12" t="str">
        <x:v>외부 Agent 업무</x:v>
      </x:c>
      <x:c r="E2048" s="12" t="str">
        <x:v>external</x:v>
      </x:c>
      <x:c r="F2048" s="13" t="n">
        <x:v>1.95</x:v>
      </x:c>
      <x:c r="G2048" s="13" t="n">
        <x:v>9.95</x:v>
      </x:c>
      <x:c r="H2048" s="13" t="n">
        <x:v>8</x:v>
      </x:c>
      <x:c r="I2048" s="13" t="n">
        <x:v>-6</x:v>
      </x:c>
      <x:c r="J2048" s="12" t="str">
        <x:v>agent_ingress</x:v>
      </x:c>
      <x:c r="K2048" s="12" t="str">
        <x:v>none</x:v>
      </x:c>
      <x:c r="L2048" s="13" t="n">
        <x:f>IF(G2048&lt;=I2048,0,MAX(0,L2047)+IF(E2048="via",MAX(0,G2048-MAX(F2048,I2048)),0))</x:f>
        <x:v>3.95</x:v>
      </x:c>
    </x:row>
    <x:row r="2049" ht="42" customHeight="1">
      <x:c r="A2049" s="7" t="str">
        <x:v>DP5-B</x:v>
      </x:c>
      <x:c r="B2049" s="7" t="str">
        <x:v>U16</x:v>
      </x:c>
      <x:c r="C2049" s="7" t="str">
        <x:v>result_display</x:v>
      </x:c>
      <x:c r="D2049" s="7" t="str">
        <x:v>최종 결과 상세 표시</x:v>
      </x:c>
      <x:c r="E2049" s="7" t="str">
        <x:v>via</x:v>
      </x:c>
      <x:c r="F2049" s="14" t="n">
        <x:v>9.95</x:v>
      </x:c>
      <x:c r="G2049" s="14" t="n">
        <x:v>9.989999999999998</x:v>
      </x:c>
      <x:c r="H2049" s="14" t="n">
        <x:v>0.04</x:v>
      </x:c>
      <x:c r="I2049" s="14" t="n">
        <x:v>-6</x:v>
      </x:c>
      <x:c r="J2049" s="7" t="str">
        <x:v>agent_result</x:v>
      </x:c>
      <x:c r="K2049" s="7" t="str">
        <x:v>none</x:v>
      </x:c>
      <x:c r="L2049" s="14" t="n">
        <x:f>IF(G2049&lt;=I2049,0,MAX(0,L2048)+IF(E2049="via",MAX(0,G2049-MAX(F2049,I2049)),0))</x:f>
        <x:v>3.9899999999999993</x:v>
      </x:c>
    </x:row>
    <x:row r="2050" ht="42" customHeight="1">
      <x:c r="A2050" s="12" t="str">
        <x:v>DP5-B</x:v>
      </x:c>
      <x:c r="B2050" s="12" t="str">
        <x:v>U16</x:v>
      </x:c>
      <x:c r="C2050" s="12" t="str">
        <x:v>response_audio</x:v>
      </x:c>
      <x:c r="D2050" s="12" t="str">
        <x:v>선택한 응답 음성 생성</x:v>
      </x:c>
      <x:c r="E2050" s="12" t="str">
        <x:v>via</x:v>
      </x:c>
      <x:c r="F2050" s="13" t="n">
        <x:v>9.95</x:v>
      </x:c>
      <x:c r="G2050" s="13" t="n">
        <x:v>11.838</x:v>
      </x:c>
      <x:c r="H2050" s="13" t="n">
        <x:v>1.888</x:v>
      </x:c>
      <x:c r="I2050" s="13" t="n">
        <x:v>-6</x:v>
      </x:c>
      <x:c r="J2050" s="12" t="str">
        <x:v>agent_result</x:v>
      </x:c>
      <x:c r="K2050" s="12" t="str">
        <x:v>speech</x:v>
      </x:c>
      <x:c r="L2050" s="13" t="n">
        <x:f>IF(G2050&lt;=I2050,0,MAX(0,L2048)+IF(E2050="via",MAX(0,G2050-MAX(F2050,I2050)),0))</x:f>
        <x:v>5.838</x:v>
      </x:c>
    </x:row>
    <x:row r="2051" ht="42" customHeight="1">
      <x:c r="A2051" s="7" t="str">
        <x:v>DP5-B</x:v>
      </x:c>
      <x:c r="B2051" s="7" t="str">
        <x:v>U16</x:v>
      </x:c>
      <x:c r="C2051" s="7" t="str">
        <x:v>intent_audio</x:v>
      </x:c>
      <x:c r="D2051" s="7" t="str">
        <x:v>채택한 구체적 수행 의도의 짧은 음성</x:v>
      </x:c>
      <x:c r="E2051" s="7" t="str">
        <x:v>via</x:v>
      </x:c>
      <x:c r="F2051" s="14" t="n">
        <x:v>1.91</x:v>
      </x:c>
      <x:c r="G2051" s="14" t="n">
        <x:v>3.0439999999999996</x:v>
      </x:c>
      <x:c r="H2051" s="14" t="n">
        <x:v>1.134</x:v>
      </x:c>
      <x:c r="I2051" s="14" t="n">
        <x:v>-6</x:v>
      </x:c>
      <x:c r="J2051" s="7" t="str">
        <x:v>adopt</x:v>
      </x:c>
      <x:c r="K2051" s="7" t="str">
        <x:v>speech</x:v>
      </x:c>
      <x:c r="L2051" s="14" t="n">
        <x:f>IF(G2051&lt;=I2051,0,MAX(0,L2045)+IF(E2051="via",MAX(0,G2051-MAX(F2051,I2051)),0))</x:f>
        <x:v>5.044</x:v>
      </x:c>
    </x:row>
    <x:row r="2052" ht="42" customHeight="1">
      <x:c r="A2052" s="12" t="str">
        <x:v>DP5-B</x:v>
      </x:c>
      <x:c r="B2052" s="12" t="str">
        <x:v>U16</x:v>
      </x:c>
      <x:c r="C2052" s="12" t="str">
        <x:v>first_chunk</x:v>
      </x:c>
      <x:c r="D2052" s="12" t="str">
        <x:v>같은 생성 job의 유효 첫 chunk 관측</x:v>
      </x:c>
      <x:c r="E2052" s="12" t="str">
        <x:v>via</x:v>
      </x:c>
      <x:c r="F2052" s="13" t="n">
        <x:v>1.91</x:v>
      </x:c>
      <x:c r="G2052" s="13" t="n">
        <x:v>2.344</x:v>
      </x:c>
      <x:c r="H2052" s="13" t="n">
        <x:v>0.434</x:v>
      </x:c>
      <x:c r="I2052" s="13" t="n">
        <x:v>-6</x:v>
      </x:c>
      <x:c r="J2052" s="12" t="str">
        <x:v>adopt</x:v>
      </x:c>
      <x:c r="K2052" s="12" t="str">
        <x:v>none</x:v>
      </x:c>
      <x:c r="L2052" s="13" t="n">
        <x:f>IF(G2052&lt;=I2052,0,MAX(0,L2045)+IF(E2052="via",MAX(0,G2052-MAX(F2052,I2052)),0))</x:f>
        <x:v>4.344</x:v>
      </x:c>
    </x:row>
    <x:row r="2053" ht="42" customHeight="1">
      <x:c r="A2053" s="7" t="str">
        <x:v>DP5-B</x:v>
      </x:c>
      <x:c r="B2053" s="7" t="str">
        <x:v>U16</x:v>
      </x:c>
      <x:c r="C2053" s="7" t="str">
        <x:v>first_audio_output</x:v>
      </x:c>
      <x:c r="D2053" s="7" t="str">
        <x:v>공통 장치의 첫 음성 출력</x:v>
      </x:c>
      <x:c r="E2053" s="7" t="str">
        <x:v>via</x:v>
      </x:c>
      <x:c r="F2053" s="14" t="n">
        <x:v>2.344</x:v>
      </x:c>
      <x:c r="G2053" s="14" t="n">
        <x:v>2.384</x:v>
      </x:c>
      <x:c r="H2053" s="14" t="n">
        <x:v>0.04</x:v>
      </x:c>
      <x:c r="I2053" s="14" t="n">
        <x:v>-6</x:v>
      </x:c>
      <x:c r="J2053" s="7" t="str">
        <x:v>adopt, first_chunk</x:v>
      </x:c>
      <x:c r="K2053" s="7" t="str">
        <x:v>none</x:v>
      </x:c>
      <x:c r="L2053" s="14" t="n">
        <x:f>IF(G2053&lt;=I2053,0,MAX(0,L2045,L2052)+IF(E2053="via",MAX(0,G2053-MAX(F2053,I2053)),0))</x:f>
        <x:v>4.384</x:v>
      </x:c>
    </x:row>
    <x:row r="2054" ht="42" customHeight="1">
      <x:c r="A2054" s="12" t="str">
        <x:v>DP5-B</x:v>
      </x:c>
      <x:c r="B2054" s="12" t="str">
        <x:v>U16</x:v>
      </x:c>
      <x:c r="C2054" s="12" t="str">
        <x:v>next_speech_selection</x:v>
      </x:c>
      <x:c r="D2054" s="12" t="str">
        <x:v>현재 발화 재생 후 다음 응답 선택</x:v>
      </x:c>
      <x:c r="E2054" s="12" t="str">
        <x:v>external</x:v>
      </x:c>
      <x:c r="F2054" s="13" t="n">
        <x:v>2.384</x:v>
      </x:c>
      <x:c r="G2054" s="13" t="n">
        <x:v>5.384</x:v>
      </x:c>
      <x:c r="H2054" s="13" t="n">
        <x:v>3</x:v>
      </x:c>
      <x:c r="I2054" s="13" t="n">
        <x:v>-6</x:v>
      </x:c>
      <x:c r="J2054" s="12" t="str">
        <x:v>first_audio_output</x:v>
      </x:c>
      <x:c r="K2054" s="12" t="str">
        <x:v>none</x:v>
      </x:c>
      <x:c r="L2054" s="13" t="n">
        <x:f>IF(G2054&lt;=I2054,0,MAX(0,L2053)+IF(E2054="via",MAX(0,G2054-MAX(F2054,I2054)),0))</x:f>
        <x:v>4.384</x:v>
      </x:c>
    </x:row>
    <x:row r="2055" ht="42" customHeight="1">
      <x:c r="A2055" s="7" t="str">
        <x:v>DP5-B</x:v>
      </x:c>
      <x:c r="B2055" s="7" t="str">
        <x:v>U16</x:v>
      </x:c>
      <x:c r="C2055" s="7" t="str">
        <x:v>terminal</x:v>
      </x:c>
      <x:c r="D2055" s="7" t="str">
        <x:v>공통 목표 최종 상태와 전체 음성 준비</x:v>
      </x:c>
      <x:c r="E2055" s="7" t="str">
        <x:v>via</x:v>
      </x:c>
      <x:c r="F2055" s="14" t="n">
        <x:v>11.838</x:v>
      </x:c>
      <x:c r="G2055" s="14" t="n">
        <x:v>11.838</x:v>
      </x:c>
      <x:c r="H2055" s="14" t="n">
        <x:v>0</x:v>
      </x:c>
      <x:c r="I2055" s="14" t="n">
        <x:v>-6</x:v>
      </x:c>
      <x:c r="J2055" s="7" t="str">
        <x:v>result_display, response_audio, intent_audio, first_audio_output</x:v>
      </x:c>
      <x:c r="K2055" s="7" t="str">
        <x:v>none</x:v>
      </x:c>
      <x:c r="L2055" s="14" t="n">
        <x:f>IF(G2055&lt;=I2055,0,MAX(0,L2049,L2050,L2051,L2053)+IF(E2055="via",MAX(0,G2055-MAX(F2055,I2055)),0))</x:f>
        <x:v>5.838</x:v>
      </x:c>
    </x:row>
    <x:row r="2056" ht="42" customHeight="1">
      <x:c r="A2056" s="12" t="str">
        <x:v>DP5-B</x:v>
      </x:c>
      <x:c r="B2056" s="12" t="str">
        <x:v>U17</x:v>
      </x:c>
      <x:c r="C2056" s="12" t="str">
        <x:v>input_end</x:v>
      </x:c>
      <x:c r="D2056" s="12" t="str">
        <x:v>사용자 입력 종료</x:v>
      </x:c>
      <x:c r="E2056" s="12" t="str">
        <x:v>external</x:v>
      </x:c>
      <x:c r="F2056" s="13" t="n">
        <x:v>0</x:v>
      </x:c>
      <x:c r="G2056" s="13" t="n">
        <x:v>0</x:v>
      </x:c>
      <x:c r="H2056" s="13" t="n">
        <x:v>0</x:v>
      </x:c>
      <x:c r="I2056" s="13" t="n">
        <x:v>0</x:v>
      </x:c>
      <x:c r="J2056" s="12" t="str"/>
      <x:c r="K2056" s="12" t="str">
        <x:v>none</x:v>
      </x:c>
      <x:c r="L2056" s="13" t="n">
        <x:f>IF(G2056&lt;=I2056,0,MAX(0)+IF(E2056="via",MAX(0,G2056-MAX(F2056,I2056)),0))</x:f>
        <x:v>0</x:v>
      </x:c>
    </x:row>
    <x:row r="2057" ht="42" customHeight="1">
      <x:c r="A2057" s="7" t="str">
        <x:v>DP5-B</x:v>
      </x:c>
      <x:c r="B2057" s="7" t="str">
        <x:v>U17</x:v>
      </x:c>
      <x:c r="C2057" s="7" t="str">
        <x:v>intake</x:v>
      </x:c>
      <x:c r="D2057" s="7" t="str">
        <x:v>입력 확정</x:v>
      </x:c>
      <x:c r="E2057" s="7" t="str">
        <x:v>via</x:v>
      </x:c>
      <x:c r="F2057" s="14" t="n">
        <x:v>0</x:v>
      </x:c>
      <x:c r="G2057" s="14" t="n">
        <x:v>0.3</x:v>
      </x:c>
      <x:c r="H2057" s="14" t="n">
        <x:v>0.3</x:v>
      </x:c>
      <x:c r="I2057" s="14" t="n">
        <x:v>0</x:v>
      </x:c>
      <x:c r="J2057" s="7" t="str">
        <x:v>input_end</x:v>
      </x:c>
      <x:c r="K2057" s="7" t="str">
        <x:v>none</x:v>
      </x:c>
      <x:c r="L2057" s="14" t="n">
        <x:f>IF(G2057&lt;=I2057,0,MAX(0,L2056)+IF(E2057="via",MAX(0,G2057-MAX(F2057,I2057)),0))</x:f>
        <x:v>0.3</x:v>
      </x:c>
    </x:row>
    <x:row r="2058" ht="42" customHeight="1">
      <x:c r="A2058" s="12" t="str">
        <x:v>DP5-B</x:v>
      </x:c>
      <x:c r="B2058" s="12" t="str">
        <x:v>U17</x:v>
      </x:c>
      <x:c r="C2058" s="12" t="str">
        <x:v>read</x:v>
      </x:c>
      <x:c r="D2058" s="12" t="str">
        <x:v>공통 허용 원본 조회</x:v>
      </x:c>
      <x:c r="E2058" s="12" t="str">
        <x:v>via</x:v>
      </x:c>
      <x:c r="F2058" s="13" t="n">
        <x:v>0.3</x:v>
      </x:c>
      <x:c r="G2058" s="13" t="n">
        <x:v>0.38</x:v>
      </x:c>
      <x:c r="H2058" s="13" t="n">
        <x:v>0.08</x:v>
      </x:c>
      <x:c r="I2058" s="13" t="n">
        <x:v>0</x:v>
      </x:c>
      <x:c r="J2058" s="12" t="str">
        <x:v>intake</x:v>
      </x:c>
      <x:c r="K2058" s="12" t="str">
        <x:v>none</x:v>
      </x:c>
      <x:c r="L2058" s="13" t="n">
        <x:f>IF(G2058&lt;=I2058,0,MAX(0,L2057)+IF(E2058="via",MAX(0,G2058-MAX(F2058,I2058)),0))</x:f>
        <x:v>0.38</x:v>
      </x:c>
    </x:row>
    <x:row r="2059" ht="42" customHeight="1">
      <x:c r="A2059" s="7" t="str">
        <x:v>DP5-B</x:v>
      </x:c>
      <x:c r="B2059" s="7" t="str">
        <x:v>U17</x:v>
      </x:c>
      <x:c r="C2059" s="7" t="str">
        <x:v>meaning</x:v>
      </x:c>
      <x:c r="D2059" s="7" t="str">
        <x:v>최초 요청 의미 채택 packet 생성</x:v>
      </x:c>
      <x:c r="E2059" s="7" t="str">
        <x:v>via</x:v>
      </x:c>
      <x:c r="F2059" s="14" t="n">
        <x:v>0.38</x:v>
      </x:c>
      <x:c r="G2059" s="14" t="n">
        <x:v>1.48</x:v>
      </x:c>
      <x:c r="H2059" s="14" t="n">
        <x:v>1.1</x:v>
      </x:c>
      <x:c r="I2059" s="14" t="n">
        <x:v>0</x:v>
      </x:c>
      <x:c r="J2059" s="7" t="str">
        <x:v>read</x:v>
      </x:c>
      <x:c r="K2059" s="7" t="str">
        <x:v>semantic</x:v>
      </x:c>
      <x:c r="L2059" s="14" t="n">
        <x:f>IF(G2059&lt;=I2059,0,MAX(0,L2058)+IF(E2059="via",MAX(0,G2059-MAX(F2059,I2059)),0))</x:f>
        <x:v>1.48</x:v>
      </x:c>
    </x:row>
    <x:row r="2060" ht="42" customHeight="1">
      <x:c r="A2060" s="12" t="str">
        <x:v>DP5-B</x:v>
      </x:c>
      <x:c r="B2060" s="12" t="str">
        <x:v>U17</x:v>
      </x:c>
      <x:c r="C2060" s="12" t="str">
        <x:v>adopt</x:v>
      </x:c>
      <x:c r="D2060" s="12" t="str">
        <x:v>현재 revision과 권한 검사 및 채택</x:v>
      </x:c>
      <x:c r="E2060" s="12" t="str">
        <x:v>via</x:v>
      </x:c>
      <x:c r="F2060" s="13" t="n">
        <x:v>1.48</x:v>
      </x:c>
      <x:c r="G2060" s="13" t="n">
        <x:v>1.51</x:v>
      </x:c>
      <x:c r="H2060" s="13" t="n">
        <x:v>0.03</x:v>
      </x:c>
      <x:c r="I2060" s="13" t="n">
        <x:v>0</x:v>
      </x:c>
      <x:c r="J2060" s="12" t="str">
        <x:v>meaning</x:v>
      </x:c>
      <x:c r="K2060" s="12" t="str">
        <x:v>none</x:v>
      </x:c>
      <x:c r="L2060" s="13" t="n">
        <x:f>IF(G2060&lt;=I2060,0,MAX(0,L2059)+IF(E2060="via",MAX(0,G2060-MAX(F2060,I2060)),0))</x:f>
        <x:v>1.51</x:v>
      </x:c>
    </x:row>
    <x:row r="2061" ht="42" customHeight="1">
      <x:c r="A2061" s="7" t="str">
        <x:v>DP5-B</x:v>
      </x:c>
      <x:c r="B2061" s="7" t="str">
        <x:v>U17</x:v>
      </x:c>
      <x:c r="C2061" s="7" t="str">
        <x:v>first_display</x:v>
      </x:c>
      <x:c r="D2061" s="7" t="str">
        <x:v>첫 구체적 채택 내용 화면 표시</x:v>
      </x:c>
      <x:c r="E2061" s="7" t="str">
        <x:v>via</x:v>
      </x:c>
      <x:c r="F2061" s="14" t="n">
        <x:v>1.51</x:v>
      </x:c>
      <x:c r="G2061" s="14" t="n">
        <x:v>1.55</x:v>
      </x:c>
      <x:c r="H2061" s="14" t="n">
        <x:v>0.04</x:v>
      </x:c>
      <x:c r="I2061" s="14" t="n">
        <x:v>0</x:v>
      </x:c>
      <x:c r="J2061" s="7" t="str">
        <x:v>adopt</x:v>
      </x:c>
      <x:c r="K2061" s="7" t="str">
        <x:v>none</x:v>
      </x:c>
      <x:c r="L2061" s="14" t="n">
        <x:f>IF(G2061&lt;=I2061,0,MAX(0,L2060)+IF(E2061="via",MAX(0,G2061-MAX(F2061,I2061)),0))</x:f>
        <x:v>1.55</x:v>
      </x:c>
    </x:row>
    <x:row r="2062" ht="42" customHeight="1">
      <x:c r="A2062" s="12" t="str">
        <x:v>DP5-B</x:v>
      </x:c>
      <x:c r="B2062" s="12" t="str">
        <x:v>U17</x:v>
      </x:c>
      <x:c r="C2062" s="12" t="str">
        <x:v>question_arrival</x:v>
      </x:c>
      <x:c r="D2062" s="12" t="str">
        <x:v>Agent 질문 텍스트 도착</x:v>
      </x:c>
      <x:c r="E2062" s="12" t="str">
        <x:v>external</x:v>
      </x:c>
      <x:c r="F2062" s="13" t="n">
        <x:v>-2</x:v>
      </x:c>
      <x:c r="G2062" s="13" t="n">
        <x:v>-2</x:v>
      </x:c>
      <x:c r="H2062" s="13" t="n">
        <x:v>0</x:v>
      </x:c>
      <x:c r="I2062" s="13" t="n">
        <x:v>0</x:v>
      </x:c>
      <x:c r="J2062" s="12" t="str"/>
      <x:c r="K2062" s="12" t="str">
        <x:v>none</x:v>
      </x:c>
      <x:c r="L2062" s="13" t="n">
        <x:f>IF(G2062&lt;=I2062,0,MAX(0)+IF(E2062="via",MAX(0,G2062-MAX(F2062,I2062)),0))</x:f>
        <x:v>0</x:v>
      </x:c>
    </x:row>
    <x:row r="2063" ht="42" customHeight="1">
      <x:c r="A2063" s="7" t="str">
        <x:v>DP5-B</x:v>
      </x:c>
      <x:c r="B2063" s="7" t="str">
        <x:v>U17</x:v>
      </x:c>
      <x:c r="C2063" s="7" t="str">
        <x:v>question_audio</x:v>
      </x:c>
      <x:c r="D2063" s="7" t="str">
        <x:v>선택한 응답 음성 생성</x:v>
      </x:c>
      <x:c r="E2063" s="7" t="str">
        <x:v>via</x:v>
      </x:c>
      <x:c r="F2063" s="14" t="n">
        <x:v>-2</x:v>
      </x:c>
      <x:c r="G2063" s="14" t="n">
        <x:v>0.3906666666666667</x:v>
      </x:c>
      <x:c r="H2063" s="14" t="n">
        <x:v>2.3906666666666667</x:v>
      </x:c>
      <x:c r="I2063" s="14" t="n">
        <x:v>0</x:v>
      </x:c>
      <x:c r="J2063" s="7" t="str">
        <x:v>question_arrival</x:v>
      </x:c>
      <x:c r="K2063" s="7" t="str">
        <x:v>speech</x:v>
      </x:c>
      <x:c r="L2063" s="14" t="n">
        <x:f>IF(G2063&lt;=I2063,0,MAX(0,L2062)+IF(E2063="via",MAX(0,G2063-MAX(F2063,I2063)),0))</x:f>
        <x:v>0.3906666666666667</x:v>
      </x:c>
    </x:row>
    <x:row r="2064" ht="42" customHeight="1">
      <x:c r="A2064" s="12" t="str">
        <x:v>DP5-B</x:v>
      </x:c>
      <x:c r="B2064" s="12" t="str">
        <x:v>U17</x:v>
      </x:c>
      <x:c r="C2064" s="12" t="str">
        <x:v>first_chunk</x:v>
      </x:c>
      <x:c r="D2064" s="12" t="str">
        <x:v>같은 생성 job의 유효 첫 chunk 관측</x:v>
      </x:c>
      <x:c r="E2064" s="12" t="str">
        <x:v>via</x:v>
      </x:c>
      <x:c r="F2064" s="13" t="n">
        <x:v>-2</x:v>
      </x:c>
      <x:c r="G2064" s="13" t="n">
        <x:v>-1.5593333333333335</x:v>
      </x:c>
      <x:c r="H2064" s="13" t="n">
        <x:v>0.44066666666666665</x:v>
      </x:c>
      <x:c r="I2064" s="13" t="n">
        <x:v>0</x:v>
      </x:c>
      <x:c r="J2064" s="12" t="str">
        <x:v>question_arrival</x:v>
      </x:c>
      <x:c r="K2064" s="12" t="str">
        <x:v>none</x:v>
      </x:c>
      <x:c r="L2064" s="13" t="n">
        <x:f>IF(G2064&lt;=I2064,0,MAX(0,L2062)+IF(E2064="via",MAX(0,G2064-MAX(F2064,I2064)),0))</x:f>
        <x:v>0</x:v>
      </x:c>
    </x:row>
    <x:row r="2065" ht="42" customHeight="1">
      <x:c r="A2065" s="7" t="str">
        <x:v>DP5-B</x:v>
      </x:c>
      <x:c r="B2065" s="7" t="str">
        <x:v>U17</x:v>
      </x:c>
      <x:c r="C2065" s="7" t="str">
        <x:v>first_audio_output</x:v>
      </x:c>
      <x:c r="D2065" s="7" t="str">
        <x:v>공통 장치의 첫 음성 출력</x:v>
      </x:c>
      <x:c r="E2065" s="7" t="str">
        <x:v>via</x:v>
      </x:c>
      <x:c r="F2065" s="14" t="n">
        <x:v>1.51</x:v>
      </x:c>
      <x:c r="G2065" s="14" t="n">
        <x:v>1.55</x:v>
      </x:c>
      <x:c r="H2065" s="14" t="n">
        <x:v>0.04</x:v>
      </x:c>
      <x:c r="I2065" s="14" t="n">
        <x:v>0</x:v>
      </x:c>
      <x:c r="J2065" s="7" t="str">
        <x:v>adopt, first_chunk</x:v>
      </x:c>
      <x:c r="K2065" s="7" t="str">
        <x:v>none</x:v>
      </x:c>
      <x:c r="L2065" s="14" t="n">
        <x:f>IF(G2065&lt;=I2065,0,MAX(0,L2060,L2064)+IF(E2065="via",MAX(0,G2065-MAX(F2065,I2065)),0))</x:f>
        <x:v>1.55</x:v>
      </x:c>
    </x:row>
    <x:row r="2066" ht="42" customHeight="1">
      <x:c r="A2066" s="12" t="str">
        <x:v>DP5-B</x:v>
      </x:c>
      <x:c r="B2066" s="12" t="str">
        <x:v>U17</x:v>
      </x:c>
      <x:c r="C2066" s="12" t="str">
        <x:v>terminal</x:v>
      </x:c>
      <x:c r="D2066" s="12" t="str">
        <x:v>공통 목표 최종 상태와 전체 음성 준비</x:v>
      </x:c>
      <x:c r="E2066" s="12" t="str">
        <x:v>via</x:v>
      </x:c>
      <x:c r="F2066" s="13" t="n">
        <x:v>1.55</x:v>
      </x:c>
      <x:c r="G2066" s="13" t="n">
        <x:v>1.55</x:v>
      </x:c>
      <x:c r="H2066" s="13" t="n">
        <x:v>0</x:v>
      </x:c>
      <x:c r="I2066" s="13" t="n">
        <x:v>0</x:v>
      </x:c>
      <x:c r="J2066" s="12" t="str">
        <x:v>first_display, question_audio, first_audio_output</x:v>
      </x:c>
      <x:c r="K2066" s="12" t="str">
        <x:v>none</x:v>
      </x:c>
      <x:c r="L2066" s="13" t="n">
        <x:f>IF(G2066&lt;=I2066,0,MAX(0,L2061,L2063,L2065)+IF(E2066="via",MAX(0,G2066-MAX(F2066,I2066)),0))</x:f>
        <x:v>1.55</x:v>
      </x:c>
    </x:row>
    <x:row r="2067" ht="42" customHeight="1">
      <x:c r="A2067" s="7" t="str">
        <x:v>DP5-B</x:v>
      </x:c>
      <x:c r="B2067" s="7" t="str">
        <x:v>U18</x:v>
      </x:c>
      <x:c r="C2067" s="7" t="str">
        <x:v>input_end</x:v>
      </x:c>
      <x:c r="D2067" s="7" t="str">
        <x:v>사용자 입력 종료</x:v>
      </x:c>
      <x:c r="E2067" s="7" t="str">
        <x:v>external</x:v>
      </x:c>
      <x:c r="F2067" s="14" t="n">
        <x:v>0</x:v>
      </x:c>
      <x:c r="G2067" s="14" t="n">
        <x:v>0</x:v>
      </x:c>
      <x:c r="H2067" s="14" t="n">
        <x:v>0</x:v>
      </x:c>
      <x:c r="I2067" s="14" t="n">
        <x:v>0</x:v>
      </x:c>
      <x:c r="J2067" s="7" t="str"/>
      <x:c r="K2067" s="7" t="str">
        <x:v>none</x:v>
      </x:c>
      <x:c r="L2067" s="14" t="n">
        <x:f>IF(G2067&lt;=I2067,0,MAX(0)+IF(E2067="via",MAX(0,G2067-MAX(F2067,I2067)),0))</x:f>
        <x:v>0</x:v>
      </x:c>
    </x:row>
    <x:row r="2068" ht="42" customHeight="1">
      <x:c r="A2068" s="12" t="str">
        <x:v>DP5-B</x:v>
      </x:c>
      <x:c r="B2068" s="12" t="str">
        <x:v>U18</x:v>
      </x:c>
      <x:c r="C2068" s="12" t="str">
        <x:v>intake</x:v>
      </x:c>
      <x:c r="D2068" s="12" t="str">
        <x:v>입력 확정</x:v>
      </x:c>
      <x:c r="E2068" s="12" t="str">
        <x:v>via</x:v>
      </x:c>
      <x:c r="F2068" s="13" t="n">
        <x:v>0</x:v>
      </x:c>
      <x:c r="G2068" s="13" t="n">
        <x:v>0.3</x:v>
      </x:c>
      <x:c r="H2068" s="13" t="n">
        <x:v>0.3</x:v>
      </x:c>
      <x:c r="I2068" s="13" t="n">
        <x:v>0</x:v>
      </x:c>
      <x:c r="J2068" s="12" t="str">
        <x:v>input_end</x:v>
      </x:c>
      <x:c r="K2068" s="12" t="str">
        <x:v>none</x:v>
      </x:c>
      <x:c r="L2068" s="13" t="n">
        <x:f>IF(G2068&lt;=I2068,0,MAX(0,L2067)+IF(E2068="via",MAX(0,G2068-MAX(F2068,I2068)),0))</x:f>
        <x:v>0.3</x:v>
      </x:c>
    </x:row>
    <x:row r="2069" ht="42" customHeight="1">
      <x:c r="A2069" s="7" t="str">
        <x:v>DP5-B</x:v>
      </x:c>
      <x:c r="B2069" s="7" t="str">
        <x:v>U18</x:v>
      </x:c>
      <x:c r="C2069" s="7" t="str">
        <x:v>read</x:v>
      </x:c>
      <x:c r="D2069" s="7" t="str">
        <x:v>공통 허용 원본 조회</x:v>
      </x:c>
      <x:c r="E2069" s="7" t="str">
        <x:v>via</x:v>
      </x:c>
      <x:c r="F2069" s="14" t="n">
        <x:v>0.3</x:v>
      </x:c>
      <x:c r="G2069" s="14" t="n">
        <x:v>0.38</x:v>
      </x:c>
      <x:c r="H2069" s="14" t="n">
        <x:v>0.08</x:v>
      </x:c>
      <x:c r="I2069" s="14" t="n">
        <x:v>0</x:v>
      </x:c>
      <x:c r="J2069" s="7" t="str">
        <x:v>intake</x:v>
      </x:c>
      <x:c r="K2069" s="7" t="str">
        <x:v>none</x:v>
      </x:c>
      <x:c r="L2069" s="14" t="n">
        <x:f>IF(G2069&lt;=I2069,0,MAX(0,L2068)+IF(E2069="via",MAX(0,G2069-MAX(F2069,I2069)),0))</x:f>
        <x:v>0.38</x:v>
      </x:c>
    </x:row>
    <x:row r="2070" ht="42" customHeight="1">
      <x:c r="A2070" s="12" t="str">
        <x:v>DP5-B</x:v>
      </x:c>
      <x:c r="B2070" s="12" t="str">
        <x:v>U18</x:v>
      </x:c>
      <x:c r="C2070" s="12" t="str">
        <x:v>meaning</x:v>
      </x:c>
      <x:c r="D2070" s="12" t="str">
        <x:v>최초 요청 의미 채택 packet 생성</x:v>
      </x:c>
      <x:c r="E2070" s="12" t="str">
        <x:v>via</x:v>
      </x:c>
      <x:c r="F2070" s="13" t="n">
        <x:v>0.38</x:v>
      </x:c>
      <x:c r="G2070" s="13" t="n">
        <x:v>1.48</x:v>
      </x:c>
      <x:c r="H2070" s="13" t="n">
        <x:v>1.1</x:v>
      </x:c>
      <x:c r="I2070" s="13" t="n">
        <x:v>0</x:v>
      </x:c>
      <x:c r="J2070" s="12" t="str">
        <x:v>read</x:v>
      </x:c>
      <x:c r="K2070" s="12" t="str">
        <x:v>semantic</x:v>
      </x:c>
      <x:c r="L2070" s="13" t="n">
        <x:f>IF(G2070&lt;=I2070,0,MAX(0,L2069)+IF(E2070="via",MAX(0,G2070-MAX(F2070,I2070)),0))</x:f>
        <x:v>1.48</x:v>
      </x:c>
    </x:row>
    <x:row r="2071" ht="42" customHeight="1">
      <x:c r="A2071" s="7" t="str">
        <x:v>DP5-B</x:v>
      </x:c>
      <x:c r="B2071" s="7" t="str">
        <x:v>U18</x:v>
      </x:c>
      <x:c r="C2071" s="7" t="str">
        <x:v>adopt</x:v>
      </x:c>
      <x:c r="D2071" s="7" t="str">
        <x:v>현재 revision과 권한 검사 및 채택</x:v>
      </x:c>
      <x:c r="E2071" s="7" t="str">
        <x:v>via</x:v>
      </x:c>
      <x:c r="F2071" s="14" t="n">
        <x:v>1.48</x:v>
      </x:c>
      <x:c r="G2071" s="14" t="n">
        <x:v>1.51</x:v>
      </x:c>
      <x:c r="H2071" s="14" t="n">
        <x:v>0.03</x:v>
      </x:c>
      <x:c r="I2071" s="14" t="n">
        <x:v>0</x:v>
      </x:c>
      <x:c r="J2071" s="7" t="str">
        <x:v>meaning</x:v>
      </x:c>
      <x:c r="K2071" s="7" t="str">
        <x:v>none</x:v>
      </x:c>
      <x:c r="L2071" s="14" t="n">
        <x:f>IF(G2071&lt;=I2071,0,MAX(0,L2070)+IF(E2071="via",MAX(0,G2071-MAX(F2071,I2071)),0))</x:f>
        <x:v>1.51</x:v>
      </x:c>
    </x:row>
    <x:row r="2072" ht="42" customHeight="1">
      <x:c r="A2072" s="12" t="str">
        <x:v>DP5-B</x:v>
      </x:c>
      <x:c r="B2072" s="12" t="str">
        <x:v>U18</x:v>
      </x:c>
      <x:c r="C2072" s="12" t="str">
        <x:v>first_display</x:v>
      </x:c>
      <x:c r="D2072" s="12" t="str">
        <x:v>첫 구체적 채택 내용 화면 표시</x:v>
      </x:c>
      <x:c r="E2072" s="12" t="str">
        <x:v>via</x:v>
      </x:c>
      <x:c r="F2072" s="13" t="n">
        <x:v>1.51</x:v>
      </x:c>
      <x:c r="G2072" s="13" t="n">
        <x:v>1.55</x:v>
      </x:c>
      <x:c r="H2072" s="13" t="n">
        <x:v>0.04</x:v>
      </x:c>
      <x:c r="I2072" s="13" t="n">
        <x:v>0</x:v>
      </x:c>
      <x:c r="J2072" s="12" t="str">
        <x:v>adopt</x:v>
      </x:c>
      <x:c r="K2072" s="12" t="str">
        <x:v>none</x:v>
      </x:c>
      <x:c r="L2072" s="13" t="n">
        <x:f>IF(G2072&lt;=I2072,0,MAX(0,L2071)+IF(E2072="via",MAX(0,G2072-MAX(F2072,I2072)),0))</x:f>
        <x:v>1.55</x:v>
      </x:c>
    </x:row>
    <x:row r="2073" ht="42" customHeight="1">
      <x:c r="A2073" s="7" t="str">
        <x:v>DP5-B</x:v>
      </x:c>
      <x:c r="B2073" s="7" t="str">
        <x:v>U18</x:v>
      </x:c>
      <x:c r="C2073" s="7" t="str">
        <x:v>question_arrival</x:v>
      </x:c>
      <x:c r="D2073" s="7" t="str">
        <x:v>Agent 질문 텍스트 도착</x:v>
      </x:c>
      <x:c r="E2073" s="7" t="str">
        <x:v>external</x:v>
      </x:c>
      <x:c r="F2073" s="14" t="n">
        <x:v>-2</x:v>
      </x:c>
      <x:c r="G2073" s="14" t="n">
        <x:v>-2</x:v>
      </x:c>
      <x:c r="H2073" s="14" t="n">
        <x:v>0</x:v>
      </x:c>
      <x:c r="I2073" s="14" t="n">
        <x:v>0</x:v>
      </x:c>
      <x:c r="J2073" s="7" t="str"/>
      <x:c r="K2073" s="7" t="str">
        <x:v>none</x:v>
      </x:c>
      <x:c r="L2073" s="14" t="n">
        <x:f>IF(G2073&lt;=I2073,0,MAX(0)+IF(E2073="via",MAX(0,G2073-MAX(F2073,I2073)),0))</x:f>
        <x:v>0</x:v>
      </x:c>
    </x:row>
    <x:row r="2074" ht="42" customHeight="1">
      <x:c r="A2074" s="12" t="str">
        <x:v>DP5-B</x:v>
      </x:c>
      <x:c r="B2074" s="12" t="str">
        <x:v>U18</x:v>
      </x:c>
      <x:c r="C2074" s="12" t="str">
        <x:v>question_audio</x:v>
      </x:c>
      <x:c r="D2074" s="12" t="str">
        <x:v>선택한 응답 음성 생성</x:v>
      </x:c>
      <x:c r="E2074" s="12" t="str">
        <x:v>via</x:v>
      </x:c>
      <x:c r="F2074" s="13" t="n">
        <x:v>-2</x:v>
      </x:c>
      <x:c r="G2074" s="13" t="n">
        <x:v>0.3906666666666667</x:v>
      </x:c>
      <x:c r="H2074" s="13" t="n">
        <x:v>2.3906666666666667</x:v>
      </x:c>
      <x:c r="I2074" s="13" t="n">
        <x:v>0</x:v>
      </x:c>
      <x:c r="J2074" s="12" t="str">
        <x:v>question_arrival</x:v>
      </x:c>
      <x:c r="K2074" s="12" t="str">
        <x:v>speech</x:v>
      </x:c>
      <x:c r="L2074" s="13" t="n">
        <x:f>IF(G2074&lt;=I2074,0,MAX(0,L2073)+IF(E2074="via",MAX(0,G2074-MAX(F2074,I2074)),0))</x:f>
        <x:v>0.3906666666666667</x:v>
      </x:c>
    </x:row>
    <x:row r="2075" ht="42" customHeight="1">
      <x:c r="A2075" s="7" t="str">
        <x:v>DP5-B</x:v>
      </x:c>
      <x:c r="B2075" s="7" t="str">
        <x:v>U18</x:v>
      </x:c>
      <x:c r="C2075" s="7" t="str">
        <x:v>obsolete_audio</x:v>
      </x:c>
      <x:c r="D2075" s="7" t="str">
        <x:v>철회되는 보고서의 선행 생성</x:v>
      </x:c>
      <x:c r="E2075" s="7" t="str">
        <x:v>via</x:v>
      </x:c>
      <x:c r="F2075" s="14" t="n">
        <x:v>-2</x:v>
      </x:c>
      <x:c r="G2075" s="14" t="n">
        <x:v>0.8933333333333335</x:v>
      </x:c>
      <x:c r="H2075" s="14" t="n">
        <x:v>2.8933333333333335</x:v>
      </x:c>
      <x:c r="I2075" s="14" t="n">
        <x:v>0</x:v>
      </x:c>
      <x:c r="J2075" s="7" t="str"/>
      <x:c r="K2075" s="7" t="str">
        <x:v>speech</x:v>
      </x:c>
      <x:c r="L2075" s="14" t="n">
        <x:f>IF(G2075&lt;=I2075,0,MAX(0)+IF(E2075="via",MAX(0,G2075-MAX(F2075,I2075)),0))</x:f>
        <x:v>0.8933333333333335</x:v>
      </x:c>
    </x:row>
    <x:row r="2076" ht="42" customHeight="1">
      <x:c r="A2076" s="12" t="str">
        <x:v>DP5-B</x:v>
      </x:c>
      <x:c r="B2076" s="12" t="str">
        <x:v>U18</x:v>
      </x:c>
      <x:c r="C2076" s="12" t="str">
        <x:v>first_chunk</x:v>
      </x:c>
      <x:c r="D2076" s="12" t="str">
        <x:v>같은 생성 job의 유효 첫 chunk 관측</x:v>
      </x:c>
      <x:c r="E2076" s="12" t="str">
        <x:v>via</x:v>
      </x:c>
      <x:c r="F2076" s="13" t="n">
        <x:v>-2</x:v>
      </x:c>
      <x:c r="G2076" s="13" t="n">
        <x:v>-1.5593333333333335</x:v>
      </x:c>
      <x:c r="H2076" s="13" t="n">
        <x:v>0.44066666666666665</x:v>
      </x:c>
      <x:c r="I2076" s="13" t="n">
        <x:v>0</x:v>
      </x:c>
      <x:c r="J2076" s="12" t="str">
        <x:v>question_arrival</x:v>
      </x:c>
      <x:c r="K2076" s="12" t="str">
        <x:v>none</x:v>
      </x:c>
      <x:c r="L2076" s="13" t="n">
        <x:f>IF(G2076&lt;=I2076,0,MAX(0,L2073)+IF(E2076="via",MAX(0,G2076-MAX(F2076,I2076)),0))</x:f>
        <x:v>0</x:v>
      </x:c>
    </x:row>
    <x:row r="2077" ht="42" customHeight="1">
      <x:c r="A2077" s="7" t="str">
        <x:v>DP5-B</x:v>
      </x:c>
      <x:c r="B2077" s="7" t="str">
        <x:v>U18</x:v>
      </x:c>
      <x:c r="C2077" s="7" t="str">
        <x:v>first_audio_output</x:v>
      </x:c>
      <x:c r="D2077" s="7" t="str">
        <x:v>공통 장치의 첫 음성 출력</x:v>
      </x:c>
      <x:c r="E2077" s="7" t="str">
        <x:v>via</x:v>
      </x:c>
      <x:c r="F2077" s="14" t="n">
        <x:v>1.51</x:v>
      </x:c>
      <x:c r="G2077" s="14" t="n">
        <x:v>1.55</x:v>
      </x:c>
      <x:c r="H2077" s="14" t="n">
        <x:v>0.04</x:v>
      </x:c>
      <x:c r="I2077" s="14" t="n">
        <x:v>0</x:v>
      </x:c>
      <x:c r="J2077" s="7" t="str">
        <x:v>adopt, first_chunk</x:v>
      </x:c>
      <x:c r="K2077" s="7" t="str">
        <x:v>none</x:v>
      </x:c>
      <x:c r="L2077" s="14" t="n">
        <x:f>IF(G2077&lt;=I2077,0,MAX(0,L2071,L2076)+IF(E2077="via",MAX(0,G2077-MAX(F2077,I2077)),0))</x:f>
        <x:v>1.55</x:v>
      </x:c>
    </x:row>
    <x:row r="2078" ht="42" customHeight="1">
      <x:c r="A2078" s="12" t="str">
        <x:v>DP5-B</x:v>
      </x:c>
      <x:c r="B2078" s="12" t="str">
        <x:v>U18</x:v>
      </x:c>
      <x:c r="C2078" s="12" t="str">
        <x:v>terminal</x:v>
      </x:c>
      <x:c r="D2078" s="12" t="str">
        <x:v>공통 목표 최종 상태와 전체 음성 준비</x:v>
      </x:c>
      <x:c r="E2078" s="12" t="str">
        <x:v>via</x:v>
      </x:c>
      <x:c r="F2078" s="13" t="n">
        <x:v>1.55</x:v>
      </x:c>
      <x:c r="G2078" s="13" t="n">
        <x:v>1.55</x:v>
      </x:c>
      <x:c r="H2078" s="13" t="n">
        <x:v>0</x:v>
      </x:c>
      <x:c r="I2078" s="13" t="n">
        <x:v>0</x:v>
      </x:c>
      <x:c r="J2078" s="12" t="str">
        <x:v>first_display, question_audio, first_audio_output, obsolete_audio</x:v>
      </x:c>
      <x:c r="K2078" s="12" t="str">
        <x:v>none</x:v>
      </x:c>
      <x:c r="L2078" s="13" t="n">
        <x:f>IF(G2078&lt;=I2078,0,MAX(0,L2072,L2074,L2077,L2075)+IF(E2078="via",MAX(0,G2078-MAX(F2078,I2078)),0))</x:f>
        <x:v>1.55</x:v>
      </x:c>
    </x:row>
    <x:row r="2079" ht="42" customHeight="1">
      <x:c r="A2079" s="7" t="str">
        <x:v>DP5-B</x:v>
      </x:c>
      <x:c r="B2079" s="7" t="str">
        <x:v>U19</x:v>
      </x:c>
      <x:c r="C2079" s="7" t="str">
        <x:v>input_end</x:v>
      </x:c>
      <x:c r="D2079" s="7" t="str">
        <x:v>사용자 입력 종료</x:v>
      </x:c>
      <x:c r="E2079" s="7" t="str">
        <x:v>external</x:v>
      </x:c>
      <x:c r="F2079" s="14" t="n">
        <x:v>0</x:v>
      </x:c>
      <x:c r="G2079" s="14" t="n">
        <x:v>0</x:v>
      </x:c>
      <x:c r="H2079" s="14" t="n">
        <x:v>0</x:v>
      </x:c>
      <x:c r="I2079" s="14" t="n">
        <x:v>0</x:v>
      </x:c>
      <x:c r="J2079" s="7" t="str"/>
      <x:c r="K2079" s="7" t="str">
        <x:v>none</x:v>
      </x:c>
      <x:c r="L2079" s="14" t="n">
        <x:f>IF(G2079&lt;=I2079,0,MAX(0)+IF(E2079="via",MAX(0,G2079-MAX(F2079,I2079)),0))</x:f>
        <x:v>0</x:v>
      </x:c>
    </x:row>
    <x:row r="2080" ht="42" customHeight="1">
      <x:c r="A2080" s="12" t="str">
        <x:v>DP5-B</x:v>
      </x:c>
      <x:c r="B2080" s="12" t="str">
        <x:v>U19</x:v>
      </x:c>
      <x:c r="C2080" s="12" t="str">
        <x:v>intake</x:v>
      </x:c>
      <x:c r="D2080" s="12" t="str">
        <x:v>입력 확정</x:v>
      </x:c>
      <x:c r="E2080" s="12" t="str">
        <x:v>via</x:v>
      </x:c>
      <x:c r="F2080" s="13" t="n">
        <x:v>0</x:v>
      </x:c>
      <x:c r="G2080" s="13" t="n">
        <x:v>0.3</x:v>
      </x:c>
      <x:c r="H2080" s="13" t="n">
        <x:v>0.3</x:v>
      </x:c>
      <x:c r="I2080" s="13" t="n">
        <x:v>0</x:v>
      </x:c>
      <x:c r="J2080" s="12" t="str">
        <x:v>input_end</x:v>
      </x:c>
      <x:c r="K2080" s="12" t="str">
        <x:v>none</x:v>
      </x:c>
      <x:c r="L2080" s="13" t="n">
        <x:f>IF(G2080&lt;=I2080,0,MAX(0,L2079)+IF(E2080="via",MAX(0,G2080-MAX(F2080,I2080)),0))</x:f>
        <x:v>0.3</x:v>
      </x:c>
    </x:row>
    <x:row r="2081" ht="42" customHeight="1">
      <x:c r="A2081" s="7" t="str">
        <x:v>DP5-B</x:v>
      </x:c>
      <x:c r="B2081" s="7" t="str">
        <x:v>U19</x:v>
      </x:c>
      <x:c r="C2081" s="7" t="str">
        <x:v>read</x:v>
      </x:c>
      <x:c r="D2081" s="7" t="str">
        <x:v>공통 허용 원본 조회</x:v>
      </x:c>
      <x:c r="E2081" s="7" t="str">
        <x:v>via</x:v>
      </x:c>
      <x:c r="F2081" s="14" t="n">
        <x:v>0.3</x:v>
      </x:c>
      <x:c r="G2081" s="14" t="n">
        <x:v>0.38</x:v>
      </x:c>
      <x:c r="H2081" s="14" t="n">
        <x:v>0.08</x:v>
      </x:c>
      <x:c r="I2081" s="14" t="n">
        <x:v>0</x:v>
      </x:c>
      <x:c r="J2081" s="7" t="str">
        <x:v>intake</x:v>
      </x:c>
      <x:c r="K2081" s="7" t="str">
        <x:v>none</x:v>
      </x:c>
      <x:c r="L2081" s="14" t="n">
        <x:f>IF(G2081&lt;=I2081,0,MAX(0,L2080)+IF(E2081="via",MAX(0,G2081-MAX(F2081,I2081)),0))</x:f>
        <x:v>0.38</x:v>
      </x:c>
    </x:row>
    <x:row r="2082" ht="42" customHeight="1">
      <x:c r="A2082" s="12" t="str">
        <x:v>DP5-B</x:v>
      </x:c>
      <x:c r="B2082" s="12" t="str">
        <x:v>U19</x:v>
      </x:c>
      <x:c r="C2082" s="12" t="str">
        <x:v>meaning</x:v>
      </x:c>
      <x:c r="D2082" s="12" t="str">
        <x:v>최초 요청 의미 채택 packet 생성</x:v>
      </x:c>
      <x:c r="E2082" s="12" t="str">
        <x:v>via</x:v>
      </x:c>
      <x:c r="F2082" s="13" t="n">
        <x:v>0.38</x:v>
      </x:c>
      <x:c r="G2082" s="13" t="n">
        <x:v>1.48</x:v>
      </x:c>
      <x:c r="H2082" s="13" t="n">
        <x:v>1.1</x:v>
      </x:c>
      <x:c r="I2082" s="13" t="n">
        <x:v>0</x:v>
      </x:c>
      <x:c r="J2082" s="12" t="str">
        <x:v>read</x:v>
      </x:c>
      <x:c r="K2082" s="12" t="str">
        <x:v>semantic</x:v>
      </x:c>
      <x:c r="L2082" s="13" t="n">
        <x:f>IF(G2082&lt;=I2082,0,MAX(0,L2081)+IF(E2082="via",MAX(0,G2082-MAX(F2082,I2082)),0))</x:f>
        <x:v>1.48</x:v>
      </x:c>
    </x:row>
    <x:row r="2083" ht="42" customHeight="1">
      <x:c r="A2083" s="7" t="str">
        <x:v>DP5-B</x:v>
      </x:c>
      <x:c r="B2083" s="7" t="str">
        <x:v>U19</x:v>
      </x:c>
      <x:c r="C2083" s="7" t="str">
        <x:v>adopt</x:v>
      </x:c>
      <x:c r="D2083" s="7" t="str">
        <x:v>현재 revision과 권한 검사 및 채택</x:v>
      </x:c>
      <x:c r="E2083" s="7" t="str">
        <x:v>via</x:v>
      </x:c>
      <x:c r="F2083" s="14" t="n">
        <x:v>1.48</x:v>
      </x:c>
      <x:c r="G2083" s="14" t="n">
        <x:v>1.51</x:v>
      </x:c>
      <x:c r="H2083" s="14" t="n">
        <x:v>0.03</x:v>
      </x:c>
      <x:c r="I2083" s="14" t="n">
        <x:v>0</x:v>
      </x:c>
      <x:c r="J2083" s="7" t="str">
        <x:v>meaning</x:v>
      </x:c>
      <x:c r="K2083" s="7" t="str">
        <x:v>none</x:v>
      </x:c>
      <x:c r="L2083" s="14" t="n">
        <x:f>IF(G2083&lt;=I2083,0,MAX(0,L2082)+IF(E2083="via",MAX(0,G2083-MAX(F2083,I2083)),0))</x:f>
        <x:v>1.51</x:v>
      </x:c>
    </x:row>
    <x:row r="2084" ht="42" customHeight="1">
      <x:c r="A2084" s="12" t="str">
        <x:v>DP5-B</x:v>
      </x:c>
      <x:c r="B2084" s="12" t="str">
        <x:v>U19</x:v>
      </x:c>
      <x:c r="C2084" s="12" t="str">
        <x:v>first_display</x:v>
      </x:c>
      <x:c r="D2084" s="12" t="str">
        <x:v>첫 구체적 채택 내용 화면 표시</x:v>
      </x:c>
      <x:c r="E2084" s="12" t="str">
        <x:v>via</x:v>
      </x:c>
      <x:c r="F2084" s="13" t="n">
        <x:v>1.51</x:v>
      </x:c>
      <x:c r="G2084" s="13" t="n">
        <x:v>1.55</x:v>
      </x:c>
      <x:c r="H2084" s="13" t="n">
        <x:v>0.04</x:v>
      </x:c>
      <x:c r="I2084" s="13" t="n">
        <x:v>0</x:v>
      </x:c>
      <x:c r="J2084" s="12" t="str">
        <x:v>adopt</x:v>
      </x:c>
      <x:c r="K2084" s="12" t="str">
        <x:v>none</x:v>
      </x:c>
      <x:c r="L2084" s="13" t="n">
        <x:f>IF(G2084&lt;=I2084,0,MAX(0,L2083)+IF(E2084="via",MAX(0,G2084-MAX(F2084,I2084)),0))</x:f>
        <x:v>1.55</x:v>
      </x:c>
    </x:row>
    <x:row r="2085" ht="42" customHeight="1">
      <x:c r="A2085" s="7" t="str">
        <x:v>DP5-B</x:v>
      </x:c>
      <x:c r="B2085" s="7" t="str">
        <x:v>U19</x:v>
      </x:c>
      <x:c r="C2085" s="7" t="str">
        <x:v>question_arrival</x:v>
      </x:c>
      <x:c r="D2085" s="7" t="str">
        <x:v>Agent 질문 텍스트 도착</x:v>
      </x:c>
      <x:c r="E2085" s="7" t="str">
        <x:v>external</x:v>
      </x:c>
      <x:c r="F2085" s="14" t="n">
        <x:v>-0.5</x:v>
      </x:c>
      <x:c r="G2085" s="14" t="n">
        <x:v>-0.5</x:v>
      </x:c>
      <x:c r="H2085" s="14" t="n">
        <x:v>0</x:v>
      </x:c>
      <x:c r="I2085" s="14" t="n">
        <x:v>0</x:v>
      </x:c>
      <x:c r="J2085" s="7" t="str"/>
      <x:c r="K2085" s="7" t="str">
        <x:v>none</x:v>
      </x:c>
      <x:c r="L2085" s="14" t="n">
        <x:f>IF(G2085&lt;=I2085,0,MAX(0)+IF(E2085="via",MAX(0,G2085-MAX(F2085,I2085)),0))</x:f>
        <x:v>0</x:v>
      </x:c>
    </x:row>
    <x:row r="2086" ht="42" customHeight="1">
      <x:c r="A2086" s="12" t="str">
        <x:v>DP5-B</x:v>
      </x:c>
      <x:c r="B2086" s="12" t="str">
        <x:v>U19</x:v>
      </x:c>
      <x:c r="C2086" s="12" t="str">
        <x:v>question_audio</x:v>
      </x:c>
      <x:c r="D2086" s="12" t="str">
        <x:v>선택한 응답 음성 생성</x:v>
      </x:c>
      <x:c r="E2086" s="12" t="str">
        <x:v>via</x:v>
      </x:c>
      <x:c r="F2086" s="13" t="n">
        <x:v>-0.5</x:v>
      </x:c>
      <x:c r="G2086" s="13" t="n">
        <x:v>1.388</x:v>
      </x:c>
      <x:c r="H2086" s="13" t="n">
        <x:v>1.888</x:v>
      </x:c>
      <x:c r="I2086" s="13" t="n">
        <x:v>0</x:v>
      </x:c>
      <x:c r="J2086" s="12" t="str">
        <x:v>question_arrival</x:v>
      </x:c>
      <x:c r="K2086" s="12" t="str">
        <x:v>speech</x:v>
      </x:c>
      <x:c r="L2086" s="13" t="n">
        <x:f>IF(G2086&lt;=I2086,0,MAX(0,L2085)+IF(E2086="via",MAX(0,G2086-MAX(F2086,I2086)),0))</x:f>
        <x:v>1.388</x:v>
      </x:c>
    </x:row>
    <x:row r="2087" ht="42" customHeight="1">
      <x:c r="A2087" s="7" t="str">
        <x:v>DP5-B</x:v>
      </x:c>
      <x:c r="B2087" s="7" t="str">
        <x:v>U19</x:v>
      </x:c>
      <x:c r="C2087" s="7" t="str">
        <x:v>old_audio</x:v>
      </x:c>
      <x:c r="D2087" s="7" t="str">
        <x:v>중단 전 설명 생성</x:v>
      </x:c>
      <x:c r="E2087" s="7" t="str">
        <x:v>via</x:v>
      </x:c>
      <x:c r="F2087" s="14" t="n">
        <x:v>-2</x:v>
      </x:c>
      <x:c r="G2087" s="14" t="n">
        <x:v>7.428000000000001</x:v>
      </x:c>
      <x:c r="H2087" s="14" t="n">
        <x:v>9.428</x:v>
      </x:c>
      <x:c r="I2087" s="14" t="n">
        <x:v>0</x:v>
      </x:c>
      <x:c r="J2087" s="7" t="str"/>
      <x:c r="K2087" s="7" t="str">
        <x:v>speech</x:v>
      </x:c>
      <x:c r="L2087" s="14" t="n">
        <x:f>IF(G2087&lt;=I2087,0,MAX(0)+IF(E2087="via",MAX(0,G2087-MAX(F2087,I2087)),0))</x:f>
        <x:v>7.428000000000001</x:v>
      </x:c>
    </x:row>
    <x:row r="2088" ht="42" customHeight="1">
      <x:c r="A2088" s="12" t="str">
        <x:v>DP5-B</x:v>
      </x:c>
      <x:c r="B2088" s="12" t="str">
        <x:v>U19</x:v>
      </x:c>
      <x:c r="C2088" s="12" t="str">
        <x:v>first_chunk</x:v>
      </x:c>
      <x:c r="D2088" s="12" t="str">
        <x:v>같은 생성 job의 유효 첫 chunk 관측</x:v>
      </x:c>
      <x:c r="E2088" s="12" t="str">
        <x:v>via</x:v>
      </x:c>
      <x:c r="F2088" s="13" t="n">
        <x:v>-0.5</x:v>
      </x:c>
      <x:c r="G2088" s="13" t="n">
        <x:v>-0.062</x:v>
      </x:c>
      <x:c r="H2088" s="13" t="n">
        <x:v>0.438</x:v>
      </x:c>
      <x:c r="I2088" s="13" t="n">
        <x:v>0</x:v>
      </x:c>
      <x:c r="J2088" s="12" t="str">
        <x:v>question_arrival</x:v>
      </x:c>
      <x:c r="K2088" s="12" t="str">
        <x:v>none</x:v>
      </x:c>
      <x:c r="L2088" s="13" t="n">
        <x:f>IF(G2088&lt;=I2088,0,MAX(0,L2085)+IF(E2088="via",MAX(0,G2088-MAX(F2088,I2088)),0))</x:f>
        <x:v>0</x:v>
      </x:c>
    </x:row>
    <x:row r="2089" ht="42" customHeight="1">
      <x:c r="A2089" s="7" t="str">
        <x:v>DP5-B</x:v>
      </x:c>
      <x:c r="B2089" s="7" t="str">
        <x:v>U19</x:v>
      </x:c>
      <x:c r="C2089" s="7" t="str">
        <x:v>first_audio_output</x:v>
      </x:c>
      <x:c r="D2089" s="7" t="str">
        <x:v>공통 장치의 첫 음성 출력</x:v>
      </x:c>
      <x:c r="E2089" s="7" t="str">
        <x:v>via</x:v>
      </x:c>
      <x:c r="F2089" s="14" t="n">
        <x:v>1.51</x:v>
      </x:c>
      <x:c r="G2089" s="14" t="n">
        <x:v>1.55</x:v>
      </x:c>
      <x:c r="H2089" s="14" t="n">
        <x:v>0.04</x:v>
      </x:c>
      <x:c r="I2089" s="14" t="n">
        <x:v>0</x:v>
      </x:c>
      <x:c r="J2089" s="7" t="str">
        <x:v>adopt, first_chunk</x:v>
      </x:c>
      <x:c r="K2089" s="7" t="str">
        <x:v>none</x:v>
      </x:c>
      <x:c r="L2089" s="14" t="n">
        <x:f>IF(G2089&lt;=I2089,0,MAX(0,L2083,L2088)+IF(E2089="via",MAX(0,G2089-MAX(F2089,I2089)),0))</x:f>
        <x:v>1.55</x:v>
      </x:c>
    </x:row>
    <x:row r="2090" ht="42" customHeight="1">
      <x:c r="A2090" s="12" t="str">
        <x:v>DP5-B</x:v>
      </x:c>
      <x:c r="B2090" s="12" t="str">
        <x:v>U19</x:v>
      </x:c>
      <x:c r="C2090" s="12" t="str">
        <x:v>question_play</x:v>
      </x:c>
      <x:c r="D2090" s="12" t="str">
        <x:v>첫 출력부터 질문 순수 재생 및 차례</x:v>
      </x:c>
      <x:c r="E2090" s="12" t="str">
        <x:v>external</x:v>
      </x:c>
      <x:c r="F2090" s="13" t="n">
        <x:v>1.55</x:v>
      </x:c>
      <x:c r="G2090" s="13" t="n">
        <x:v>7.55</x:v>
      </x:c>
      <x:c r="H2090" s="13" t="n">
        <x:v>6</x:v>
      </x:c>
      <x:c r="I2090" s="13" t="n">
        <x:v>0</x:v>
      </x:c>
      <x:c r="J2090" s="12" t="str">
        <x:v>first_audio_output</x:v>
      </x:c>
      <x:c r="K2090" s="12" t="str">
        <x:v>none</x:v>
      </x:c>
      <x:c r="L2090" s="13" t="n">
        <x:f>IF(G2090&lt;=I2090,0,MAX(0,L2089)+IF(E2090="via",MAX(0,G2090-MAX(F2090,I2090)),0))</x:f>
        <x:v>1.55</x:v>
      </x:c>
    </x:row>
    <x:row r="2091" ht="42" customHeight="1">
      <x:c r="A2091" s="7" t="str">
        <x:v>DP5-B</x:v>
      </x:c>
      <x:c r="B2091" s="7" t="str">
        <x:v>U19</x:v>
      </x:c>
      <x:c r="C2091" s="7" t="str">
        <x:v>terminal</x:v>
      </x:c>
      <x:c r="D2091" s="7" t="str">
        <x:v>공통 목표 최종 상태와 전체 음성 준비</x:v>
      </x:c>
      <x:c r="E2091" s="7" t="str">
        <x:v>via</x:v>
      </x:c>
      <x:c r="F2091" s="14" t="n">
        <x:v>7.55</x:v>
      </x:c>
      <x:c r="G2091" s="14" t="n">
        <x:v>7.55</x:v>
      </x:c>
      <x:c r="H2091" s="14" t="n">
        <x:v>0</x:v>
      </x:c>
      <x:c r="I2091" s="14" t="n">
        <x:v>0</x:v>
      </x:c>
      <x:c r="J2091" s="7" t="str">
        <x:v>first_display, question_audio, first_audio_output, question_play, old_audio</x:v>
      </x:c>
      <x:c r="K2091" s="7" t="str">
        <x:v>none</x:v>
      </x:c>
      <x:c r="L2091" s="14" t="n">
        <x:f>IF(G2091&lt;=I2091,0,MAX(0,L2084,L2086,L2089,L2090,L2087)+IF(E2091="via",MAX(0,G2091-MAX(F2091,I2091)),0))</x:f>
        <x:v>7.428000000000001</x:v>
      </x:c>
    </x:row>
    <x:row r="2092" ht="42" customHeight="1">
      <x:c r="A2092" s="12" t="str">
        <x:v>DP5-B</x:v>
      </x:c>
      <x:c r="B2092" s="12" t="str">
        <x:v>U20</x:v>
      </x:c>
      <x:c r="C2092" s="12" t="str">
        <x:v>input_end</x:v>
      </x:c>
      <x:c r="D2092" s="12" t="str">
        <x:v>사용자 입력 종료</x:v>
      </x:c>
      <x:c r="E2092" s="12" t="str">
        <x:v>external</x:v>
      </x:c>
      <x:c r="F2092" s="13" t="n">
        <x:v>0</x:v>
      </x:c>
      <x:c r="G2092" s="13" t="n">
        <x:v>0</x:v>
      </x:c>
      <x:c r="H2092" s="13" t="n">
        <x:v>0</x:v>
      </x:c>
      <x:c r="I2092" s="13" t="n">
        <x:v>0</x:v>
      </x:c>
      <x:c r="J2092" s="12" t="str"/>
      <x:c r="K2092" s="12" t="str">
        <x:v>none</x:v>
      </x:c>
      <x:c r="L2092" s="13" t="n">
        <x:f>IF(G2092&lt;=I2092,0,MAX(0)+IF(E2092="via",MAX(0,G2092-MAX(F2092,I2092)),0))</x:f>
        <x:v>0</x:v>
      </x:c>
    </x:row>
    <x:row r="2093" ht="42" customHeight="1">
      <x:c r="A2093" s="7" t="str">
        <x:v>DP5-B</x:v>
      </x:c>
      <x:c r="B2093" s="7" t="str">
        <x:v>U20</x:v>
      </x:c>
      <x:c r="C2093" s="7" t="str">
        <x:v>intake</x:v>
      </x:c>
      <x:c r="D2093" s="7" t="str">
        <x:v>입력 확정</x:v>
      </x:c>
      <x:c r="E2093" s="7" t="str">
        <x:v>via</x:v>
      </x:c>
      <x:c r="F2093" s="14" t="n">
        <x:v>0</x:v>
      </x:c>
      <x:c r="G2093" s="14" t="n">
        <x:v>0.3</x:v>
      </x:c>
      <x:c r="H2093" s="14" t="n">
        <x:v>0.3</x:v>
      </x:c>
      <x:c r="I2093" s="14" t="n">
        <x:v>0</x:v>
      </x:c>
      <x:c r="J2093" s="7" t="str">
        <x:v>input_end</x:v>
      </x:c>
      <x:c r="K2093" s="7" t="str">
        <x:v>none</x:v>
      </x:c>
      <x:c r="L2093" s="14" t="n">
        <x:f>IF(G2093&lt;=I2093,0,MAX(0,L2092)+IF(E2093="via",MAX(0,G2093-MAX(F2093,I2093)),0))</x:f>
        <x:v>0.3</x:v>
      </x:c>
    </x:row>
    <x:row r="2094" ht="42" customHeight="1">
      <x:c r="A2094" s="12" t="str">
        <x:v>DP5-B</x:v>
      </x:c>
      <x:c r="B2094" s="12" t="str">
        <x:v>U20</x:v>
      </x:c>
      <x:c r="C2094" s="12" t="str">
        <x:v>read</x:v>
      </x:c>
      <x:c r="D2094" s="12" t="str">
        <x:v>공통 허용 원본 조회</x:v>
      </x:c>
      <x:c r="E2094" s="12" t="str">
        <x:v>via</x:v>
      </x:c>
      <x:c r="F2094" s="13" t="n">
        <x:v>0.3</x:v>
      </x:c>
      <x:c r="G2094" s="13" t="n">
        <x:v>0.38</x:v>
      </x:c>
      <x:c r="H2094" s="13" t="n">
        <x:v>0.08</x:v>
      </x:c>
      <x:c r="I2094" s="13" t="n">
        <x:v>0</x:v>
      </x:c>
      <x:c r="J2094" s="12" t="str">
        <x:v>intake</x:v>
      </x:c>
      <x:c r="K2094" s="12" t="str">
        <x:v>none</x:v>
      </x:c>
      <x:c r="L2094" s="13" t="n">
        <x:f>IF(G2094&lt;=I2094,0,MAX(0,L2093)+IF(E2094="via",MAX(0,G2094-MAX(F2094,I2094)),0))</x:f>
        <x:v>0.38</x:v>
      </x:c>
    </x:row>
    <x:row r="2095" ht="42" customHeight="1">
      <x:c r="A2095" s="7" t="str">
        <x:v>DP5-B</x:v>
      </x:c>
      <x:c r="B2095" s="7" t="str">
        <x:v>U20</x:v>
      </x:c>
      <x:c r="C2095" s="7" t="str">
        <x:v>meaning</x:v>
      </x:c>
      <x:c r="D2095" s="7" t="str">
        <x:v>최초 요청 의미 채택 packet 생성</x:v>
      </x:c>
      <x:c r="E2095" s="7" t="str">
        <x:v>via</x:v>
      </x:c>
      <x:c r="F2095" s="14" t="n">
        <x:v>0.38</x:v>
      </x:c>
      <x:c r="G2095" s="14" t="n">
        <x:v>1.48</x:v>
      </x:c>
      <x:c r="H2095" s="14" t="n">
        <x:v>1.1</x:v>
      </x:c>
      <x:c r="I2095" s="14" t="n">
        <x:v>0</x:v>
      </x:c>
      <x:c r="J2095" s="7" t="str">
        <x:v>read</x:v>
      </x:c>
      <x:c r="K2095" s="7" t="str">
        <x:v>semantic</x:v>
      </x:c>
      <x:c r="L2095" s="14" t="n">
        <x:f>IF(G2095&lt;=I2095,0,MAX(0,L2094)+IF(E2095="via",MAX(0,G2095-MAX(F2095,I2095)),0))</x:f>
        <x:v>1.48</x:v>
      </x:c>
    </x:row>
    <x:row r="2096" ht="42" customHeight="1">
      <x:c r="A2096" s="12" t="str">
        <x:v>DP5-B</x:v>
      </x:c>
      <x:c r="B2096" s="12" t="str">
        <x:v>U20</x:v>
      </x:c>
      <x:c r="C2096" s="12" t="str">
        <x:v>adopt</x:v>
      </x:c>
      <x:c r="D2096" s="12" t="str">
        <x:v>현재 revision과 권한 검사 및 채택</x:v>
      </x:c>
      <x:c r="E2096" s="12" t="str">
        <x:v>via</x:v>
      </x:c>
      <x:c r="F2096" s="13" t="n">
        <x:v>1.48</x:v>
      </x:c>
      <x:c r="G2096" s="13" t="n">
        <x:v>1.51</x:v>
      </x:c>
      <x:c r="H2096" s="13" t="n">
        <x:v>0.03</x:v>
      </x:c>
      <x:c r="I2096" s="13" t="n">
        <x:v>0</x:v>
      </x:c>
      <x:c r="J2096" s="12" t="str">
        <x:v>meaning</x:v>
      </x:c>
      <x:c r="K2096" s="12" t="str">
        <x:v>none</x:v>
      </x:c>
      <x:c r="L2096" s="13" t="n">
        <x:f>IF(G2096&lt;=I2096,0,MAX(0,L2095)+IF(E2096="via",MAX(0,G2096-MAX(F2096,I2096)),0))</x:f>
        <x:v>1.51</x:v>
      </x:c>
    </x:row>
    <x:row r="2097" ht="42" customHeight="1">
      <x:c r="A2097" s="7" t="str">
        <x:v>DP5-B</x:v>
      </x:c>
      <x:c r="B2097" s="7" t="str">
        <x:v>U20</x:v>
      </x:c>
      <x:c r="C2097" s="7" t="str">
        <x:v>first_display</x:v>
      </x:c>
      <x:c r="D2097" s="7" t="str">
        <x:v>첫 구체적 채택 내용 화면 표시</x:v>
      </x:c>
      <x:c r="E2097" s="7" t="str">
        <x:v>via</x:v>
      </x:c>
      <x:c r="F2097" s="14" t="n">
        <x:v>1.51</x:v>
      </x:c>
      <x:c r="G2097" s="14" t="n">
        <x:v>1.55</x:v>
      </x:c>
      <x:c r="H2097" s="14" t="n">
        <x:v>0.04</x:v>
      </x:c>
      <x:c r="I2097" s="14" t="n">
        <x:v>0</x:v>
      </x:c>
      <x:c r="J2097" s="7" t="str">
        <x:v>adopt</x:v>
      </x:c>
      <x:c r="K2097" s="7" t="str">
        <x:v>none</x:v>
      </x:c>
      <x:c r="L2097" s="14" t="n">
        <x:f>IF(G2097&lt;=I2097,0,MAX(0,L2096)+IF(E2097="via",MAX(0,G2097-MAX(F2097,I2097)),0))</x:f>
        <x:v>1.55</x:v>
      </x:c>
    </x:row>
    <x:row r="2098" ht="42" customHeight="1">
      <x:c r="A2098" s="12" t="str">
        <x:v>DP5-B</x:v>
      </x:c>
      <x:c r="B2098" s="12" t="str">
        <x:v>U20</x:v>
      </x:c>
      <x:c r="C2098" s="12" t="str">
        <x:v>existing_audio</x:v>
      </x:c>
      <x:c r="D2098" s="12" t="str">
        <x:v>공통 유효 audio 초기 상태</x:v>
      </x:c>
      <x:c r="E2098" s="12" t="str">
        <x:v>external</x:v>
      </x:c>
      <x:c r="F2098" s="13" t="n">
        <x:v>-12</x:v>
      </x:c>
      <x:c r="G2098" s="13" t="n">
        <x:v>-12</x:v>
      </x:c>
      <x:c r="H2098" s="13" t="n">
        <x:v>0</x:v>
      </x:c>
      <x:c r="I2098" s="13" t="n">
        <x:v>0</x:v>
      </x:c>
      <x:c r="J2098" s="12" t="str"/>
      <x:c r="K2098" s="12" t="str">
        <x:v>none</x:v>
      </x:c>
      <x:c r="L2098" s="13" t="n">
        <x:f>IF(G2098&lt;=I2098,0,MAX(0)+IF(E2098="via",MAX(0,G2098-MAX(F2098,I2098)),0))</x:f>
        <x:v>0</x:v>
      </x:c>
    </x:row>
    <x:row r="2099" ht="42" customHeight="1">
      <x:c r="A2099" s="7" t="str">
        <x:v>DP5-B</x:v>
      </x:c>
      <x:c r="B2099" s="7" t="str">
        <x:v>U20</x:v>
      </x:c>
      <x:c r="C2099" s="7" t="str">
        <x:v>first_audio_output</x:v>
      </x:c>
      <x:c r="D2099" s="7" t="str">
        <x:v>공통 장치의 첫 음성 출력</x:v>
      </x:c>
      <x:c r="E2099" s="7" t="str">
        <x:v>via</x:v>
      </x:c>
      <x:c r="F2099" s="14" t="n">
        <x:v>1.51</x:v>
      </x:c>
      <x:c r="G2099" s="14" t="n">
        <x:v>1.55</x:v>
      </x:c>
      <x:c r="H2099" s="14" t="n">
        <x:v>0.04</x:v>
      </x:c>
      <x:c r="I2099" s="14" t="n">
        <x:v>0</x:v>
      </x:c>
      <x:c r="J2099" s="7" t="str">
        <x:v>adopt, existing_audio</x:v>
      </x:c>
      <x:c r="K2099" s="7" t="str">
        <x:v>none</x:v>
      </x:c>
      <x:c r="L2099" s="14" t="n">
        <x:f>IF(G2099&lt;=I2099,0,MAX(0,L2096,L2098)+IF(E2099="via",MAX(0,G2099-MAX(F2099,I2099)),0))</x:f>
        <x:v>1.55</x:v>
      </x:c>
    </x:row>
    <x:row r="2100" ht="42" customHeight="1">
      <x:c r="A2100" s="12" t="str">
        <x:v>DP5-B</x:v>
      </x:c>
      <x:c r="B2100" s="12" t="str">
        <x:v>U20</x:v>
      </x:c>
      <x:c r="C2100" s="12" t="str">
        <x:v>terminal</x:v>
      </x:c>
      <x:c r="D2100" s="12" t="str">
        <x:v>공통 목표 최종 상태와 전체 음성 준비</x:v>
      </x:c>
      <x:c r="E2100" s="12" t="str">
        <x:v>via</x:v>
      </x:c>
      <x:c r="F2100" s="13" t="n">
        <x:v>1.55</x:v>
      </x:c>
      <x:c r="G2100" s="13" t="n">
        <x:v>1.55</x:v>
      </x:c>
      <x:c r="H2100" s="13" t="n">
        <x:v>0</x:v>
      </x:c>
      <x:c r="I2100" s="13" t="n">
        <x:v>0</x:v>
      </x:c>
      <x:c r="J2100" s="12" t="str">
        <x:v>first_display, existing_audio, first_audio_output</x:v>
      </x:c>
      <x:c r="K2100" s="12" t="str">
        <x:v>none</x:v>
      </x:c>
      <x:c r="L2100" s="13" t="n">
        <x:f>IF(G2100&lt;=I2100,0,MAX(0,L2097,L2098,L2099)+IF(E2100="via",MAX(0,G2100-MAX(F2100,I2100)),0))</x:f>
        <x:v>1.55</x:v>
      </x:c>
    </x:row>
    <x:row r="2101" ht="42" customHeight="1">
      <x:c r="A2101" s="7" t="str">
        <x:v>DP5-B</x:v>
      </x:c>
      <x:c r="B2101" s="7" t="str">
        <x:v>U21</x:v>
      </x:c>
      <x:c r="C2101" s="7" t="str">
        <x:v>bg1</x:v>
      </x:c>
      <x:c r="D2101" s="7" t="str">
        <x:v>진행 중인 현재 대화의 의미 step</x:v>
      </x:c>
      <x:c r="E2101" s="7" t="str">
        <x:v>via</x:v>
      </x:c>
      <x:c r="F2101" s="14" t="n">
        <x:v>-1</x:v>
      </x:c>
      <x:c r="G2101" s="14" t="n">
        <x:v>2.4</x:v>
      </x:c>
      <x:c r="H2101" s="14" t="n">
        <x:v>3.4</x:v>
      </x:c>
      <x:c r="I2101" s="14" t="n">
        <x:v>0</x:v>
      </x:c>
      <x:c r="J2101" s="7" t="str"/>
      <x:c r="K2101" s="7" t="str">
        <x:v>semantic</x:v>
      </x:c>
      <x:c r="L2101" s="14" t="n">
        <x:f>IF(G2101&lt;=I2101,0,MAX(0)+IF(E2101="via",MAX(0,G2101-MAX(F2101,I2101)),0))</x:f>
        <x:v>2.4</x:v>
      </x:c>
    </x:row>
    <x:row r="2102" ht="42" customHeight="1">
      <x:c r="A2102" s="12" t="str">
        <x:v>DP5-B</x:v>
      </x:c>
      <x:c r="B2102" s="12" t="str">
        <x:v>U21</x:v>
      </x:c>
      <x:c r="C2102" s="12" t="str">
        <x:v>input_end</x:v>
      </x:c>
      <x:c r="D2102" s="12" t="str">
        <x:v>사용자 입력 종료</x:v>
      </x:c>
      <x:c r="E2102" s="12" t="str">
        <x:v>external</x:v>
      </x:c>
      <x:c r="F2102" s="13" t="n">
        <x:v>0</x:v>
      </x:c>
      <x:c r="G2102" s="13" t="n">
        <x:v>0</x:v>
      </x:c>
      <x:c r="H2102" s="13" t="n">
        <x:v>0</x:v>
      </x:c>
      <x:c r="I2102" s="13" t="n">
        <x:v>0</x:v>
      </x:c>
      <x:c r="J2102" s="12" t="str"/>
      <x:c r="K2102" s="12" t="str">
        <x:v>none</x:v>
      </x:c>
      <x:c r="L2102" s="13" t="n">
        <x:f>IF(G2102&lt;=I2102,0,MAX(0)+IF(E2102="via",MAX(0,G2102-MAX(F2102,I2102)),0))</x:f>
        <x:v>0</x:v>
      </x:c>
    </x:row>
    <x:row r="2103" ht="42" customHeight="1">
      <x:c r="A2103" s="7" t="str">
        <x:v>DP5-B</x:v>
      </x:c>
      <x:c r="B2103" s="7" t="str">
        <x:v>U21</x:v>
      </x:c>
      <x:c r="C2103" s="7" t="str">
        <x:v>intake</x:v>
      </x:c>
      <x:c r="D2103" s="7" t="str">
        <x:v>입력 확정</x:v>
      </x:c>
      <x:c r="E2103" s="7" t="str">
        <x:v>via</x:v>
      </x:c>
      <x:c r="F2103" s="14" t="n">
        <x:v>0</x:v>
      </x:c>
      <x:c r="G2103" s="14" t="n">
        <x:v>0.3</x:v>
      </x:c>
      <x:c r="H2103" s="14" t="n">
        <x:v>0.3</x:v>
      </x:c>
      <x:c r="I2103" s="14" t="n">
        <x:v>0</x:v>
      </x:c>
      <x:c r="J2103" s="7" t="str">
        <x:v>input_end</x:v>
      </x:c>
      <x:c r="K2103" s="7" t="str">
        <x:v>none</x:v>
      </x:c>
      <x:c r="L2103" s="14" t="n">
        <x:f>IF(G2103&lt;=I2103,0,MAX(0,L2102)+IF(E2103="via",MAX(0,G2103-MAX(F2103,I2103)),0))</x:f>
        <x:v>0.3</x:v>
      </x:c>
    </x:row>
    <x:row r="2104" ht="42" customHeight="1">
      <x:c r="A2104" s="12" t="str">
        <x:v>DP5-B</x:v>
      </x:c>
      <x:c r="B2104" s="12" t="str">
        <x:v>U21</x:v>
      </x:c>
      <x:c r="C2104" s="12" t="str">
        <x:v>relation_prior</x:v>
      </x:c>
      <x:c r="D2104" s="12" t="str">
        <x:v>미확정 피드백 관계 사전 생산</x:v>
      </x:c>
      <x:c r="E2104" s="12" t="str">
        <x:v>via</x:v>
      </x:c>
      <x:c r="F2104" s="13" t="n">
        <x:v>-8</x:v>
      </x:c>
      <x:c r="G2104" s="13" t="n">
        <x:v>-6</x:v>
      </x:c>
      <x:c r="H2104" s="13" t="n">
        <x:v>2</x:v>
      </x:c>
      <x:c r="I2104" s="13" t="n">
        <x:v>0</x:v>
      </x:c>
      <x:c r="J2104" s="12" t="str"/>
      <x:c r="K2104" s="12" t="str">
        <x:v>semantic</x:v>
      </x:c>
      <x:c r="L2104" s="13" t="n">
        <x:f>IF(G2104&lt;=I2104,0,MAX(0)+IF(E2104="via",MAX(0,G2104-MAX(F2104,I2104)),0))</x:f>
        <x:v>0</x:v>
      </x:c>
    </x:row>
    <x:row r="2105" ht="42" customHeight="1">
      <x:c r="A2105" s="7" t="str">
        <x:v>DP5-B</x:v>
      </x:c>
      <x:c r="B2105" s="7" t="str">
        <x:v>U21</x:v>
      </x:c>
      <x:c r="C2105" s="7" t="str">
        <x:v>relation_unused</x:v>
      </x:c>
      <x:c r="D2105" s="7" t="str">
        <x:v>같은 이력의 미사용 관계 생산</x:v>
      </x:c>
      <x:c r="E2105" s="7" t="str">
        <x:v>via</x:v>
      </x:c>
      <x:c r="F2105" s="14" t="n">
        <x:v>-8</x:v>
      </x:c>
      <x:c r="G2105" s="14" t="n">
        <x:v>-6</x:v>
      </x:c>
      <x:c r="H2105" s="14" t="n">
        <x:v>2</x:v>
      </x:c>
      <x:c r="I2105" s="14" t="n">
        <x:v>0</x:v>
      </x:c>
      <x:c r="J2105" s="7" t="str"/>
      <x:c r="K2105" s="7" t="str">
        <x:v>semantic</x:v>
      </x:c>
      <x:c r="L2105" s="14" t="n">
        <x:f>IF(G2105&lt;=I2105,0,MAX(0)+IF(E2105="via",MAX(0,G2105-MAX(F2105,I2105)),0))</x:f>
        <x:v>0</x:v>
      </x:c>
    </x:row>
    <x:row r="2106" ht="42" customHeight="1">
      <x:c r="A2106" s="12" t="str">
        <x:v>DP5-B</x:v>
      </x:c>
      <x:c r="B2106" s="12" t="str">
        <x:v>U21</x:v>
      </x:c>
      <x:c r="C2106" s="12" t="str">
        <x:v>read</x:v>
      </x:c>
      <x:c r="D2106" s="12" t="str">
        <x:v>공통 허용 원본 조회</x:v>
      </x:c>
      <x:c r="E2106" s="12" t="str">
        <x:v>via</x:v>
      </x:c>
      <x:c r="F2106" s="13" t="n">
        <x:v>0.3</x:v>
      </x:c>
      <x:c r="G2106" s="13" t="n">
        <x:v>0.38</x:v>
      </x:c>
      <x:c r="H2106" s="13" t="n">
        <x:v>0.08</x:v>
      </x:c>
      <x:c r="I2106" s="13" t="n">
        <x:v>0</x:v>
      </x:c>
      <x:c r="J2106" s="12" t="str">
        <x:v>intake</x:v>
      </x:c>
      <x:c r="K2106" s="12" t="str">
        <x:v>none</x:v>
      </x:c>
      <x:c r="L2106" s="13" t="n">
        <x:f>IF(G2106&lt;=I2106,0,MAX(0,L2103)+IF(E2106="via",MAX(0,G2106-MAX(F2106,I2106)),0))</x:f>
        <x:v>0.38</x:v>
      </x:c>
    </x:row>
    <x:row r="2107" ht="42" customHeight="1">
      <x:c r="A2107" s="7" t="str">
        <x:v>DP5-B</x:v>
      </x:c>
      <x:c r="B2107" s="7" t="str">
        <x:v>U21</x:v>
      </x:c>
      <x:c r="C2107" s="7" t="str">
        <x:v>meaning</x:v>
      </x:c>
      <x:c r="D2107" s="7" t="str">
        <x:v>최초 요청 의미 채택 packet 생성</x:v>
      </x:c>
      <x:c r="E2107" s="7" t="str">
        <x:v>via</x:v>
      </x:c>
      <x:c r="F2107" s="14" t="n">
        <x:v>2.4</x:v>
      </x:c>
      <x:c r="G2107" s="14" t="n">
        <x:v>3.86</x:v>
      </x:c>
      <x:c r="H2107" s="14" t="n">
        <x:v>1.46</x:v>
      </x:c>
      <x:c r="I2107" s="14" t="n">
        <x:v>0</x:v>
      </x:c>
      <x:c r="J2107" s="7" t="str">
        <x:v>read, bg1, relation_prior</x:v>
      </x:c>
      <x:c r="K2107" s="7" t="str">
        <x:v>semantic</x:v>
      </x:c>
      <x:c r="L2107" s="14" t="n">
        <x:f>IF(G2107&lt;=I2107,0,MAX(0,L2106,L2101,L2104)+IF(E2107="via",MAX(0,G2107-MAX(F2107,I2107)),0))</x:f>
        <x:v>3.86</x:v>
      </x:c>
    </x:row>
    <x:row r="2108" ht="42" customHeight="1">
      <x:c r="A2108" s="12" t="str">
        <x:v>DP5-B</x:v>
      </x:c>
      <x:c r="B2108" s="12" t="str">
        <x:v>U21</x:v>
      </x:c>
      <x:c r="C2108" s="12" t="str">
        <x:v>adopt</x:v>
      </x:c>
      <x:c r="D2108" s="12" t="str">
        <x:v>현재 revision과 권한 검사 및 채택</x:v>
      </x:c>
      <x:c r="E2108" s="12" t="str">
        <x:v>via</x:v>
      </x:c>
      <x:c r="F2108" s="13" t="n">
        <x:v>3.86</x:v>
      </x:c>
      <x:c r="G2108" s="13" t="n">
        <x:v>3.8899999999999997</x:v>
      </x:c>
      <x:c r="H2108" s="13" t="n">
        <x:v>0.03</x:v>
      </x:c>
      <x:c r="I2108" s="13" t="n">
        <x:v>0</x:v>
      </x:c>
      <x:c r="J2108" s="12" t="str">
        <x:v>meaning</x:v>
      </x:c>
      <x:c r="K2108" s="12" t="str">
        <x:v>none</x:v>
      </x:c>
      <x:c r="L2108" s="13" t="n">
        <x:f>IF(G2108&lt;=I2108,0,MAX(0,L2107)+IF(E2108="via",MAX(0,G2108-MAX(F2108,I2108)),0))</x:f>
        <x:v>3.8899999999999997</x:v>
      </x:c>
    </x:row>
    <x:row r="2109" ht="42" customHeight="1">
      <x:c r="A2109" s="7" t="str">
        <x:v>DP5-B</x:v>
      </x:c>
      <x:c r="B2109" s="7" t="str">
        <x:v>U21</x:v>
      </x:c>
      <x:c r="C2109" s="7" t="str">
        <x:v>first_display</x:v>
      </x:c>
      <x:c r="D2109" s="7" t="str">
        <x:v>첫 구체적 채택 내용 화면 표시</x:v>
      </x:c>
      <x:c r="E2109" s="7" t="str">
        <x:v>via</x:v>
      </x:c>
      <x:c r="F2109" s="14" t="n">
        <x:v>3.8899999999999997</x:v>
      </x:c>
      <x:c r="G2109" s="14" t="n">
        <x:v>3.9299999999999997</x:v>
      </x:c>
      <x:c r="H2109" s="14" t="n">
        <x:v>0.04</x:v>
      </x:c>
      <x:c r="I2109" s="14" t="n">
        <x:v>0</x:v>
      </x:c>
      <x:c r="J2109" s="7" t="str">
        <x:v>adopt</x:v>
      </x:c>
      <x:c r="K2109" s="7" t="str">
        <x:v>none</x:v>
      </x:c>
      <x:c r="L2109" s="14" t="n">
        <x:f>IF(G2109&lt;=I2109,0,MAX(0,L2108)+IF(E2109="via",MAX(0,G2109-MAX(F2109,I2109)),0))</x:f>
        <x:v>3.9299999999999997</x:v>
      </x:c>
    </x:row>
    <x:row r="2110" ht="42" customHeight="1">
      <x:c r="A2110" s="12" t="str">
        <x:v>DP5-B</x:v>
      </x:c>
      <x:c r="B2110" s="12" t="str">
        <x:v>U21</x:v>
      </x:c>
      <x:c r="C2110" s="12" t="str">
        <x:v>agent_ingress</x:v>
      </x:c>
      <x:c r="D2110" s="12" t="str">
        <x:v>Agent 요청 전송</x:v>
      </x:c>
      <x:c r="E2110" s="12" t="str">
        <x:v>via</x:v>
      </x:c>
      <x:c r="F2110" s="13" t="n">
        <x:v>3.8899999999999997</x:v>
      </x:c>
      <x:c r="G2110" s="13" t="n">
        <x:v>3.9299999999999997</x:v>
      </x:c>
      <x:c r="H2110" s="13" t="n">
        <x:v>0.04</x:v>
      </x:c>
      <x:c r="I2110" s="13" t="n">
        <x:v>0</x:v>
      </x:c>
      <x:c r="J2110" s="12" t="str">
        <x:v>adopt</x:v>
      </x:c>
      <x:c r="K2110" s="12" t="str">
        <x:v>none</x:v>
      </x:c>
      <x:c r="L2110" s="13" t="n">
        <x:f>IF(G2110&lt;=I2110,0,MAX(0,L2108)+IF(E2110="via",MAX(0,G2110-MAX(F2110,I2110)),0))</x:f>
        <x:v>3.9299999999999997</x:v>
      </x:c>
    </x:row>
    <x:row r="2111" ht="42" customHeight="1">
      <x:c r="A2111" s="7" t="str">
        <x:v>DP5-B</x:v>
      </x:c>
      <x:c r="B2111" s="7" t="str">
        <x:v>U21</x:v>
      </x:c>
      <x:c r="C2111" s="7" t="str">
        <x:v>agent_result</x:v>
      </x:c>
      <x:c r="D2111" s="7" t="str">
        <x:v>외부 Agent 업무</x:v>
      </x:c>
      <x:c r="E2111" s="7" t="str">
        <x:v>external</x:v>
      </x:c>
      <x:c r="F2111" s="14" t="n">
        <x:v>3.9299999999999997</x:v>
      </x:c>
      <x:c r="G2111" s="14" t="n">
        <x:v>11.93</x:v>
      </x:c>
      <x:c r="H2111" s="14" t="n">
        <x:v>8</x:v>
      </x:c>
      <x:c r="I2111" s="14" t="n">
        <x:v>0</x:v>
      </x:c>
      <x:c r="J2111" s="7" t="str">
        <x:v>agent_ingress</x:v>
      </x:c>
      <x:c r="K2111" s="7" t="str">
        <x:v>none</x:v>
      </x:c>
      <x:c r="L2111" s="14" t="n">
        <x:f>IF(G2111&lt;=I2111,0,MAX(0,L2110)+IF(E2111="via",MAX(0,G2111-MAX(F2111,I2111)),0))</x:f>
        <x:v>3.9299999999999997</x:v>
      </x:c>
    </x:row>
    <x:row r="2112" ht="42" customHeight="1">
      <x:c r="A2112" s="12" t="str">
        <x:v>DP5-B</x:v>
      </x:c>
      <x:c r="B2112" s="12" t="str">
        <x:v>U21</x:v>
      </x:c>
      <x:c r="C2112" s="12" t="str">
        <x:v>result_display</x:v>
      </x:c>
      <x:c r="D2112" s="12" t="str">
        <x:v>최종 결과 상세 표시</x:v>
      </x:c>
      <x:c r="E2112" s="12" t="str">
        <x:v>via</x:v>
      </x:c>
      <x:c r="F2112" s="13" t="n">
        <x:v>11.93</x:v>
      </x:c>
      <x:c r="G2112" s="13" t="n">
        <x:v>11.969999999999999</x:v>
      </x:c>
      <x:c r="H2112" s="13" t="n">
        <x:v>0.04</x:v>
      </x:c>
      <x:c r="I2112" s="13" t="n">
        <x:v>0</x:v>
      </x:c>
      <x:c r="J2112" s="12" t="str">
        <x:v>agent_result</x:v>
      </x:c>
      <x:c r="K2112" s="12" t="str">
        <x:v>none</x:v>
      </x:c>
      <x:c r="L2112" s="13" t="n">
        <x:f>IF(G2112&lt;=I2112,0,MAX(0,L2111)+IF(E2112="via",MAX(0,G2112-MAX(F2112,I2112)),0))</x:f>
        <x:v>3.969999999999999</x:v>
      </x:c>
    </x:row>
    <x:row r="2113" ht="42" customHeight="1">
      <x:c r="A2113" s="7" t="str">
        <x:v>DP5-B</x:v>
      </x:c>
      <x:c r="B2113" s="7" t="str">
        <x:v>U21</x:v>
      </x:c>
      <x:c r="C2113" s="7" t="str">
        <x:v>response_audio</x:v>
      </x:c>
      <x:c r="D2113" s="7" t="str">
        <x:v>선택한 응답 음성 생성</x:v>
      </x:c>
      <x:c r="E2113" s="7" t="str">
        <x:v>via</x:v>
      </x:c>
      <x:c r="F2113" s="14" t="n">
        <x:v>11.93</x:v>
      </x:c>
      <x:c r="G2113" s="14" t="n">
        <x:v>13.818</x:v>
      </x:c>
      <x:c r="H2113" s="14" t="n">
        <x:v>1.888</x:v>
      </x:c>
      <x:c r="I2113" s="14" t="n">
        <x:v>0</x:v>
      </x:c>
      <x:c r="J2113" s="7" t="str">
        <x:v>agent_result</x:v>
      </x:c>
      <x:c r="K2113" s="7" t="str">
        <x:v>speech</x:v>
      </x:c>
      <x:c r="L2113" s="14" t="n">
        <x:f>IF(G2113&lt;=I2113,0,MAX(0,L2111)+IF(E2113="via",MAX(0,G2113-MAX(F2113,I2113)),0))</x:f>
        <x:v>5.818</x:v>
      </x:c>
    </x:row>
    <x:row r="2114" ht="42" customHeight="1">
      <x:c r="A2114" s="12" t="str">
        <x:v>DP5-B</x:v>
      </x:c>
      <x:c r="B2114" s="12" t="str">
        <x:v>U21</x:v>
      </x:c>
      <x:c r="C2114" s="12" t="str">
        <x:v>intent_audio</x:v>
      </x:c>
      <x:c r="D2114" s="12" t="str">
        <x:v>채택한 구체적 수행 의도의 짧은 음성</x:v>
      </x:c>
      <x:c r="E2114" s="12" t="str">
        <x:v>via</x:v>
      </x:c>
      <x:c r="F2114" s="13" t="n">
        <x:v>3.8899999999999997</x:v>
      </x:c>
      <x:c r="G2114" s="13" t="n">
        <x:v>5.023999999999999</x:v>
      </x:c>
      <x:c r="H2114" s="13" t="n">
        <x:v>1.134</x:v>
      </x:c>
      <x:c r="I2114" s="13" t="n">
        <x:v>0</x:v>
      </x:c>
      <x:c r="J2114" s="12" t="str">
        <x:v>adopt</x:v>
      </x:c>
      <x:c r="K2114" s="12" t="str">
        <x:v>speech</x:v>
      </x:c>
      <x:c r="L2114" s="13" t="n">
        <x:f>IF(G2114&lt;=I2114,0,MAX(0,L2108)+IF(E2114="via",MAX(0,G2114-MAX(F2114,I2114)),0))</x:f>
        <x:v>5.023999999999999</x:v>
      </x:c>
    </x:row>
    <x:row r="2115" ht="42" customHeight="1">
      <x:c r="A2115" s="7" t="str">
        <x:v>DP5-B</x:v>
      </x:c>
      <x:c r="B2115" s="7" t="str">
        <x:v>U21</x:v>
      </x:c>
      <x:c r="C2115" s="7" t="str">
        <x:v>first_chunk</x:v>
      </x:c>
      <x:c r="D2115" s="7" t="str">
        <x:v>같은 생성 job의 유효 첫 chunk 관측</x:v>
      </x:c>
      <x:c r="E2115" s="7" t="str">
        <x:v>via</x:v>
      </x:c>
      <x:c r="F2115" s="14" t="n">
        <x:v>3.8899999999999997</x:v>
      </x:c>
      <x:c r="G2115" s="14" t="n">
        <x:v>4.324</x:v>
      </x:c>
      <x:c r="H2115" s="14" t="n">
        <x:v>0.434</x:v>
      </x:c>
      <x:c r="I2115" s="14" t="n">
        <x:v>0</x:v>
      </x:c>
      <x:c r="J2115" s="7" t="str">
        <x:v>adopt</x:v>
      </x:c>
      <x:c r="K2115" s="7" t="str">
        <x:v>none</x:v>
      </x:c>
      <x:c r="L2115" s="14" t="n">
        <x:f>IF(G2115&lt;=I2115,0,MAX(0,L2108)+IF(E2115="via",MAX(0,G2115-MAX(F2115,I2115)),0))</x:f>
        <x:v>4.324</x:v>
      </x:c>
    </x:row>
    <x:row r="2116" ht="42" customHeight="1">
      <x:c r="A2116" s="12" t="str">
        <x:v>DP5-B</x:v>
      </x:c>
      <x:c r="B2116" s="12" t="str">
        <x:v>U21</x:v>
      </x:c>
      <x:c r="C2116" s="12" t="str">
        <x:v>first_audio_output</x:v>
      </x:c>
      <x:c r="D2116" s="12" t="str">
        <x:v>공통 장치의 첫 음성 출력</x:v>
      </x:c>
      <x:c r="E2116" s="12" t="str">
        <x:v>via</x:v>
      </x:c>
      <x:c r="F2116" s="13" t="n">
        <x:v>4.324</x:v>
      </x:c>
      <x:c r="G2116" s="13" t="n">
        <x:v>4.364</x:v>
      </x:c>
      <x:c r="H2116" s="13" t="n">
        <x:v>0.04</x:v>
      </x:c>
      <x:c r="I2116" s="13" t="n">
        <x:v>0</x:v>
      </x:c>
      <x:c r="J2116" s="12" t="str">
        <x:v>adopt, first_chunk</x:v>
      </x:c>
      <x:c r="K2116" s="12" t="str">
        <x:v>none</x:v>
      </x:c>
      <x:c r="L2116" s="13" t="n">
        <x:f>IF(G2116&lt;=I2116,0,MAX(0,L2108,L2115)+IF(E2116="via",MAX(0,G2116-MAX(F2116,I2116)),0))</x:f>
        <x:v>4.364</x:v>
      </x:c>
    </x:row>
    <x:row r="2117" ht="42" customHeight="1">
      <x:c r="A2117" s="7" t="str">
        <x:v>DP5-B</x:v>
      </x:c>
      <x:c r="B2117" s="7" t="str">
        <x:v>U21</x:v>
      </x:c>
      <x:c r="C2117" s="7" t="str">
        <x:v>next_speech_selection</x:v>
      </x:c>
      <x:c r="D2117" s="7" t="str">
        <x:v>현재 발화 재생 후 다음 응답 선택</x:v>
      </x:c>
      <x:c r="E2117" s="7" t="str">
        <x:v>external</x:v>
      </x:c>
      <x:c r="F2117" s="14" t="n">
        <x:v>4.364</x:v>
      </x:c>
      <x:c r="G2117" s="14" t="n">
        <x:v>7.364</x:v>
      </x:c>
      <x:c r="H2117" s="14" t="n">
        <x:v>3</x:v>
      </x:c>
      <x:c r="I2117" s="14" t="n">
        <x:v>0</x:v>
      </x:c>
      <x:c r="J2117" s="7" t="str">
        <x:v>first_audio_output</x:v>
      </x:c>
      <x:c r="K2117" s="7" t="str">
        <x:v>none</x:v>
      </x:c>
      <x:c r="L2117" s="14" t="n">
        <x:f>IF(G2117&lt;=I2117,0,MAX(0,L2116)+IF(E2117="via",MAX(0,G2117-MAX(F2117,I2117)),0))</x:f>
        <x:v>4.364</x:v>
      </x:c>
    </x:row>
    <x:row r="2118" ht="42" customHeight="1">
      <x:c r="A2118" s="12" t="str">
        <x:v>DP5-B</x:v>
      </x:c>
      <x:c r="B2118" s="12" t="str">
        <x:v>U21</x:v>
      </x:c>
      <x:c r="C2118" s="12" t="str">
        <x:v>terminal</x:v>
      </x:c>
      <x:c r="D2118" s="12" t="str">
        <x:v>공통 목표 최종 상태와 전체 음성 준비</x:v>
      </x:c>
      <x:c r="E2118" s="12" t="str">
        <x:v>via</x:v>
      </x:c>
      <x:c r="F2118" s="13" t="n">
        <x:v>13.818</x:v>
      </x:c>
      <x:c r="G2118" s="13" t="n">
        <x:v>13.818</x:v>
      </x:c>
      <x:c r="H2118" s="13" t="n">
        <x:v>0</x:v>
      </x:c>
      <x:c r="I2118" s="13" t="n">
        <x:v>0</x:v>
      </x:c>
      <x:c r="J2118" s="12" t="str">
        <x:v>result_display, response_audio, intent_audio, first_audio_output</x:v>
      </x:c>
      <x:c r="K2118" s="12" t="str">
        <x:v>none</x:v>
      </x:c>
      <x:c r="L2118" s="13" t="n">
        <x:f>IF(G2118&lt;=I2118,0,MAX(0,L2112,L2113,L2114,L2116)+IF(E2118="via",MAX(0,G2118-MAX(F2118,I2118)),0))</x:f>
        <x:v>5.818</x:v>
      </x:c>
    </x:row>
    <x:row r="2119" ht="42" customHeight="1">
      <x:c r="A2119" s="7" t="str">
        <x:v>DP5-B</x:v>
      </x:c>
      <x:c r="B2119" s="7" t="str">
        <x:v>U22</x:v>
      </x:c>
      <x:c r="C2119" s="7" t="str">
        <x:v>input_end</x:v>
      </x:c>
      <x:c r="D2119" s="7" t="str">
        <x:v>사용자 입력 종료</x:v>
      </x:c>
      <x:c r="E2119" s="7" t="str">
        <x:v>external</x:v>
      </x:c>
      <x:c r="F2119" s="14" t="n">
        <x:v>0</x:v>
      </x:c>
      <x:c r="G2119" s="14" t="n">
        <x:v>0</x:v>
      </x:c>
      <x:c r="H2119" s="14" t="n">
        <x:v>0</x:v>
      </x:c>
      <x:c r="I2119" s="14" t="n">
        <x:v>0</x:v>
      </x:c>
      <x:c r="J2119" s="7" t="str"/>
      <x:c r="K2119" s="7" t="str">
        <x:v>none</x:v>
      </x:c>
      <x:c r="L2119" s="14" t="n">
        <x:f>IF(G2119&lt;=I2119,0,MAX(0)+IF(E2119="via",MAX(0,G2119-MAX(F2119,I2119)),0))</x:f>
        <x:v>0</x:v>
      </x:c>
    </x:row>
    <x:row r="2120" ht="42" customHeight="1">
      <x:c r="A2120" s="12" t="str">
        <x:v>DP5-B</x:v>
      </x:c>
      <x:c r="B2120" s="12" t="str">
        <x:v>U22</x:v>
      </x:c>
      <x:c r="C2120" s="12" t="str">
        <x:v>intake</x:v>
      </x:c>
      <x:c r="D2120" s="12" t="str">
        <x:v>입력 확정</x:v>
      </x:c>
      <x:c r="E2120" s="12" t="str">
        <x:v>via</x:v>
      </x:c>
      <x:c r="F2120" s="13" t="n">
        <x:v>0</x:v>
      </x:c>
      <x:c r="G2120" s="13" t="n">
        <x:v>0.3</x:v>
      </x:c>
      <x:c r="H2120" s="13" t="n">
        <x:v>0.3</x:v>
      </x:c>
      <x:c r="I2120" s="13" t="n">
        <x:v>0</x:v>
      </x:c>
      <x:c r="J2120" s="12" t="str">
        <x:v>input_end</x:v>
      </x:c>
      <x:c r="K2120" s="12" t="str">
        <x:v>none</x:v>
      </x:c>
      <x:c r="L2120" s="13" t="n">
        <x:f>IF(G2120&lt;=I2120,0,MAX(0,L2119)+IF(E2120="via",MAX(0,G2120-MAX(F2120,I2120)),0))</x:f>
        <x:v>0.3</x:v>
      </x:c>
    </x:row>
    <x:row r="2121" ht="42" customHeight="1">
      <x:c r="A2121" s="7" t="str">
        <x:v>DP5-B</x:v>
      </x:c>
      <x:c r="B2121" s="7" t="str">
        <x:v>U22</x:v>
      </x:c>
      <x:c r="C2121" s="7" t="str">
        <x:v>read</x:v>
      </x:c>
      <x:c r="D2121" s="7" t="str">
        <x:v>공통 허용 원본 조회</x:v>
      </x:c>
      <x:c r="E2121" s="7" t="str">
        <x:v>via</x:v>
      </x:c>
      <x:c r="F2121" s="14" t="n">
        <x:v>0.3</x:v>
      </x:c>
      <x:c r="G2121" s="14" t="n">
        <x:v>0.38</x:v>
      </x:c>
      <x:c r="H2121" s="14" t="n">
        <x:v>0.08</x:v>
      </x:c>
      <x:c r="I2121" s="14" t="n">
        <x:v>0</x:v>
      </x:c>
      <x:c r="J2121" s="7" t="str">
        <x:v>intake</x:v>
      </x:c>
      <x:c r="K2121" s="7" t="str">
        <x:v>none</x:v>
      </x:c>
      <x:c r="L2121" s="14" t="n">
        <x:f>IF(G2121&lt;=I2121,0,MAX(0,L2120)+IF(E2121="via",MAX(0,G2121-MAX(F2121,I2121)),0))</x:f>
        <x:v>0.38</x:v>
      </x:c>
    </x:row>
    <x:row r="2122" ht="42" customHeight="1">
      <x:c r="A2122" s="12" t="str">
        <x:v>DP5-B</x:v>
      </x:c>
      <x:c r="B2122" s="12" t="str">
        <x:v>U22</x:v>
      </x:c>
      <x:c r="C2122" s="12" t="str">
        <x:v>pre_raw</x:v>
      </x:c>
      <x:c r="D2122" s="12" t="str">
        <x:v>선행 원본 화면 해석</x:v>
      </x:c>
      <x:c r="E2122" s="12" t="str">
        <x:v>via</x:v>
      </x:c>
      <x:c r="F2122" s="13" t="n">
        <x:v>-12</x:v>
      </x:c>
      <x:c r="G2122" s="13" t="n">
        <x:v>-10.6</x:v>
      </x:c>
      <x:c r="H2122" s="13" t="n">
        <x:v>1.4000000000000001</x:v>
      </x:c>
      <x:c r="I2122" s="13" t="n">
        <x:v>0</x:v>
      </x:c>
      <x:c r="J2122" s="12" t="str"/>
      <x:c r="K2122" s="12" t="str">
        <x:v>semantic</x:v>
      </x:c>
      <x:c r="L2122" s="13" t="n">
        <x:f>IF(G2122&lt;=I2122,0,MAX(0)+IF(E2122="via",MAX(0,G2122-MAX(F2122,I2122)),0))</x:f>
        <x:v>0</x:v>
      </x:c>
    </x:row>
    <x:row r="2123" ht="42" customHeight="1">
      <x:c r="A2123" s="7" t="str">
        <x:v>DP5-B</x:v>
      </x:c>
      <x:c r="B2123" s="7" t="str">
        <x:v>U22</x:v>
      </x:c>
      <x:c r="C2123" s="7" t="str">
        <x:v>read_new_view</x:v>
      </x:c>
      <x:c r="D2123" s="7" t="str">
        <x:v>새 viewport 원본 조회</x:v>
      </x:c>
      <x:c r="E2123" s="7" t="str">
        <x:v>via</x:v>
      </x:c>
      <x:c r="F2123" s="14" t="n">
        <x:v>0.38</x:v>
      </x:c>
      <x:c r="G2123" s="14" t="n">
        <x:v>0.46</x:v>
      </x:c>
      <x:c r="H2123" s="14" t="n">
        <x:v>0.08</x:v>
      </x:c>
      <x:c r="I2123" s="14" t="n">
        <x:v>0</x:v>
      </x:c>
      <x:c r="J2123" s="7" t="str">
        <x:v>read, pre_raw</x:v>
      </x:c>
      <x:c r="K2123" s="7" t="str">
        <x:v>none</x:v>
      </x:c>
      <x:c r="L2123" s="14" t="n">
        <x:f>IF(G2123&lt;=I2123,0,MAX(0,L2121,L2122)+IF(E2123="via",MAX(0,G2123-MAX(F2123,I2123)),0))</x:f>
        <x:v>0.46</x:v>
      </x:c>
    </x:row>
    <x:row r="2124" ht="42" customHeight="1">
      <x:c r="A2124" s="12" t="str">
        <x:v>DP5-B</x:v>
      </x:c>
      <x:c r="B2124" s="12" t="str">
        <x:v>U22</x:v>
      </x:c>
      <x:c r="C2124" s="12" t="str">
        <x:v>meaning</x:v>
      </x:c>
      <x:c r="D2124" s="12" t="str">
        <x:v>최초 요청 의미 채택 packet 생성</x:v>
      </x:c>
      <x:c r="E2124" s="12" t="str">
        <x:v>via</x:v>
      </x:c>
      <x:c r="F2124" s="13" t="n">
        <x:v>0.46</x:v>
      </x:c>
      <x:c r="G2124" s="13" t="n">
        <x:v>1.86</x:v>
      </x:c>
      <x:c r="H2124" s="13" t="n">
        <x:v>1.4000000000000001</x:v>
      </x:c>
      <x:c r="I2124" s="13" t="n">
        <x:v>0</x:v>
      </x:c>
      <x:c r="J2124" s="12" t="str">
        <x:v>read_new_view</x:v>
      </x:c>
      <x:c r="K2124" s="12" t="str">
        <x:v>semantic</x:v>
      </x:c>
      <x:c r="L2124" s="13" t="n">
        <x:f>IF(G2124&lt;=I2124,0,MAX(0,L2123)+IF(E2124="via",MAX(0,G2124-MAX(F2124,I2124)),0))</x:f>
        <x:v>1.86</x:v>
      </x:c>
    </x:row>
    <x:row r="2125" ht="42" customHeight="1">
      <x:c r="A2125" s="7" t="str">
        <x:v>DP5-B</x:v>
      </x:c>
      <x:c r="B2125" s="7" t="str">
        <x:v>U22</x:v>
      </x:c>
      <x:c r="C2125" s="7" t="str">
        <x:v>adopt</x:v>
      </x:c>
      <x:c r="D2125" s="7" t="str">
        <x:v>현재 revision과 권한 검사 및 채택</x:v>
      </x:c>
      <x:c r="E2125" s="7" t="str">
        <x:v>via</x:v>
      </x:c>
      <x:c r="F2125" s="14" t="n">
        <x:v>1.86</x:v>
      </x:c>
      <x:c r="G2125" s="14" t="n">
        <x:v>1.8900000000000001</x:v>
      </x:c>
      <x:c r="H2125" s="14" t="n">
        <x:v>0.03</x:v>
      </x:c>
      <x:c r="I2125" s="14" t="n">
        <x:v>0</x:v>
      </x:c>
      <x:c r="J2125" s="7" t="str">
        <x:v>meaning</x:v>
      </x:c>
      <x:c r="K2125" s="7" t="str">
        <x:v>none</x:v>
      </x:c>
      <x:c r="L2125" s="14" t="n">
        <x:f>IF(G2125&lt;=I2125,0,MAX(0,L2124)+IF(E2125="via",MAX(0,G2125-MAX(F2125,I2125)),0))</x:f>
        <x:v>1.8900000000000001</x:v>
      </x:c>
    </x:row>
    <x:row r="2126" ht="42" customHeight="1">
      <x:c r="A2126" s="12" t="str">
        <x:v>DP5-B</x:v>
      </x:c>
      <x:c r="B2126" s="12" t="str">
        <x:v>U22</x:v>
      </x:c>
      <x:c r="C2126" s="12" t="str">
        <x:v>first_display</x:v>
      </x:c>
      <x:c r="D2126" s="12" t="str">
        <x:v>첫 구체적 채택 내용 화면 표시</x:v>
      </x:c>
      <x:c r="E2126" s="12" t="str">
        <x:v>via</x:v>
      </x:c>
      <x:c r="F2126" s="13" t="n">
        <x:v>1.8900000000000001</x:v>
      </x:c>
      <x:c r="G2126" s="13" t="n">
        <x:v>1.9300000000000002</x:v>
      </x:c>
      <x:c r="H2126" s="13" t="n">
        <x:v>0.04</x:v>
      </x:c>
      <x:c r="I2126" s="13" t="n">
        <x:v>0</x:v>
      </x:c>
      <x:c r="J2126" s="12" t="str">
        <x:v>adopt</x:v>
      </x:c>
      <x:c r="K2126" s="12" t="str">
        <x:v>none</x:v>
      </x:c>
      <x:c r="L2126" s="13" t="n">
        <x:f>IF(G2126&lt;=I2126,0,MAX(0,L2125)+IF(E2126="via",MAX(0,G2126-MAX(F2126,I2126)),0))</x:f>
        <x:v>1.9300000000000002</x:v>
      </x:c>
    </x:row>
    <x:row r="2127" ht="42" customHeight="1">
      <x:c r="A2127" s="7" t="str">
        <x:v>DP5-B</x:v>
      </x:c>
      <x:c r="B2127" s="7" t="str">
        <x:v>U22</x:v>
      </x:c>
      <x:c r="C2127" s="7" t="str">
        <x:v>agent_ingress</x:v>
      </x:c>
      <x:c r="D2127" s="7" t="str">
        <x:v>Agent 요청 전송</x:v>
      </x:c>
      <x:c r="E2127" s="7" t="str">
        <x:v>via</x:v>
      </x:c>
      <x:c r="F2127" s="14" t="n">
        <x:v>1.8900000000000001</x:v>
      </x:c>
      <x:c r="G2127" s="14" t="n">
        <x:v>1.9300000000000002</x:v>
      </x:c>
      <x:c r="H2127" s="14" t="n">
        <x:v>0.04</x:v>
      </x:c>
      <x:c r="I2127" s="14" t="n">
        <x:v>0</x:v>
      </x:c>
      <x:c r="J2127" s="7" t="str">
        <x:v>adopt</x:v>
      </x:c>
      <x:c r="K2127" s="7" t="str">
        <x:v>none</x:v>
      </x:c>
      <x:c r="L2127" s="14" t="n">
        <x:f>IF(G2127&lt;=I2127,0,MAX(0,L2125)+IF(E2127="via",MAX(0,G2127-MAX(F2127,I2127)),0))</x:f>
        <x:v>1.9300000000000002</x:v>
      </x:c>
    </x:row>
    <x:row r="2128" ht="42" customHeight="1">
      <x:c r="A2128" s="12" t="str">
        <x:v>DP5-B</x:v>
      </x:c>
      <x:c r="B2128" s="12" t="str">
        <x:v>U22</x:v>
      </x:c>
      <x:c r="C2128" s="12" t="str">
        <x:v>agent_result</x:v>
      </x:c>
      <x:c r="D2128" s="12" t="str">
        <x:v>외부 Agent 업무</x:v>
      </x:c>
      <x:c r="E2128" s="12" t="str">
        <x:v>external</x:v>
      </x:c>
      <x:c r="F2128" s="13" t="n">
        <x:v>1.9300000000000002</x:v>
      </x:c>
      <x:c r="G2128" s="13" t="n">
        <x:v>9.93</x:v>
      </x:c>
      <x:c r="H2128" s="13" t="n">
        <x:v>8</x:v>
      </x:c>
      <x:c r="I2128" s="13" t="n">
        <x:v>0</x:v>
      </x:c>
      <x:c r="J2128" s="12" t="str">
        <x:v>agent_ingress</x:v>
      </x:c>
      <x:c r="K2128" s="12" t="str">
        <x:v>none</x:v>
      </x:c>
      <x:c r="L2128" s="13" t="n">
        <x:f>IF(G2128&lt;=I2128,0,MAX(0,L2127)+IF(E2128="via",MAX(0,G2128-MAX(F2128,I2128)),0))</x:f>
        <x:v>1.9300000000000002</x:v>
      </x:c>
    </x:row>
    <x:row r="2129" ht="42" customHeight="1">
      <x:c r="A2129" s="7" t="str">
        <x:v>DP5-B</x:v>
      </x:c>
      <x:c r="B2129" s="7" t="str">
        <x:v>U22</x:v>
      </x:c>
      <x:c r="C2129" s="7" t="str">
        <x:v>result_display</x:v>
      </x:c>
      <x:c r="D2129" s="7" t="str">
        <x:v>최종 결과 상세 표시</x:v>
      </x:c>
      <x:c r="E2129" s="7" t="str">
        <x:v>via</x:v>
      </x:c>
      <x:c r="F2129" s="14" t="n">
        <x:v>9.93</x:v>
      </x:c>
      <x:c r="G2129" s="14" t="n">
        <x:v>9.969999999999999</x:v>
      </x:c>
      <x:c r="H2129" s="14" t="n">
        <x:v>0.04</x:v>
      </x:c>
      <x:c r="I2129" s="14" t="n">
        <x:v>0</x:v>
      </x:c>
      <x:c r="J2129" s="7" t="str">
        <x:v>agent_result</x:v>
      </x:c>
      <x:c r="K2129" s="7" t="str">
        <x:v>none</x:v>
      </x:c>
      <x:c r="L2129" s="14" t="n">
        <x:f>IF(G2129&lt;=I2129,0,MAX(0,L2128)+IF(E2129="via",MAX(0,G2129-MAX(F2129,I2129)),0))</x:f>
        <x:v>1.9699999999999993</x:v>
      </x:c>
    </x:row>
    <x:row r="2130" ht="42" customHeight="1">
      <x:c r="A2130" s="12" t="str">
        <x:v>DP5-B</x:v>
      </x:c>
      <x:c r="B2130" s="12" t="str">
        <x:v>U22</x:v>
      </x:c>
      <x:c r="C2130" s="12" t="str">
        <x:v>question_arrival</x:v>
      </x:c>
      <x:c r="D2130" s="12" t="str">
        <x:v>Agent 질문 텍스트 도착</x:v>
      </x:c>
      <x:c r="E2130" s="12" t="str">
        <x:v>external</x:v>
      </x:c>
      <x:c r="F2130" s="13" t="n">
        <x:v>-2</x:v>
      </x:c>
      <x:c r="G2130" s="13" t="n">
        <x:v>-2</x:v>
      </x:c>
      <x:c r="H2130" s="13" t="n">
        <x:v>0</x:v>
      </x:c>
      <x:c r="I2130" s="13" t="n">
        <x:v>0</x:v>
      </x:c>
      <x:c r="J2130" s="12" t="str"/>
      <x:c r="K2130" s="12" t="str">
        <x:v>none</x:v>
      </x:c>
      <x:c r="L2130" s="13" t="n">
        <x:f>IF(G2130&lt;=I2130,0,MAX(0)+IF(E2130="via",MAX(0,G2130-MAX(F2130,I2130)),0))</x:f>
        <x:v>0</x:v>
      </x:c>
    </x:row>
    <x:row r="2131" ht="42" customHeight="1">
      <x:c r="A2131" s="7" t="str">
        <x:v>DP5-B</x:v>
      </x:c>
      <x:c r="B2131" s="7" t="str">
        <x:v>U22</x:v>
      </x:c>
      <x:c r="C2131" s="7" t="str">
        <x:v>question_audio</x:v>
      </x:c>
      <x:c r="D2131" s="7" t="str">
        <x:v>선택한 응답 음성 생성</x:v>
      </x:c>
      <x:c r="E2131" s="7" t="str">
        <x:v>via</x:v>
      </x:c>
      <x:c r="F2131" s="14" t="n">
        <x:v>-2</x:v>
      </x:c>
      <x:c r="G2131" s="14" t="n">
        <x:v>-0.1120000000000001</x:v>
      </x:c>
      <x:c r="H2131" s="14" t="n">
        <x:v>1.888</x:v>
      </x:c>
      <x:c r="I2131" s="14" t="n">
        <x:v>0</x:v>
      </x:c>
      <x:c r="J2131" s="7" t="str">
        <x:v>question_arrival</x:v>
      </x:c>
      <x:c r="K2131" s="7" t="str">
        <x:v>speech</x:v>
      </x:c>
      <x:c r="L2131" s="14" t="n">
        <x:f>IF(G2131&lt;=I2131,0,MAX(0,L2130)+IF(E2131="via",MAX(0,G2131-MAX(F2131,I2131)),0))</x:f>
        <x:v>0</x:v>
      </x:c>
    </x:row>
    <x:row r="2132" ht="42" customHeight="1">
      <x:c r="A2132" s="12" t="str">
        <x:v>DP5-B</x:v>
      </x:c>
      <x:c r="B2132" s="12" t="str">
        <x:v>U22</x:v>
      </x:c>
      <x:c r="C2132" s="12" t="str">
        <x:v>final_result_audio</x:v>
      </x:c>
      <x:c r="D2132" s="12" t="str">
        <x:v>새 업무 최종 결과 음성 준비</x:v>
      </x:c>
      <x:c r="E2132" s="12" t="str">
        <x:v>via</x:v>
      </x:c>
      <x:c r="F2132" s="13" t="n">
        <x:v>9.93</x:v>
      </x:c>
      <x:c r="G2132" s="13" t="n">
        <x:v>11.818</x:v>
      </x:c>
      <x:c r="H2132" s="13" t="n">
        <x:v>1.888</x:v>
      </x:c>
      <x:c r="I2132" s="13" t="n">
        <x:v>0</x:v>
      </x:c>
      <x:c r="J2132" s="12" t="str">
        <x:v>agent_result</x:v>
      </x:c>
      <x:c r="K2132" s="12" t="str">
        <x:v>speech</x:v>
      </x:c>
      <x:c r="L2132" s="13" t="n">
        <x:f>IF(G2132&lt;=I2132,0,MAX(0,L2128)+IF(E2132="via",MAX(0,G2132-MAX(F2132,I2132)),0))</x:f>
        <x:v>3.818</x:v>
      </x:c>
    </x:row>
    <x:row r="2133" ht="42" customHeight="1">
      <x:c r="A2133" s="7" t="str">
        <x:v>DP5-B</x:v>
      </x:c>
      <x:c r="B2133" s="7" t="str">
        <x:v>U22</x:v>
      </x:c>
      <x:c r="C2133" s="7" t="str">
        <x:v>first_chunk</x:v>
      </x:c>
      <x:c r="D2133" s="7" t="str">
        <x:v>같은 생성 job의 유효 첫 chunk 관측</x:v>
      </x:c>
      <x:c r="E2133" s="7" t="str">
        <x:v>via</x:v>
      </x:c>
      <x:c r="F2133" s="14" t="n">
        <x:v>-2</x:v>
      </x:c>
      <x:c r="G2133" s="14" t="n">
        <x:v>-1.562</x:v>
      </x:c>
      <x:c r="H2133" s="14" t="n">
        <x:v>0.438</x:v>
      </x:c>
      <x:c r="I2133" s="14" t="n">
        <x:v>0</x:v>
      </x:c>
      <x:c r="J2133" s="7" t="str">
        <x:v>question_arrival</x:v>
      </x:c>
      <x:c r="K2133" s="7" t="str">
        <x:v>none</x:v>
      </x:c>
      <x:c r="L2133" s="14" t="n">
        <x:f>IF(G2133&lt;=I2133,0,MAX(0,L2130)+IF(E2133="via",MAX(0,G2133-MAX(F2133,I2133)),0))</x:f>
        <x:v>0</x:v>
      </x:c>
    </x:row>
    <x:row r="2134" ht="42" customHeight="1">
      <x:c r="A2134" s="12" t="str">
        <x:v>DP5-B</x:v>
      </x:c>
      <x:c r="B2134" s="12" t="str">
        <x:v>U22</x:v>
      </x:c>
      <x:c r="C2134" s="12" t="str">
        <x:v>first_audio_output</x:v>
      </x:c>
      <x:c r="D2134" s="12" t="str">
        <x:v>공통 장치의 첫 음성 출력</x:v>
      </x:c>
      <x:c r="E2134" s="12" t="str">
        <x:v>via</x:v>
      </x:c>
      <x:c r="F2134" s="13" t="n">
        <x:v>1.8900000000000001</x:v>
      </x:c>
      <x:c r="G2134" s="13" t="n">
        <x:v>1.9300000000000002</x:v>
      </x:c>
      <x:c r="H2134" s="13" t="n">
        <x:v>0.04</x:v>
      </x:c>
      <x:c r="I2134" s="13" t="n">
        <x:v>0</x:v>
      </x:c>
      <x:c r="J2134" s="12" t="str">
        <x:v>adopt, first_chunk</x:v>
      </x:c>
      <x:c r="K2134" s="12" t="str">
        <x:v>none</x:v>
      </x:c>
      <x:c r="L2134" s="13" t="n">
        <x:f>IF(G2134&lt;=I2134,0,MAX(0,L2125,L2133)+IF(E2134="via",MAX(0,G2134-MAX(F2134,I2134)),0))</x:f>
        <x:v>1.9300000000000002</x:v>
      </x:c>
    </x:row>
    <x:row r="2135" ht="42" customHeight="1">
      <x:c r="A2135" s="7" t="str">
        <x:v>DP5-B</x:v>
      </x:c>
      <x:c r="B2135" s="7" t="str">
        <x:v>U22</x:v>
      </x:c>
      <x:c r="C2135" s="7" t="str">
        <x:v>next_speech_selection</x:v>
      </x:c>
      <x:c r="D2135" s="7" t="str">
        <x:v>현재 발화 재생 후 다음 응답 선택</x:v>
      </x:c>
      <x:c r="E2135" s="7" t="str">
        <x:v>external</x:v>
      </x:c>
      <x:c r="F2135" s="14" t="n">
        <x:v>1.9300000000000002</x:v>
      </x:c>
      <x:c r="G2135" s="14" t="n">
        <x:v>7.93</x:v>
      </x:c>
      <x:c r="H2135" s="14" t="n">
        <x:v>6</x:v>
      </x:c>
      <x:c r="I2135" s="14" t="n">
        <x:v>0</x:v>
      </x:c>
      <x:c r="J2135" s="7" t="str">
        <x:v>first_audio_output</x:v>
      </x:c>
      <x:c r="K2135" s="7" t="str">
        <x:v>none</x:v>
      </x:c>
      <x:c r="L2135" s="14" t="n">
        <x:f>IF(G2135&lt;=I2135,0,MAX(0,L2134)+IF(E2135="via",MAX(0,G2135-MAX(F2135,I2135)),0))</x:f>
        <x:v>1.9300000000000002</x:v>
      </x:c>
    </x:row>
    <x:row r="2136" ht="42" customHeight="1">
      <x:c r="A2136" s="12" t="str">
        <x:v>DP5-B</x:v>
      </x:c>
      <x:c r="B2136" s="12" t="str">
        <x:v>U22</x:v>
      </x:c>
      <x:c r="C2136" s="12" t="str">
        <x:v>terminal</x:v>
      </x:c>
      <x:c r="D2136" s="12" t="str">
        <x:v>공통 목표 최종 상태와 전체 음성 준비</x:v>
      </x:c>
      <x:c r="E2136" s="12" t="str">
        <x:v>via</x:v>
      </x:c>
      <x:c r="F2136" s="13" t="n">
        <x:v>11.818</x:v>
      </x:c>
      <x:c r="G2136" s="13" t="n">
        <x:v>11.818</x:v>
      </x:c>
      <x:c r="H2136" s="13" t="n">
        <x:v>0</x:v>
      </x:c>
      <x:c r="I2136" s="13" t="n">
        <x:v>0</x:v>
      </x:c>
      <x:c r="J2136" s="12" t="str">
        <x:v>result_display, question_audio, first_audio_output, final_result_audio</x:v>
      </x:c>
      <x:c r="K2136" s="12" t="str">
        <x:v>none</x:v>
      </x:c>
      <x:c r="L2136" s="13" t="n">
        <x:f>IF(G2136&lt;=I2136,0,MAX(0,L2129,L2131,L2134,L2132)+IF(E2136="via",MAX(0,G2136-MAX(F2136,I2136)),0))</x:f>
        <x:v>3.818</x:v>
      </x:c>
    </x:row>
    <x:row r="2137" ht="42" customHeight="1">
      <x:c r="A2137" s="7" t="str">
        <x:v>DP5-B</x:v>
      </x:c>
      <x:c r="B2137" s="7" t="str">
        <x:v>U23</x:v>
      </x:c>
      <x:c r="C2137" s="7" t="str">
        <x:v>input_end</x:v>
      </x:c>
      <x:c r="D2137" s="7" t="str">
        <x:v>사용자 입력 종료</x:v>
      </x:c>
      <x:c r="E2137" s="7" t="str">
        <x:v>external</x:v>
      </x:c>
      <x:c r="F2137" s="14" t="n">
        <x:v>0</x:v>
      </x:c>
      <x:c r="G2137" s="14" t="n">
        <x:v>0</x:v>
      </x:c>
      <x:c r="H2137" s="14" t="n">
        <x:v>0</x:v>
      </x:c>
      <x:c r="I2137" s="14" t="n">
        <x:v>0</x:v>
      </x:c>
      <x:c r="J2137" s="7" t="str"/>
      <x:c r="K2137" s="7" t="str">
        <x:v>none</x:v>
      </x:c>
      <x:c r="L2137" s="14" t="n">
        <x:f>IF(G2137&lt;=I2137,0,MAX(0)+IF(E2137="via",MAX(0,G2137-MAX(F2137,I2137)),0))</x:f>
        <x:v>0</x:v>
      </x:c>
    </x:row>
    <x:row r="2138" ht="42" customHeight="1">
      <x:c r="A2138" s="12" t="str">
        <x:v>DP5-B</x:v>
      </x:c>
      <x:c r="B2138" s="12" t="str">
        <x:v>U23</x:v>
      </x:c>
      <x:c r="C2138" s="12" t="str">
        <x:v>intake</x:v>
      </x:c>
      <x:c r="D2138" s="12" t="str">
        <x:v>입력 확정</x:v>
      </x:c>
      <x:c r="E2138" s="12" t="str">
        <x:v>via</x:v>
      </x:c>
      <x:c r="F2138" s="13" t="n">
        <x:v>0</x:v>
      </x:c>
      <x:c r="G2138" s="13" t="n">
        <x:v>0.06</x:v>
      </x:c>
      <x:c r="H2138" s="13" t="n">
        <x:v>0.06</x:v>
      </x:c>
      <x:c r="I2138" s="13" t="n">
        <x:v>0</x:v>
      </x:c>
      <x:c r="J2138" s="12" t="str">
        <x:v>input_end</x:v>
      </x:c>
      <x:c r="K2138" s="12" t="str">
        <x:v>none</x:v>
      </x:c>
      <x:c r="L2138" s="13" t="n">
        <x:f>IF(G2138&lt;=I2138,0,MAX(0,L2137)+IF(E2138="via",MAX(0,G2138-MAX(F2138,I2138)),0))</x:f>
        <x:v>0.06</x:v>
      </x:c>
    </x:row>
    <x:row r="2139" ht="42" customHeight="1">
      <x:c r="A2139" s="7" t="str">
        <x:v>DP5-B</x:v>
      </x:c>
      <x:c r="B2139" s="7" t="str">
        <x:v>U23</x:v>
      </x:c>
      <x:c r="C2139" s="7" t="str">
        <x:v>relation_prior</x:v>
      </x:c>
      <x:c r="D2139" s="7" t="str">
        <x:v>미확정 피드백 관계 사전 생산</x:v>
      </x:c>
      <x:c r="E2139" s="7" t="str">
        <x:v>via</x:v>
      </x:c>
      <x:c r="F2139" s="14" t="n">
        <x:v>-8</x:v>
      </x:c>
      <x:c r="G2139" s="14" t="n">
        <x:v>-6</x:v>
      </x:c>
      <x:c r="H2139" s="14" t="n">
        <x:v>2</x:v>
      </x:c>
      <x:c r="I2139" s="14" t="n">
        <x:v>0</x:v>
      </x:c>
      <x:c r="J2139" s="7" t="str"/>
      <x:c r="K2139" s="7" t="str">
        <x:v>semantic</x:v>
      </x:c>
      <x:c r="L2139" s="14" t="n">
        <x:f>IF(G2139&lt;=I2139,0,MAX(0)+IF(E2139="via",MAX(0,G2139-MAX(F2139,I2139)),0))</x:f>
        <x:v>0</x:v>
      </x:c>
    </x:row>
    <x:row r="2140" ht="42" customHeight="1">
      <x:c r="A2140" s="12" t="str">
        <x:v>DP5-B</x:v>
      </x:c>
      <x:c r="B2140" s="12" t="str">
        <x:v>U23</x:v>
      </x:c>
      <x:c r="C2140" s="12" t="str">
        <x:v>relation_unused</x:v>
      </x:c>
      <x:c r="D2140" s="12" t="str">
        <x:v>같은 이력의 미사용 관계 생산</x:v>
      </x:c>
      <x:c r="E2140" s="12" t="str">
        <x:v>via</x:v>
      </x:c>
      <x:c r="F2140" s="13" t="n">
        <x:v>-8</x:v>
      </x:c>
      <x:c r="G2140" s="13" t="n">
        <x:v>-6</x:v>
      </x:c>
      <x:c r="H2140" s="13" t="n">
        <x:v>2</x:v>
      </x:c>
      <x:c r="I2140" s="13" t="n">
        <x:v>0</x:v>
      </x:c>
      <x:c r="J2140" s="12" t="str"/>
      <x:c r="K2140" s="12" t="str">
        <x:v>semantic</x:v>
      </x:c>
      <x:c r="L2140" s="13" t="n">
        <x:f>IF(G2140&lt;=I2140,0,MAX(0)+IF(E2140="via",MAX(0,G2140-MAX(F2140,I2140)),0))</x:f>
        <x:v>0</x:v>
      </x:c>
    </x:row>
    <x:row r="2141" ht="42" customHeight="1">
      <x:c r="A2141" s="7" t="str">
        <x:v>DP5-B</x:v>
      </x:c>
      <x:c r="B2141" s="7" t="str">
        <x:v>U23</x:v>
      </x:c>
      <x:c r="C2141" s="7" t="str">
        <x:v>read</x:v>
      </x:c>
      <x:c r="D2141" s="7" t="str">
        <x:v>공통 허용 원본 조회</x:v>
      </x:c>
      <x:c r="E2141" s="7" t="str">
        <x:v>via</x:v>
      </x:c>
      <x:c r="F2141" s="14" t="n">
        <x:v>0.06</x:v>
      </x:c>
      <x:c r="G2141" s="14" t="n">
        <x:v>0.14</x:v>
      </x:c>
      <x:c r="H2141" s="14" t="n">
        <x:v>0.08</x:v>
      </x:c>
      <x:c r="I2141" s="14" t="n">
        <x:v>0</x:v>
      </x:c>
      <x:c r="J2141" s="7" t="str">
        <x:v>intake</x:v>
      </x:c>
      <x:c r="K2141" s="7" t="str">
        <x:v>none</x:v>
      </x:c>
      <x:c r="L2141" s="14" t="n">
        <x:f>IF(G2141&lt;=I2141,0,MAX(0,L2138)+IF(E2141="via",MAX(0,G2141-MAX(F2141,I2141)),0))</x:f>
        <x:v>0.14</x:v>
      </x:c>
    </x:row>
    <x:row r="2142" ht="42" customHeight="1">
      <x:c r="A2142" s="12" t="str">
        <x:v>DP5-B</x:v>
      </x:c>
      <x:c r="B2142" s="12" t="str">
        <x:v>U23</x:v>
      </x:c>
      <x:c r="C2142" s="12" t="str">
        <x:v>meaning</x:v>
      </x:c>
      <x:c r="D2142" s="12" t="str">
        <x:v>최초 요청 의미 채택 packet 생성</x:v>
      </x:c>
      <x:c r="E2142" s="12" t="str">
        <x:v>via</x:v>
      </x:c>
      <x:c r="F2142" s="13" t="n">
        <x:v>0.14</x:v>
      </x:c>
      <x:c r="G2142" s="13" t="n">
        <x:v>1.3000000000000003</x:v>
      </x:c>
      <x:c r="H2142" s="13" t="n">
        <x:v>1.1600000000000001</x:v>
      </x:c>
      <x:c r="I2142" s="13" t="n">
        <x:v>0</x:v>
      </x:c>
      <x:c r="J2142" s="12" t="str">
        <x:v>read, relation_prior</x:v>
      </x:c>
      <x:c r="K2142" s="12" t="str">
        <x:v>semantic</x:v>
      </x:c>
      <x:c r="L2142" s="13" t="n">
        <x:f>IF(G2142&lt;=I2142,0,MAX(0,L2141,L2139)+IF(E2142="via",MAX(0,G2142-MAX(F2142,I2142)),0))</x:f>
        <x:v>1.3000000000000003</x:v>
      </x:c>
    </x:row>
    <x:row r="2143" ht="42" customHeight="1">
      <x:c r="A2143" s="7" t="str">
        <x:v>DP5-B</x:v>
      </x:c>
      <x:c r="B2143" s="7" t="str">
        <x:v>U23</x:v>
      </x:c>
      <x:c r="C2143" s="7" t="str">
        <x:v>adopt</x:v>
      </x:c>
      <x:c r="D2143" s="7" t="str">
        <x:v>현재 revision과 권한 검사 및 채택</x:v>
      </x:c>
      <x:c r="E2143" s="7" t="str">
        <x:v>via</x:v>
      </x:c>
      <x:c r="F2143" s="14" t="n">
        <x:v>1.3000000000000003</x:v>
      </x:c>
      <x:c r="G2143" s="14" t="n">
        <x:v>1.3300000000000003</x:v>
      </x:c>
      <x:c r="H2143" s="14" t="n">
        <x:v>0.03</x:v>
      </x:c>
      <x:c r="I2143" s="14" t="n">
        <x:v>0</x:v>
      </x:c>
      <x:c r="J2143" s="7" t="str">
        <x:v>meaning</x:v>
      </x:c>
      <x:c r="K2143" s="7" t="str">
        <x:v>none</x:v>
      </x:c>
      <x:c r="L2143" s="14" t="n">
        <x:f>IF(G2143&lt;=I2143,0,MAX(0,L2142)+IF(E2143="via",MAX(0,G2143-MAX(F2143,I2143)),0))</x:f>
        <x:v>1.3300000000000003</x:v>
      </x:c>
    </x:row>
    <x:row r="2144" ht="42" customHeight="1">
      <x:c r="A2144" s="12" t="str">
        <x:v>DP5-B</x:v>
      </x:c>
      <x:c r="B2144" s="12" t="str">
        <x:v>U23</x:v>
      </x:c>
      <x:c r="C2144" s="12" t="str">
        <x:v>first_display</x:v>
      </x:c>
      <x:c r="D2144" s="12" t="str">
        <x:v>첫 구체적 채택 내용 화면 표시</x:v>
      </x:c>
      <x:c r="E2144" s="12" t="str">
        <x:v>via</x:v>
      </x:c>
      <x:c r="F2144" s="13" t="n">
        <x:v>1.3300000000000003</x:v>
      </x:c>
      <x:c r="G2144" s="13" t="n">
        <x:v>1.3700000000000003</x:v>
      </x:c>
      <x:c r="H2144" s="13" t="n">
        <x:v>0.04</x:v>
      </x:c>
      <x:c r="I2144" s="13" t="n">
        <x:v>0</x:v>
      </x:c>
      <x:c r="J2144" s="12" t="str">
        <x:v>adopt</x:v>
      </x:c>
      <x:c r="K2144" s="12" t="str">
        <x:v>none</x:v>
      </x:c>
      <x:c r="L2144" s="13" t="n">
        <x:f>IF(G2144&lt;=I2144,0,MAX(0,L2143)+IF(E2144="via",MAX(0,G2144-MAX(F2144,I2144)),0))</x:f>
        <x:v>1.3700000000000003</x:v>
      </x:c>
    </x:row>
    <x:row r="2145" ht="42" customHeight="1">
      <x:c r="A2145" s="7" t="str">
        <x:v>DP5-B</x:v>
      </x:c>
      <x:c r="B2145" s="7" t="str">
        <x:v>U23</x:v>
      </x:c>
      <x:c r="C2145" s="7" t="str">
        <x:v>agent_ingress</x:v>
      </x:c>
      <x:c r="D2145" s="7" t="str">
        <x:v>Agent 요청 전송</x:v>
      </x:c>
      <x:c r="E2145" s="7" t="str">
        <x:v>via</x:v>
      </x:c>
      <x:c r="F2145" s="14" t="n">
        <x:v>1.3300000000000003</x:v>
      </x:c>
      <x:c r="G2145" s="14" t="n">
        <x:v>1.3700000000000003</x:v>
      </x:c>
      <x:c r="H2145" s="14" t="n">
        <x:v>0.04</x:v>
      </x:c>
      <x:c r="I2145" s="14" t="n">
        <x:v>0</x:v>
      </x:c>
      <x:c r="J2145" s="7" t="str">
        <x:v>adopt</x:v>
      </x:c>
      <x:c r="K2145" s="7" t="str">
        <x:v>none</x:v>
      </x:c>
      <x:c r="L2145" s="14" t="n">
        <x:f>IF(G2145&lt;=I2145,0,MAX(0,L2143)+IF(E2145="via",MAX(0,G2145-MAX(F2145,I2145)),0))</x:f>
        <x:v>1.3700000000000003</x:v>
      </x:c>
    </x:row>
    <x:row r="2146" ht="42" customHeight="1">
      <x:c r="A2146" s="12" t="str">
        <x:v>DP5-B</x:v>
      </x:c>
      <x:c r="B2146" s="12" t="str">
        <x:v>U23</x:v>
      </x:c>
      <x:c r="C2146" s="12" t="str">
        <x:v>agent_result</x:v>
      </x:c>
      <x:c r="D2146" s="12" t="str">
        <x:v>외부 Agent 업무</x:v>
      </x:c>
      <x:c r="E2146" s="12" t="str">
        <x:v>external</x:v>
      </x:c>
      <x:c r="F2146" s="13" t="n">
        <x:v>1.3700000000000003</x:v>
      </x:c>
      <x:c r="G2146" s="13" t="n">
        <x:v>9.370000000000001</x:v>
      </x:c>
      <x:c r="H2146" s="13" t="n">
        <x:v>8</x:v>
      </x:c>
      <x:c r="I2146" s="13" t="n">
        <x:v>0</x:v>
      </x:c>
      <x:c r="J2146" s="12" t="str">
        <x:v>agent_ingress</x:v>
      </x:c>
      <x:c r="K2146" s="12" t="str">
        <x:v>none</x:v>
      </x:c>
      <x:c r="L2146" s="13" t="n">
        <x:f>IF(G2146&lt;=I2146,0,MAX(0,L2145)+IF(E2146="via",MAX(0,G2146-MAX(F2146,I2146)),0))</x:f>
        <x:v>1.3700000000000003</x:v>
      </x:c>
    </x:row>
    <x:row r="2147" ht="42" customHeight="1">
      <x:c r="A2147" s="7" t="str">
        <x:v>DP5-B</x:v>
      </x:c>
      <x:c r="B2147" s="7" t="str">
        <x:v>U23</x:v>
      </x:c>
      <x:c r="C2147" s="7" t="str">
        <x:v>result_display</x:v>
      </x:c>
      <x:c r="D2147" s="7" t="str">
        <x:v>최종 결과 상세 표시</x:v>
      </x:c>
      <x:c r="E2147" s="7" t="str">
        <x:v>via</x:v>
      </x:c>
      <x:c r="F2147" s="14" t="n">
        <x:v>9.370000000000001</x:v>
      </x:c>
      <x:c r="G2147" s="14" t="n">
        <x:v>9.41</x:v>
      </x:c>
      <x:c r="H2147" s="14" t="n">
        <x:v>0.04</x:v>
      </x:c>
      <x:c r="I2147" s="14" t="n">
        <x:v>0</x:v>
      </x:c>
      <x:c r="J2147" s="7" t="str">
        <x:v>agent_result</x:v>
      </x:c>
      <x:c r="K2147" s="7" t="str">
        <x:v>none</x:v>
      </x:c>
      <x:c r="L2147" s="14" t="n">
        <x:f>IF(G2147&lt;=I2147,0,MAX(0,L2146)+IF(E2147="via",MAX(0,G2147-MAX(F2147,I2147)),0))</x:f>
        <x:v>1.4099999999999995</x:v>
      </x:c>
    </x:row>
    <x:row r="2148" ht="42" customHeight="1">
      <x:c r="A2148" s="12" t="str">
        <x:v>DP5-B</x:v>
      </x:c>
      <x:c r="B2148" s="12" t="str">
        <x:v>U23</x:v>
      </x:c>
      <x:c r="C2148" s="12" t="str">
        <x:v>question_arrival</x:v>
      </x:c>
      <x:c r="D2148" s="12" t="str">
        <x:v>Agent 질문 텍스트 도착</x:v>
      </x:c>
      <x:c r="E2148" s="12" t="str">
        <x:v>external</x:v>
      </x:c>
      <x:c r="F2148" s="13" t="n">
        <x:v>-2</x:v>
      </x:c>
      <x:c r="G2148" s="13" t="n">
        <x:v>-2</x:v>
      </x:c>
      <x:c r="H2148" s="13" t="n">
        <x:v>0</x:v>
      </x:c>
      <x:c r="I2148" s="13" t="n">
        <x:v>0</x:v>
      </x:c>
      <x:c r="J2148" s="12" t="str"/>
      <x:c r="K2148" s="12" t="str">
        <x:v>none</x:v>
      </x:c>
      <x:c r="L2148" s="13" t="n">
        <x:f>IF(G2148&lt;=I2148,0,MAX(0)+IF(E2148="via",MAX(0,G2148-MAX(F2148,I2148)),0))</x:f>
        <x:v>0</x:v>
      </x:c>
    </x:row>
    <x:row r="2149" ht="42" customHeight="1">
      <x:c r="A2149" s="7" t="str">
        <x:v>DP5-B</x:v>
      </x:c>
      <x:c r="B2149" s="7" t="str">
        <x:v>U23</x:v>
      </x:c>
      <x:c r="C2149" s="7" t="str">
        <x:v>question_audio</x:v>
      </x:c>
      <x:c r="D2149" s="7" t="str">
        <x:v>선택한 응답 음성 생성</x:v>
      </x:c>
      <x:c r="E2149" s="7" t="str">
        <x:v>via</x:v>
      </x:c>
      <x:c r="F2149" s="14" t="n">
        <x:v>-2</x:v>
      </x:c>
      <x:c r="G2149" s="14" t="n">
        <x:v>-0.1120000000000001</x:v>
      </x:c>
      <x:c r="H2149" s="14" t="n">
        <x:v>1.888</x:v>
      </x:c>
      <x:c r="I2149" s="14" t="n">
        <x:v>0</x:v>
      </x:c>
      <x:c r="J2149" s="7" t="str">
        <x:v>question_arrival</x:v>
      </x:c>
      <x:c r="K2149" s="7" t="str">
        <x:v>speech</x:v>
      </x:c>
      <x:c r="L2149" s="14" t="n">
        <x:f>IF(G2149&lt;=I2149,0,MAX(0,L2148)+IF(E2149="via",MAX(0,G2149-MAX(F2149,I2149)),0))</x:f>
        <x:v>0</x:v>
      </x:c>
    </x:row>
    <x:row r="2150" ht="42" customHeight="1">
      <x:c r="A2150" s="12" t="str">
        <x:v>DP5-B</x:v>
      </x:c>
      <x:c r="B2150" s="12" t="str">
        <x:v>U23</x:v>
      </x:c>
      <x:c r="C2150" s="12" t="str">
        <x:v>final_result_audio</x:v>
      </x:c>
      <x:c r="D2150" s="12" t="str">
        <x:v>새 업무 최종 결과 음성 준비</x:v>
      </x:c>
      <x:c r="E2150" s="12" t="str">
        <x:v>via</x:v>
      </x:c>
      <x:c r="F2150" s="13" t="n">
        <x:v>9.370000000000001</x:v>
      </x:c>
      <x:c r="G2150" s="13" t="n">
        <x:v>11.258000000000001</x:v>
      </x:c>
      <x:c r="H2150" s="13" t="n">
        <x:v>1.888</x:v>
      </x:c>
      <x:c r="I2150" s="13" t="n">
        <x:v>0</x:v>
      </x:c>
      <x:c r="J2150" s="12" t="str">
        <x:v>agent_result</x:v>
      </x:c>
      <x:c r="K2150" s="12" t="str">
        <x:v>speech</x:v>
      </x:c>
      <x:c r="L2150" s="13" t="n">
        <x:f>IF(G2150&lt;=I2150,0,MAX(0,L2146)+IF(E2150="via",MAX(0,G2150-MAX(F2150,I2150)),0))</x:f>
        <x:v>3.258</x:v>
      </x:c>
    </x:row>
    <x:row r="2151" ht="42" customHeight="1">
      <x:c r="A2151" s="7" t="str">
        <x:v>DP5-B</x:v>
      </x:c>
      <x:c r="B2151" s="7" t="str">
        <x:v>U23</x:v>
      </x:c>
      <x:c r="C2151" s="7" t="str">
        <x:v>first_chunk</x:v>
      </x:c>
      <x:c r="D2151" s="7" t="str">
        <x:v>같은 생성 job의 유효 첫 chunk 관측</x:v>
      </x:c>
      <x:c r="E2151" s="7" t="str">
        <x:v>via</x:v>
      </x:c>
      <x:c r="F2151" s="14" t="n">
        <x:v>-2</x:v>
      </x:c>
      <x:c r="G2151" s="14" t="n">
        <x:v>-1.562</x:v>
      </x:c>
      <x:c r="H2151" s="14" t="n">
        <x:v>0.438</x:v>
      </x:c>
      <x:c r="I2151" s="14" t="n">
        <x:v>0</x:v>
      </x:c>
      <x:c r="J2151" s="7" t="str">
        <x:v>question_arrival</x:v>
      </x:c>
      <x:c r="K2151" s="7" t="str">
        <x:v>none</x:v>
      </x:c>
      <x:c r="L2151" s="14" t="n">
        <x:f>IF(G2151&lt;=I2151,0,MAX(0,L2148)+IF(E2151="via",MAX(0,G2151-MAX(F2151,I2151)),0))</x:f>
        <x:v>0</x:v>
      </x:c>
    </x:row>
    <x:row r="2152" ht="42" customHeight="1">
      <x:c r="A2152" s="12" t="str">
        <x:v>DP5-B</x:v>
      </x:c>
      <x:c r="B2152" s="12" t="str">
        <x:v>U23</x:v>
      </x:c>
      <x:c r="C2152" s="12" t="str">
        <x:v>first_audio_output</x:v>
      </x:c>
      <x:c r="D2152" s="12" t="str">
        <x:v>공통 장치의 첫 음성 출력</x:v>
      </x:c>
      <x:c r="E2152" s="12" t="str">
        <x:v>via</x:v>
      </x:c>
      <x:c r="F2152" s="13" t="n">
        <x:v>1.3300000000000003</x:v>
      </x:c>
      <x:c r="G2152" s="13" t="n">
        <x:v>1.3700000000000003</x:v>
      </x:c>
      <x:c r="H2152" s="13" t="n">
        <x:v>0.04</x:v>
      </x:c>
      <x:c r="I2152" s="13" t="n">
        <x:v>0</x:v>
      </x:c>
      <x:c r="J2152" s="12" t="str">
        <x:v>adopt, first_chunk</x:v>
      </x:c>
      <x:c r="K2152" s="12" t="str">
        <x:v>none</x:v>
      </x:c>
      <x:c r="L2152" s="13" t="n">
        <x:f>IF(G2152&lt;=I2152,0,MAX(0,L2143,L2151)+IF(E2152="via",MAX(0,G2152-MAX(F2152,I2152)),0))</x:f>
        <x:v>1.3700000000000003</x:v>
      </x:c>
    </x:row>
    <x:row r="2153" ht="42" customHeight="1">
      <x:c r="A2153" s="7" t="str">
        <x:v>DP5-B</x:v>
      </x:c>
      <x:c r="B2153" s="7" t="str">
        <x:v>U23</x:v>
      </x:c>
      <x:c r="C2153" s="7" t="str">
        <x:v>next_speech_selection</x:v>
      </x:c>
      <x:c r="D2153" s="7" t="str">
        <x:v>현재 발화 재생 후 다음 응답 선택</x:v>
      </x:c>
      <x:c r="E2153" s="7" t="str">
        <x:v>external</x:v>
      </x:c>
      <x:c r="F2153" s="14" t="n">
        <x:v>1.3700000000000003</x:v>
      </x:c>
      <x:c r="G2153" s="14" t="n">
        <x:v>7.37</x:v>
      </x:c>
      <x:c r="H2153" s="14" t="n">
        <x:v>6</x:v>
      </x:c>
      <x:c r="I2153" s="14" t="n">
        <x:v>0</x:v>
      </x:c>
      <x:c r="J2153" s="7" t="str">
        <x:v>first_audio_output</x:v>
      </x:c>
      <x:c r="K2153" s="7" t="str">
        <x:v>none</x:v>
      </x:c>
      <x:c r="L2153" s="14" t="n">
        <x:f>IF(G2153&lt;=I2153,0,MAX(0,L2152)+IF(E2153="via",MAX(0,G2153-MAX(F2153,I2153)),0))</x:f>
        <x:v>1.3700000000000003</x:v>
      </x:c>
    </x:row>
    <x:row r="2154" ht="42" customHeight="1">
      <x:c r="A2154" s="12" t="str">
        <x:v>DP5-B</x:v>
      </x:c>
      <x:c r="B2154" s="12" t="str">
        <x:v>U23</x:v>
      </x:c>
      <x:c r="C2154" s="12" t="str">
        <x:v>terminal</x:v>
      </x:c>
      <x:c r="D2154" s="12" t="str">
        <x:v>공통 목표 최종 상태와 전체 음성 준비</x:v>
      </x:c>
      <x:c r="E2154" s="12" t="str">
        <x:v>via</x:v>
      </x:c>
      <x:c r="F2154" s="13" t="n">
        <x:v>11.258000000000001</x:v>
      </x:c>
      <x:c r="G2154" s="13" t="n">
        <x:v>11.258000000000001</x:v>
      </x:c>
      <x:c r="H2154" s="13" t="n">
        <x:v>0</x:v>
      </x:c>
      <x:c r="I2154" s="13" t="n">
        <x:v>0</x:v>
      </x:c>
      <x:c r="J2154" s="12" t="str">
        <x:v>result_display, question_audio, first_audio_output, final_result_audio</x:v>
      </x:c>
      <x:c r="K2154" s="12" t="str">
        <x:v>none</x:v>
      </x:c>
      <x:c r="L2154" s="13" t="n">
        <x:f>IF(G2154&lt;=I2154,0,MAX(0,L2147,L2149,L2152,L2150)+IF(E2154="via",MAX(0,G2154-MAX(F2154,I2154)),0))</x:f>
        <x:v>3.258</x:v>
      </x:c>
    </x:row>
    <x:row r="2155" ht="42" customHeight="1">
      <x:c r="A2155" s="7" t="str">
        <x:v>DP5-B</x:v>
      </x:c>
      <x:c r="B2155" s="7" t="str">
        <x:v>U24</x:v>
      </x:c>
      <x:c r="C2155" s="7" t="str">
        <x:v>bg1</x:v>
      </x:c>
      <x:c r="D2155" s="7" t="str">
        <x:v>진행 중인 현재 대화의 의미 step</x:v>
      </x:c>
      <x:c r="E2155" s="7" t="str">
        <x:v>via</x:v>
      </x:c>
      <x:c r="F2155" s="14" t="n">
        <x:v>-1</x:v>
      </x:c>
      <x:c r="G2155" s="14" t="n">
        <x:v>2.4</x:v>
      </x:c>
      <x:c r="H2155" s="14" t="n">
        <x:v>3.4</x:v>
      </x:c>
      <x:c r="I2155" s="14" t="n">
        <x:v>-6</x:v>
      </x:c>
      <x:c r="J2155" s="7" t="str">
        <x:v>original_work</x:v>
      </x:c>
      <x:c r="K2155" s="7" t="str">
        <x:v>semantic</x:v>
      </x:c>
      <x:c r="L2155" s="14" t="n">
        <x:f>IF(G2155&lt;=I2155,0,MAX(0,L2156)+IF(E2155="via",MAX(0,G2155-MAX(F2155,I2155)),0))</x:f>
        <x:v>5.4</x:v>
      </x:c>
    </x:row>
    <x:row r="2156" ht="42" customHeight="1">
      <x:c r="A2156" s="12" t="str">
        <x:v>DP5-B</x:v>
      </x:c>
      <x:c r="B2156" s="12" t="str">
        <x:v>U24</x:v>
      </x:c>
      <x:c r="C2156" s="12" t="str">
        <x:v>original_work</x:v>
      </x:c>
      <x:c r="D2156" s="12" t="str">
        <x:v>원래 목표의 최초 VIA 처리</x:v>
      </x:c>
      <x:c r="E2156" s="12" t="str">
        <x:v>via</x:v>
      </x:c>
      <x:c r="F2156" s="13" t="n">
        <x:v>-6</x:v>
      </x:c>
      <x:c r="G2156" s="13" t="n">
        <x:v>-4</x:v>
      </x:c>
      <x:c r="H2156" s="13" t="n">
        <x:v>2</x:v>
      </x:c>
      <x:c r="I2156" s="13" t="n">
        <x:v>-6</x:v>
      </x:c>
      <x:c r="J2156" s="12" t="str"/>
      <x:c r="K2156" s="12" t="str">
        <x:v>none</x:v>
      </x:c>
      <x:c r="L2156" s="13" t="n">
        <x:f>IF(G2156&lt;=I2156,0,MAX(0)+IF(E2156="via",MAX(0,G2156-MAX(F2156,I2156)),0))</x:f>
        <x:v>2</x:v>
      </x:c>
    </x:row>
    <x:row r="2157" ht="42" customHeight="1">
      <x:c r="A2157" s="7" t="str">
        <x:v>DP5-B</x:v>
      </x:c>
      <x:c r="B2157" s="7" t="str">
        <x:v>U24</x:v>
      </x:c>
      <x:c r="C2157" s="7" t="str">
        <x:v>input_end</x:v>
      </x:c>
      <x:c r="D2157" s="7" t="str">
        <x:v>사용자 입력 종료</x:v>
      </x:c>
      <x:c r="E2157" s="7" t="str">
        <x:v>external</x:v>
      </x:c>
      <x:c r="F2157" s="14" t="n">
        <x:v>0</x:v>
      </x:c>
      <x:c r="G2157" s="14" t="n">
        <x:v>0</x:v>
      </x:c>
      <x:c r="H2157" s="14" t="n">
        <x:v>0</x:v>
      </x:c>
      <x:c r="I2157" s="14" t="n">
        <x:v>-6</x:v>
      </x:c>
      <x:c r="J2157" s="7" t="str">
        <x:v>original_work</x:v>
      </x:c>
      <x:c r="K2157" s="7" t="str">
        <x:v>none</x:v>
      </x:c>
      <x:c r="L2157" s="14" t="n">
        <x:f>IF(G2157&lt;=I2157,0,MAX(0,L2156)+IF(E2157="via",MAX(0,G2157-MAX(F2157,I2157)),0))</x:f>
        <x:v>2</x:v>
      </x:c>
    </x:row>
    <x:row r="2158" ht="42" customHeight="1">
      <x:c r="A2158" s="12" t="str">
        <x:v>DP5-B</x:v>
      </x:c>
      <x:c r="B2158" s="12" t="str">
        <x:v>U24</x:v>
      </x:c>
      <x:c r="C2158" s="12" t="str">
        <x:v>intake</x:v>
      </x:c>
      <x:c r="D2158" s="12" t="str">
        <x:v>입력 확정</x:v>
      </x:c>
      <x:c r="E2158" s="12" t="str">
        <x:v>via</x:v>
      </x:c>
      <x:c r="F2158" s="13" t="n">
        <x:v>0</x:v>
      </x:c>
      <x:c r="G2158" s="13" t="n">
        <x:v>0.3</x:v>
      </x:c>
      <x:c r="H2158" s="13" t="n">
        <x:v>0.3</x:v>
      </x:c>
      <x:c r="I2158" s="13" t="n">
        <x:v>-6</x:v>
      </x:c>
      <x:c r="J2158" s="12" t="str">
        <x:v>input_end</x:v>
      </x:c>
      <x:c r="K2158" s="12" t="str">
        <x:v>none</x:v>
      </x:c>
      <x:c r="L2158" s="13" t="n">
        <x:f>IF(G2158&lt;=I2158,0,MAX(0,L2157)+IF(E2158="via",MAX(0,G2158-MAX(F2158,I2158)),0))</x:f>
        <x:v>2.3</x:v>
      </x:c>
    </x:row>
    <x:row r="2159" ht="42" customHeight="1">
      <x:c r="A2159" s="7" t="str">
        <x:v>DP5-B</x:v>
      </x:c>
      <x:c r="B2159" s="7" t="str">
        <x:v>U24</x:v>
      </x:c>
      <x:c r="C2159" s="7" t="str">
        <x:v>relation_prior</x:v>
      </x:c>
      <x:c r="D2159" s="7" t="str">
        <x:v>미확정 피드백 관계 사전 생산</x:v>
      </x:c>
      <x:c r="E2159" s="7" t="str">
        <x:v>via</x:v>
      </x:c>
      <x:c r="F2159" s="14" t="n">
        <x:v>-8</x:v>
      </x:c>
      <x:c r="G2159" s="14" t="n">
        <x:v>-6</x:v>
      </x:c>
      <x:c r="H2159" s="14" t="n">
        <x:v>2</x:v>
      </x:c>
      <x:c r="I2159" s="14" t="n">
        <x:v>-6</x:v>
      </x:c>
      <x:c r="J2159" s="7" t="str"/>
      <x:c r="K2159" s="7" t="str">
        <x:v>semantic</x:v>
      </x:c>
      <x:c r="L2159" s="14" t="n">
        <x:f>IF(G2159&lt;=I2159,0,MAX(0)+IF(E2159="via",MAX(0,G2159-MAX(F2159,I2159)),0))</x:f>
        <x:v>0</x:v>
      </x:c>
    </x:row>
    <x:row r="2160" ht="42" customHeight="1">
      <x:c r="A2160" s="12" t="str">
        <x:v>DP5-B</x:v>
      </x:c>
      <x:c r="B2160" s="12" t="str">
        <x:v>U24</x:v>
      </x:c>
      <x:c r="C2160" s="12" t="str">
        <x:v>relation_unused</x:v>
      </x:c>
      <x:c r="D2160" s="12" t="str">
        <x:v>같은 이력의 미사용 관계 생산</x:v>
      </x:c>
      <x:c r="E2160" s="12" t="str">
        <x:v>via</x:v>
      </x:c>
      <x:c r="F2160" s="13" t="n">
        <x:v>-8</x:v>
      </x:c>
      <x:c r="G2160" s="13" t="n">
        <x:v>-6</x:v>
      </x:c>
      <x:c r="H2160" s="13" t="n">
        <x:v>2</x:v>
      </x:c>
      <x:c r="I2160" s="13" t="n">
        <x:v>-6</x:v>
      </x:c>
      <x:c r="J2160" s="12" t="str"/>
      <x:c r="K2160" s="12" t="str">
        <x:v>semantic</x:v>
      </x:c>
      <x:c r="L2160" s="13" t="n">
        <x:f>IF(G2160&lt;=I2160,0,MAX(0)+IF(E2160="via",MAX(0,G2160-MAX(F2160,I2160)),0))</x:f>
        <x:v>0</x:v>
      </x:c>
    </x:row>
    <x:row r="2161" ht="42" customHeight="1">
      <x:c r="A2161" s="7" t="str">
        <x:v>DP5-B</x:v>
      </x:c>
      <x:c r="B2161" s="7" t="str">
        <x:v>U24</x:v>
      </x:c>
      <x:c r="C2161" s="7" t="str">
        <x:v>relation_update</x:v>
      </x:c>
      <x:c r="D2161" s="7" t="str">
        <x:v>정정 원본 관계 갱신</x:v>
      </x:c>
      <x:c r="E2161" s="7" t="str">
        <x:v>via</x:v>
      </x:c>
      <x:c r="F2161" s="14" t="n">
        <x:v>-0.2</x:v>
      </x:c>
      <x:c r="G2161" s="14" t="n">
        <x:v>1.8</x:v>
      </x:c>
      <x:c r="H2161" s="14" t="n">
        <x:v>2</x:v>
      </x:c>
      <x:c r="I2161" s="14" t="n">
        <x:v>-6</x:v>
      </x:c>
      <x:c r="J2161" s="7" t="str"/>
      <x:c r="K2161" s="7" t="str">
        <x:v>semantic</x:v>
      </x:c>
      <x:c r="L2161" s="14" t="n">
        <x:f>IF(G2161&lt;=I2161,0,MAX(0)+IF(E2161="via",MAX(0,G2161-MAX(F2161,I2161)),0))</x:f>
        <x:v>2</x:v>
      </x:c>
    </x:row>
    <x:row r="2162" ht="42" customHeight="1">
      <x:c r="A2162" s="12" t="str">
        <x:v>DP5-B</x:v>
      </x:c>
      <x:c r="B2162" s="12" t="str">
        <x:v>U24</x:v>
      </x:c>
      <x:c r="C2162" s="12" t="str">
        <x:v>read</x:v>
      </x:c>
      <x:c r="D2162" s="12" t="str">
        <x:v>공통 허용 원본 조회</x:v>
      </x:c>
      <x:c r="E2162" s="12" t="str">
        <x:v>via</x:v>
      </x:c>
      <x:c r="F2162" s="13" t="n">
        <x:v>0.3</x:v>
      </x:c>
      <x:c r="G2162" s="13" t="n">
        <x:v>0.38</x:v>
      </x:c>
      <x:c r="H2162" s="13" t="n">
        <x:v>0.08</x:v>
      </x:c>
      <x:c r="I2162" s="13" t="n">
        <x:v>-6</x:v>
      </x:c>
      <x:c r="J2162" s="12" t="str">
        <x:v>intake</x:v>
      </x:c>
      <x:c r="K2162" s="12" t="str">
        <x:v>none</x:v>
      </x:c>
      <x:c r="L2162" s="13" t="n">
        <x:f>IF(G2162&lt;=I2162,0,MAX(0,L2158)+IF(E2162="via",MAX(0,G2162-MAX(F2162,I2162)),0))</x:f>
        <x:v>2.38</x:v>
      </x:c>
    </x:row>
    <x:row r="2163" ht="42" customHeight="1">
      <x:c r="A2163" s="7" t="str">
        <x:v>DP5-B</x:v>
      </x:c>
      <x:c r="B2163" s="7" t="str">
        <x:v>U24</x:v>
      </x:c>
      <x:c r="C2163" s="7" t="str">
        <x:v>meaning</x:v>
      </x:c>
      <x:c r="D2163" s="7" t="str">
        <x:v>최초 요청 의미 채택 packet 생성</x:v>
      </x:c>
      <x:c r="E2163" s="7" t="str">
        <x:v>via</x:v>
      </x:c>
      <x:c r="F2163" s="14" t="n">
        <x:v>2.4</x:v>
      </x:c>
      <x:c r="G2163" s="14" t="n">
        <x:v>4.5</x:v>
      </x:c>
      <x:c r="H2163" s="14" t="n">
        <x:v>2.1</x:v>
      </x:c>
      <x:c r="I2163" s="14" t="n">
        <x:v>-6</x:v>
      </x:c>
      <x:c r="J2163" s="7" t="str">
        <x:v>read, bg1</x:v>
      </x:c>
      <x:c r="K2163" s="7" t="str">
        <x:v>semantic</x:v>
      </x:c>
      <x:c r="L2163" s="14" t="n">
        <x:f>IF(G2163&lt;=I2163,0,MAX(0,L2162,L2155)+IF(E2163="via",MAX(0,G2163-MAX(F2163,I2163)),0))</x:f>
        <x:v>7.5</x:v>
      </x:c>
    </x:row>
    <x:row r="2164" ht="42" customHeight="1">
      <x:c r="A2164" s="12" t="str">
        <x:v>DP5-B</x:v>
      </x:c>
      <x:c r="B2164" s="12" t="str">
        <x:v>U24</x:v>
      </x:c>
      <x:c r="C2164" s="12" t="str">
        <x:v>adopt</x:v>
      </x:c>
      <x:c r="D2164" s="12" t="str">
        <x:v>현재 revision과 권한 검사 및 채택</x:v>
      </x:c>
      <x:c r="E2164" s="12" t="str">
        <x:v>via</x:v>
      </x:c>
      <x:c r="F2164" s="13" t="n">
        <x:v>4.5</x:v>
      </x:c>
      <x:c r="G2164" s="13" t="n">
        <x:v>4.53</x:v>
      </x:c>
      <x:c r="H2164" s="13" t="n">
        <x:v>0.03</x:v>
      </x:c>
      <x:c r="I2164" s="13" t="n">
        <x:v>-6</x:v>
      </x:c>
      <x:c r="J2164" s="12" t="str">
        <x:v>meaning</x:v>
      </x:c>
      <x:c r="K2164" s="12" t="str">
        <x:v>none</x:v>
      </x:c>
      <x:c r="L2164" s="13" t="n">
        <x:f>IF(G2164&lt;=I2164,0,MAX(0,L2163)+IF(E2164="via",MAX(0,G2164-MAX(F2164,I2164)),0))</x:f>
        <x:v>7.53</x:v>
      </x:c>
    </x:row>
    <x:row r="2165" ht="42" customHeight="1">
      <x:c r="A2165" s="7" t="str">
        <x:v>DP5-B</x:v>
      </x:c>
      <x:c r="B2165" s="7" t="str">
        <x:v>U24</x:v>
      </x:c>
      <x:c r="C2165" s="7" t="str">
        <x:v>first_display</x:v>
      </x:c>
      <x:c r="D2165" s="7" t="str">
        <x:v>첫 구체적 채택 내용 화면 표시</x:v>
      </x:c>
      <x:c r="E2165" s="7" t="str">
        <x:v>via</x:v>
      </x:c>
      <x:c r="F2165" s="14" t="n">
        <x:v>4.53</x:v>
      </x:c>
      <x:c r="G2165" s="14" t="n">
        <x:v>4.57</x:v>
      </x:c>
      <x:c r="H2165" s="14" t="n">
        <x:v>0.04</x:v>
      </x:c>
      <x:c r="I2165" s="14" t="n">
        <x:v>-6</x:v>
      </x:c>
      <x:c r="J2165" s="7" t="str">
        <x:v>adopt</x:v>
      </x:c>
      <x:c r="K2165" s="7" t="str">
        <x:v>none</x:v>
      </x:c>
      <x:c r="L2165" s="14" t="n">
        <x:f>IF(G2165&lt;=I2165,0,MAX(0,L2164)+IF(E2165="via",MAX(0,G2165-MAX(F2165,I2165)),0))</x:f>
        <x:v>7.57</x:v>
      </x:c>
    </x:row>
    <x:row r="2166" ht="42" customHeight="1">
      <x:c r="A2166" s="12" t="str">
        <x:v>DP5-B</x:v>
      </x:c>
      <x:c r="B2166" s="12" t="str">
        <x:v>U24</x:v>
      </x:c>
      <x:c r="C2166" s="12" t="str">
        <x:v>agent_ingress</x:v>
      </x:c>
      <x:c r="D2166" s="12" t="str">
        <x:v>Agent 요청 전송</x:v>
      </x:c>
      <x:c r="E2166" s="12" t="str">
        <x:v>via</x:v>
      </x:c>
      <x:c r="F2166" s="13" t="n">
        <x:v>4.53</x:v>
      </x:c>
      <x:c r="G2166" s="13" t="n">
        <x:v>4.57</x:v>
      </x:c>
      <x:c r="H2166" s="13" t="n">
        <x:v>0.04</x:v>
      </x:c>
      <x:c r="I2166" s="13" t="n">
        <x:v>-6</x:v>
      </x:c>
      <x:c r="J2166" s="12" t="str">
        <x:v>adopt</x:v>
      </x:c>
      <x:c r="K2166" s="12" t="str">
        <x:v>none</x:v>
      </x:c>
      <x:c r="L2166" s="13" t="n">
        <x:f>IF(G2166&lt;=I2166,0,MAX(0,L2164)+IF(E2166="via",MAX(0,G2166-MAX(F2166,I2166)),0))</x:f>
        <x:v>7.57</x:v>
      </x:c>
    </x:row>
    <x:row r="2167" ht="42" customHeight="1">
      <x:c r="A2167" s="7" t="str">
        <x:v>DP5-B</x:v>
      </x:c>
      <x:c r="B2167" s="7" t="str">
        <x:v>U24</x:v>
      </x:c>
      <x:c r="C2167" s="7" t="str">
        <x:v>agent_result</x:v>
      </x:c>
      <x:c r="D2167" s="7" t="str">
        <x:v>외부 Agent 업무</x:v>
      </x:c>
      <x:c r="E2167" s="7" t="str">
        <x:v>external</x:v>
      </x:c>
      <x:c r="F2167" s="14" t="n">
        <x:v>4.57</x:v>
      </x:c>
      <x:c r="G2167" s="14" t="n">
        <x:v>12.57</x:v>
      </x:c>
      <x:c r="H2167" s="14" t="n">
        <x:v>8</x:v>
      </x:c>
      <x:c r="I2167" s="14" t="n">
        <x:v>-6</x:v>
      </x:c>
      <x:c r="J2167" s="7" t="str">
        <x:v>agent_ingress</x:v>
      </x:c>
      <x:c r="K2167" s="7" t="str">
        <x:v>none</x:v>
      </x:c>
      <x:c r="L2167" s="14" t="n">
        <x:f>IF(G2167&lt;=I2167,0,MAX(0,L2166)+IF(E2167="via",MAX(0,G2167-MAX(F2167,I2167)),0))</x:f>
        <x:v>7.57</x:v>
      </x:c>
    </x:row>
    <x:row r="2168" ht="42" customHeight="1">
      <x:c r="A2168" s="12" t="str">
        <x:v>DP5-B</x:v>
      </x:c>
      <x:c r="B2168" s="12" t="str">
        <x:v>U24</x:v>
      </x:c>
      <x:c r="C2168" s="12" t="str">
        <x:v>result_display</x:v>
      </x:c>
      <x:c r="D2168" s="12" t="str">
        <x:v>최종 결과 상세 표시</x:v>
      </x:c>
      <x:c r="E2168" s="12" t="str">
        <x:v>via</x:v>
      </x:c>
      <x:c r="F2168" s="13" t="n">
        <x:v>12.57</x:v>
      </x:c>
      <x:c r="G2168" s="13" t="n">
        <x:v>12.61</x:v>
      </x:c>
      <x:c r="H2168" s="13" t="n">
        <x:v>0.04</x:v>
      </x:c>
      <x:c r="I2168" s="13" t="n">
        <x:v>-6</x:v>
      </x:c>
      <x:c r="J2168" s="12" t="str">
        <x:v>agent_result</x:v>
      </x:c>
      <x:c r="K2168" s="12" t="str">
        <x:v>none</x:v>
      </x:c>
      <x:c r="L2168" s="13" t="n">
        <x:f>IF(G2168&lt;=I2168,0,MAX(0,L2167)+IF(E2168="via",MAX(0,G2168-MAX(F2168,I2168)),0))</x:f>
        <x:v>7.609999999999999</x:v>
      </x:c>
    </x:row>
    <x:row r="2169" ht="42" customHeight="1">
      <x:c r="A2169" s="7" t="str">
        <x:v>DP5-B</x:v>
      </x:c>
      <x:c r="B2169" s="7" t="str">
        <x:v>U24</x:v>
      </x:c>
      <x:c r="C2169" s="7" t="str">
        <x:v>response_audio</x:v>
      </x:c>
      <x:c r="D2169" s="7" t="str">
        <x:v>선택한 응답 음성 생성</x:v>
      </x:c>
      <x:c r="E2169" s="7" t="str">
        <x:v>via</x:v>
      </x:c>
      <x:c r="F2169" s="14" t="n">
        <x:v>12.57</x:v>
      </x:c>
      <x:c r="G2169" s="14" t="n">
        <x:v>14.458</x:v>
      </x:c>
      <x:c r="H2169" s="14" t="n">
        <x:v>1.888</x:v>
      </x:c>
      <x:c r="I2169" s="14" t="n">
        <x:v>-6</x:v>
      </x:c>
      <x:c r="J2169" s="7" t="str">
        <x:v>agent_result</x:v>
      </x:c>
      <x:c r="K2169" s="7" t="str">
        <x:v>speech</x:v>
      </x:c>
      <x:c r="L2169" s="14" t="n">
        <x:f>IF(G2169&lt;=I2169,0,MAX(0,L2167)+IF(E2169="via",MAX(0,G2169-MAX(F2169,I2169)),0))</x:f>
        <x:v>9.458</x:v>
      </x:c>
    </x:row>
    <x:row r="2170" ht="42" customHeight="1">
      <x:c r="A2170" s="12" t="str">
        <x:v>DP5-B</x:v>
      </x:c>
      <x:c r="B2170" s="12" t="str">
        <x:v>U24</x:v>
      </x:c>
      <x:c r="C2170" s="12" t="str">
        <x:v>intent_audio</x:v>
      </x:c>
      <x:c r="D2170" s="12" t="str">
        <x:v>채택한 구체적 수행 의도의 짧은 음성</x:v>
      </x:c>
      <x:c r="E2170" s="12" t="str">
        <x:v>via</x:v>
      </x:c>
      <x:c r="F2170" s="13" t="n">
        <x:v>4.53</x:v>
      </x:c>
      <x:c r="G2170" s="13" t="n">
        <x:v>5.664</x:v>
      </x:c>
      <x:c r="H2170" s="13" t="n">
        <x:v>1.134</x:v>
      </x:c>
      <x:c r="I2170" s="13" t="n">
        <x:v>-6</x:v>
      </x:c>
      <x:c r="J2170" s="12" t="str">
        <x:v>adopt</x:v>
      </x:c>
      <x:c r="K2170" s="12" t="str">
        <x:v>speech</x:v>
      </x:c>
      <x:c r="L2170" s="13" t="n">
        <x:f>IF(G2170&lt;=I2170,0,MAX(0,L2164)+IF(E2170="via",MAX(0,G2170-MAX(F2170,I2170)),0))</x:f>
        <x:v>8.664</x:v>
      </x:c>
    </x:row>
    <x:row r="2171" ht="42" customHeight="1">
      <x:c r="A2171" s="7" t="str">
        <x:v>DP5-B</x:v>
      </x:c>
      <x:c r="B2171" s="7" t="str">
        <x:v>U24</x:v>
      </x:c>
      <x:c r="C2171" s="7" t="str">
        <x:v>first_chunk</x:v>
      </x:c>
      <x:c r="D2171" s="7" t="str">
        <x:v>같은 생성 job의 유효 첫 chunk 관측</x:v>
      </x:c>
      <x:c r="E2171" s="7" t="str">
        <x:v>via</x:v>
      </x:c>
      <x:c r="F2171" s="14" t="n">
        <x:v>4.53</x:v>
      </x:c>
      <x:c r="G2171" s="14" t="n">
        <x:v>4.964</x:v>
      </x:c>
      <x:c r="H2171" s="14" t="n">
        <x:v>0.434</x:v>
      </x:c>
      <x:c r="I2171" s="14" t="n">
        <x:v>-6</x:v>
      </x:c>
      <x:c r="J2171" s="7" t="str">
        <x:v>adopt</x:v>
      </x:c>
      <x:c r="K2171" s="7" t="str">
        <x:v>none</x:v>
      </x:c>
      <x:c r="L2171" s="14" t="n">
        <x:f>IF(G2171&lt;=I2171,0,MAX(0,L2164)+IF(E2171="via",MAX(0,G2171-MAX(F2171,I2171)),0))</x:f>
        <x:v>7.964</x:v>
      </x:c>
    </x:row>
    <x:row r="2172" ht="42" customHeight="1">
      <x:c r="A2172" s="12" t="str">
        <x:v>DP5-B</x:v>
      </x:c>
      <x:c r="B2172" s="12" t="str">
        <x:v>U24</x:v>
      </x:c>
      <x:c r="C2172" s="12" t="str">
        <x:v>first_audio_output</x:v>
      </x:c>
      <x:c r="D2172" s="12" t="str">
        <x:v>공통 장치의 첫 음성 출력</x:v>
      </x:c>
      <x:c r="E2172" s="12" t="str">
        <x:v>via</x:v>
      </x:c>
      <x:c r="F2172" s="13" t="n">
        <x:v>4.964</x:v>
      </x:c>
      <x:c r="G2172" s="13" t="n">
        <x:v>5.0040000000000004</x:v>
      </x:c>
      <x:c r="H2172" s="13" t="n">
        <x:v>0.04</x:v>
      </x:c>
      <x:c r="I2172" s="13" t="n">
        <x:v>-6</x:v>
      </x:c>
      <x:c r="J2172" s="12" t="str">
        <x:v>adopt, first_chunk</x:v>
      </x:c>
      <x:c r="K2172" s="12" t="str">
        <x:v>none</x:v>
      </x:c>
      <x:c r="L2172" s="13" t="n">
        <x:f>IF(G2172&lt;=I2172,0,MAX(0,L2164,L2171)+IF(E2172="via",MAX(0,G2172-MAX(F2172,I2172)),0))</x:f>
        <x:v>8.004000000000001</x:v>
      </x:c>
    </x:row>
    <x:row r="2173" ht="42" customHeight="1">
      <x:c r="A2173" s="7" t="str">
        <x:v>DP5-B</x:v>
      </x:c>
      <x:c r="B2173" s="7" t="str">
        <x:v>U24</x:v>
      </x:c>
      <x:c r="C2173" s="7" t="str">
        <x:v>next_speech_selection</x:v>
      </x:c>
      <x:c r="D2173" s="7" t="str">
        <x:v>현재 발화 재생 후 다음 응답 선택</x:v>
      </x:c>
      <x:c r="E2173" s="7" t="str">
        <x:v>external</x:v>
      </x:c>
      <x:c r="F2173" s="14" t="n">
        <x:v>5.0040000000000004</x:v>
      </x:c>
      <x:c r="G2173" s="14" t="n">
        <x:v>8.004000000000001</x:v>
      </x:c>
      <x:c r="H2173" s="14" t="n">
        <x:v>3</x:v>
      </x:c>
      <x:c r="I2173" s="14" t="n">
        <x:v>-6</x:v>
      </x:c>
      <x:c r="J2173" s="7" t="str">
        <x:v>first_audio_output</x:v>
      </x:c>
      <x:c r="K2173" s="7" t="str">
        <x:v>none</x:v>
      </x:c>
      <x:c r="L2173" s="14" t="n">
        <x:f>IF(G2173&lt;=I2173,0,MAX(0,L2172)+IF(E2173="via",MAX(0,G2173-MAX(F2173,I2173)),0))</x:f>
        <x:v>8.004000000000001</x:v>
      </x:c>
    </x:row>
    <x:row r="2174" ht="42" customHeight="1">
      <x:c r="A2174" s="12" t="str">
        <x:v>DP5-B</x:v>
      </x:c>
      <x:c r="B2174" s="12" t="str">
        <x:v>U24</x:v>
      </x:c>
      <x:c r="C2174" s="12" t="str">
        <x:v>terminal</x:v>
      </x:c>
      <x:c r="D2174" s="12" t="str">
        <x:v>공통 목표 최종 상태와 전체 음성 준비</x:v>
      </x:c>
      <x:c r="E2174" s="12" t="str">
        <x:v>via</x:v>
      </x:c>
      <x:c r="F2174" s="13" t="n">
        <x:v>14.458</x:v>
      </x:c>
      <x:c r="G2174" s="13" t="n">
        <x:v>14.458</x:v>
      </x:c>
      <x:c r="H2174" s="13" t="n">
        <x:v>0</x:v>
      </x:c>
      <x:c r="I2174" s="13" t="n">
        <x:v>-6</x:v>
      </x:c>
      <x:c r="J2174" s="12" t="str">
        <x:v>result_display, response_audio, intent_audio, first_audio_output</x:v>
      </x:c>
      <x:c r="K2174" s="12" t="str">
        <x:v>none</x:v>
      </x:c>
      <x:c r="L2174" s="13" t="n">
        <x:f>IF(G2174&lt;=I2174,0,MAX(0,L2168,L2169,L2170,L2172)+IF(E2174="via",MAX(0,G2174-MAX(F2174,I2174)),0))</x:f>
        <x:v>9.458</x:v>
      </x:c>
    </x:row>
    <x:row r="2175" ht="42" customHeight="1">
      <x:c r="A2175" s="7" t="str">
        <x:v>DP44-B</x:v>
      </x:c>
      <x:c r="B2175" s="7" t="str">
        <x:v>U01</x:v>
      </x:c>
      <x:c r="C2175" s="7" t="str">
        <x:v>input_end</x:v>
      </x:c>
      <x:c r="D2175" s="7" t="str">
        <x:v>사용자 입력 종료</x:v>
      </x:c>
      <x:c r="E2175" s="7" t="str">
        <x:v>external</x:v>
      </x:c>
      <x:c r="F2175" s="14" t="n">
        <x:v>0</x:v>
      </x:c>
      <x:c r="G2175" s="14" t="n">
        <x:v>0</x:v>
      </x:c>
      <x:c r="H2175" s="14" t="n">
        <x:v>0</x:v>
      </x:c>
      <x:c r="I2175" s="14" t="n">
        <x:v>0</x:v>
      </x:c>
      <x:c r="J2175" s="7" t="str"/>
      <x:c r="K2175" s="7" t="str">
        <x:v>none</x:v>
      </x:c>
      <x:c r="L2175" s="14" t="n">
        <x:f>IF(G2175&lt;=I2175,0,MAX(0)+IF(E2175="via",MAX(0,G2175-MAX(F2175,I2175)),0))</x:f>
        <x:v>0</x:v>
      </x:c>
    </x:row>
    <x:row r="2176" ht="42" customHeight="1">
      <x:c r="A2176" s="12" t="str">
        <x:v>DP44-B</x:v>
      </x:c>
      <x:c r="B2176" s="12" t="str">
        <x:v>U01</x:v>
      </x:c>
      <x:c r="C2176" s="12" t="str">
        <x:v>intake</x:v>
      </x:c>
      <x:c r="D2176" s="12" t="str">
        <x:v>입력 확정</x:v>
      </x:c>
      <x:c r="E2176" s="12" t="str">
        <x:v>via</x:v>
      </x:c>
      <x:c r="F2176" s="13" t="n">
        <x:v>0</x:v>
      </x:c>
      <x:c r="G2176" s="13" t="n">
        <x:v>0.06</x:v>
      </x:c>
      <x:c r="H2176" s="13" t="n">
        <x:v>0.06</x:v>
      </x:c>
      <x:c r="I2176" s="13" t="n">
        <x:v>0</x:v>
      </x:c>
      <x:c r="J2176" s="12" t="str">
        <x:v>input_end</x:v>
      </x:c>
      <x:c r="K2176" s="12" t="str">
        <x:v>none</x:v>
      </x:c>
      <x:c r="L2176" s="13" t="n">
        <x:f>IF(G2176&lt;=I2176,0,MAX(0,L2175)+IF(E2176="via",MAX(0,G2176-MAX(F2176,I2176)),0))</x:f>
        <x:v>0.06</x:v>
      </x:c>
    </x:row>
    <x:row r="2177" ht="42" customHeight="1">
      <x:c r="A2177" s="7" t="str">
        <x:v>DP44-B</x:v>
      </x:c>
      <x:c r="B2177" s="7" t="str">
        <x:v>U01</x:v>
      </x:c>
      <x:c r="C2177" s="7" t="str">
        <x:v>read</x:v>
      </x:c>
      <x:c r="D2177" s="7" t="str">
        <x:v>공통 허용 원본 조회</x:v>
      </x:c>
      <x:c r="E2177" s="7" t="str">
        <x:v>via</x:v>
      </x:c>
      <x:c r="F2177" s="14" t="n">
        <x:v>0.06</x:v>
      </x:c>
      <x:c r="G2177" s="14" t="n">
        <x:v>0.14</x:v>
      </x:c>
      <x:c r="H2177" s="14" t="n">
        <x:v>0.08</x:v>
      </x:c>
      <x:c r="I2177" s="14" t="n">
        <x:v>0</x:v>
      </x:c>
      <x:c r="J2177" s="7" t="str">
        <x:v>intake</x:v>
      </x:c>
      <x:c r="K2177" s="7" t="str">
        <x:v>none</x:v>
      </x:c>
      <x:c r="L2177" s="14" t="n">
        <x:f>IF(G2177&lt;=I2177,0,MAX(0,L2176)+IF(E2177="via",MAX(0,G2177-MAX(F2177,I2177)),0))</x:f>
        <x:v>0.14</x:v>
      </x:c>
    </x:row>
    <x:row r="2178" ht="42" customHeight="1">
      <x:c r="A2178" s="12" t="str">
        <x:v>DP44-B</x:v>
      </x:c>
      <x:c r="B2178" s="12" t="str">
        <x:v>U01</x:v>
      </x:c>
      <x:c r="C2178" s="12" t="str">
        <x:v>meaning</x:v>
      </x:c>
      <x:c r="D2178" s="12" t="str">
        <x:v>최초 요청 의미 채택 packet 생성</x:v>
      </x:c>
      <x:c r="E2178" s="12" t="str">
        <x:v>via</x:v>
      </x:c>
      <x:c r="F2178" s="13" t="n">
        <x:v>0.14</x:v>
      </x:c>
      <x:c r="G2178" s="13" t="n">
        <x:v>1.2400000000000002</x:v>
      </x:c>
      <x:c r="H2178" s="13" t="n">
        <x:v>1.1</x:v>
      </x:c>
      <x:c r="I2178" s="13" t="n">
        <x:v>0</x:v>
      </x:c>
      <x:c r="J2178" s="12" t="str">
        <x:v>read</x:v>
      </x:c>
      <x:c r="K2178" s="12" t="str">
        <x:v>semantic</x:v>
      </x:c>
      <x:c r="L2178" s="13" t="n">
        <x:f>IF(G2178&lt;=I2178,0,MAX(0,L2177)+IF(E2178="via",MAX(0,G2178-MAX(F2178,I2178)),0))</x:f>
        <x:v>1.2400000000000002</x:v>
      </x:c>
    </x:row>
    <x:row r="2179" ht="42" customHeight="1">
      <x:c r="A2179" s="7" t="str">
        <x:v>DP44-B</x:v>
      </x:c>
      <x:c r="B2179" s="7" t="str">
        <x:v>U01</x:v>
      </x:c>
      <x:c r="C2179" s="7" t="str">
        <x:v>adopt</x:v>
      </x:c>
      <x:c r="D2179" s="7" t="str">
        <x:v>현재 revision과 권한 검사 및 채택</x:v>
      </x:c>
      <x:c r="E2179" s="7" t="str">
        <x:v>via</x:v>
      </x:c>
      <x:c r="F2179" s="14" t="n">
        <x:v>1.2400000000000002</x:v>
      </x:c>
      <x:c r="G2179" s="14" t="n">
        <x:v>1.2700000000000002</x:v>
      </x:c>
      <x:c r="H2179" s="14" t="n">
        <x:v>0.03</x:v>
      </x:c>
      <x:c r="I2179" s="14" t="n">
        <x:v>0</x:v>
      </x:c>
      <x:c r="J2179" s="7" t="str">
        <x:v>meaning</x:v>
      </x:c>
      <x:c r="K2179" s="7" t="str">
        <x:v>none</x:v>
      </x:c>
      <x:c r="L2179" s="14" t="n">
        <x:f>IF(G2179&lt;=I2179,0,MAX(0,L2178)+IF(E2179="via",MAX(0,G2179-MAX(F2179,I2179)),0))</x:f>
        <x:v>1.2700000000000002</x:v>
      </x:c>
    </x:row>
    <x:row r="2180" ht="42" customHeight="1">
      <x:c r="A2180" s="12" t="str">
        <x:v>DP44-B</x:v>
      </x:c>
      <x:c r="B2180" s="12" t="str">
        <x:v>U01</x:v>
      </x:c>
      <x:c r="C2180" s="12" t="str">
        <x:v>first_display</x:v>
      </x:c>
      <x:c r="D2180" s="12" t="str">
        <x:v>첫 구체적 채택 내용 화면 표시</x:v>
      </x:c>
      <x:c r="E2180" s="12" t="str">
        <x:v>via</x:v>
      </x:c>
      <x:c r="F2180" s="13" t="n">
        <x:v>1.2700000000000002</x:v>
      </x:c>
      <x:c r="G2180" s="13" t="n">
        <x:v>1.3100000000000003</x:v>
      </x:c>
      <x:c r="H2180" s="13" t="n">
        <x:v>0.04</x:v>
      </x:c>
      <x:c r="I2180" s="13" t="n">
        <x:v>0</x:v>
      </x:c>
      <x:c r="J2180" s="12" t="str">
        <x:v>adopt</x:v>
      </x:c>
      <x:c r="K2180" s="12" t="str">
        <x:v>none</x:v>
      </x:c>
      <x:c r="L2180" s="13" t="n">
        <x:f>IF(G2180&lt;=I2180,0,MAX(0,L2179)+IF(E2180="via",MAX(0,G2180-MAX(F2180,I2180)),0))</x:f>
        <x:v>1.3100000000000003</x:v>
      </x:c>
    </x:row>
    <x:row r="2181" ht="42" customHeight="1">
      <x:c r="A2181" s="7" t="str">
        <x:v>DP44-B</x:v>
      </x:c>
      <x:c r="B2181" s="7" t="str">
        <x:v>U01</x:v>
      </x:c>
      <x:c r="C2181" s="7" t="str">
        <x:v>response_audio</x:v>
      </x:c>
      <x:c r="D2181" s="7" t="str">
        <x:v>선택한 응답 음성 생성</x:v>
      </x:c>
      <x:c r="E2181" s="7" t="str">
        <x:v>via</x:v>
      </x:c>
      <x:c r="F2181" s="14" t="n">
        <x:v>1.2700000000000002</x:v>
      </x:c>
      <x:c r="G2181" s="14" t="n">
        <x:v>3.1580000000000004</x:v>
      </x:c>
      <x:c r="H2181" s="14" t="n">
        <x:v>1.888</x:v>
      </x:c>
      <x:c r="I2181" s="14" t="n">
        <x:v>0</x:v>
      </x:c>
      <x:c r="J2181" s="7" t="str">
        <x:v>adopt, adopt</x:v>
      </x:c>
      <x:c r="K2181" s="7" t="str">
        <x:v>speech</x:v>
      </x:c>
      <x:c r="L2181" s="14" t="n">
        <x:f>IF(G2181&lt;=I2181,0,MAX(0,L2179,L2179)+IF(E2181="via",MAX(0,G2181-MAX(F2181,I2181)),0))</x:f>
        <x:v>3.1580000000000004</x:v>
      </x:c>
    </x:row>
    <x:row r="2182" ht="42" customHeight="1">
      <x:c r="A2182" s="12" t="str">
        <x:v>DP44-B</x:v>
      </x:c>
      <x:c r="B2182" s="12" t="str">
        <x:v>U01</x:v>
      </x:c>
      <x:c r="C2182" s="12" t="str">
        <x:v>first_chunk</x:v>
      </x:c>
      <x:c r="D2182" s="12" t="str">
        <x:v>같은 생성 job의 유효 첫 chunk 관측</x:v>
      </x:c>
      <x:c r="E2182" s="12" t="str">
        <x:v>via</x:v>
      </x:c>
      <x:c r="F2182" s="13" t="n">
        <x:v>1.2700000000000002</x:v>
      </x:c>
      <x:c r="G2182" s="13" t="n">
        <x:v>1.7080000000000002</x:v>
      </x:c>
      <x:c r="H2182" s="13" t="n">
        <x:v>0.438</x:v>
      </x:c>
      <x:c r="I2182" s="13" t="n">
        <x:v>0</x:v>
      </x:c>
      <x:c r="J2182" s="12" t="str">
        <x:v>adopt, adopt</x:v>
      </x:c>
      <x:c r="K2182" s="12" t="str">
        <x:v>none</x:v>
      </x:c>
      <x:c r="L2182" s="13" t="n">
        <x:f>IF(G2182&lt;=I2182,0,MAX(0,L2179,L2179)+IF(E2182="via",MAX(0,G2182-MAX(F2182,I2182)),0))</x:f>
        <x:v>1.7080000000000002</x:v>
      </x:c>
    </x:row>
    <x:row r="2183" ht="42" customHeight="1">
      <x:c r="A2183" s="7" t="str">
        <x:v>DP44-B</x:v>
      </x:c>
      <x:c r="B2183" s="7" t="str">
        <x:v>U01</x:v>
      </x:c>
      <x:c r="C2183" s="7" t="str">
        <x:v>first_audio_output</x:v>
      </x:c>
      <x:c r="D2183" s="7" t="str">
        <x:v>공통 장치의 첫 음성 출력</x:v>
      </x:c>
      <x:c r="E2183" s="7" t="str">
        <x:v>via</x:v>
      </x:c>
      <x:c r="F2183" s="14" t="n">
        <x:v>1.7080000000000002</x:v>
      </x:c>
      <x:c r="G2183" s="14" t="n">
        <x:v>1.7480000000000002</x:v>
      </x:c>
      <x:c r="H2183" s="14" t="n">
        <x:v>0.04</x:v>
      </x:c>
      <x:c r="I2183" s="14" t="n">
        <x:v>0</x:v>
      </x:c>
      <x:c r="J2183" s="7" t="str">
        <x:v>adopt, first_chunk</x:v>
      </x:c>
      <x:c r="K2183" s="7" t="str">
        <x:v>none</x:v>
      </x:c>
      <x:c r="L2183" s="14" t="n">
        <x:f>IF(G2183&lt;=I2183,0,MAX(0,L2179,L2182)+IF(E2183="via",MAX(0,G2183-MAX(F2183,I2183)),0))</x:f>
        <x:v>1.7480000000000002</x:v>
      </x:c>
    </x:row>
    <x:row r="2184" ht="42" customHeight="1">
      <x:c r="A2184" s="12" t="str">
        <x:v>DP44-B</x:v>
      </x:c>
      <x:c r="B2184" s="12" t="str">
        <x:v>U01</x:v>
      </x:c>
      <x:c r="C2184" s="12" t="str">
        <x:v>terminal</x:v>
      </x:c>
      <x:c r="D2184" s="12" t="str">
        <x:v>공통 목표 최종 상태와 전체 음성 준비</x:v>
      </x:c>
      <x:c r="E2184" s="12" t="str">
        <x:v>via</x:v>
      </x:c>
      <x:c r="F2184" s="13" t="n">
        <x:v>3.1580000000000004</x:v>
      </x:c>
      <x:c r="G2184" s="13" t="n">
        <x:v>3.1580000000000004</x:v>
      </x:c>
      <x:c r="H2184" s="13" t="n">
        <x:v>0</x:v>
      </x:c>
      <x:c r="I2184" s="13" t="n">
        <x:v>0</x:v>
      </x:c>
      <x:c r="J2184" s="12" t="str">
        <x:v>first_display, response_audio, first_audio_output</x:v>
      </x:c>
      <x:c r="K2184" s="12" t="str">
        <x:v>none</x:v>
      </x:c>
      <x:c r="L2184" s="13" t="n">
        <x:f>IF(G2184&lt;=I2184,0,MAX(0,L2180,L2181,L2183)+IF(E2184="via",MAX(0,G2184-MAX(F2184,I2184)),0))</x:f>
        <x:v>3.1580000000000004</x:v>
      </x:c>
    </x:row>
    <x:row r="2185" ht="42" customHeight="1">
      <x:c r="A2185" s="7" t="str">
        <x:v>DP44-B</x:v>
      </x:c>
      <x:c r="B2185" s="7" t="str">
        <x:v>U02</x:v>
      </x:c>
      <x:c r="C2185" s="7" t="str">
        <x:v>input_end</x:v>
      </x:c>
      <x:c r="D2185" s="7" t="str">
        <x:v>사용자 입력 종료</x:v>
      </x:c>
      <x:c r="E2185" s="7" t="str">
        <x:v>external</x:v>
      </x:c>
      <x:c r="F2185" s="14" t="n">
        <x:v>0</x:v>
      </x:c>
      <x:c r="G2185" s="14" t="n">
        <x:v>0</x:v>
      </x:c>
      <x:c r="H2185" s="14" t="n">
        <x:v>0</x:v>
      </x:c>
      <x:c r="I2185" s="14" t="n">
        <x:v>0</x:v>
      </x:c>
      <x:c r="J2185" s="7" t="str"/>
      <x:c r="K2185" s="7" t="str">
        <x:v>none</x:v>
      </x:c>
      <x:c r="L2185" s="14" t="n">
        <x:f>IF(G2185&lt;=I2185,0,MAX(0)+IF(E2185="via",MAX(0,G2185-MAX(F2185,I2185)),0))</x:f>
        <x:v>0</x:v>
      </x:c>
    </x:row>
    <x:row r="2186" ht="42" customHeight="1">
      <x:c r="A2186" s="12" t="str">
        <x:v>DP44-B</x:v>
      </x:c>
      <x:c r="B2186" s="12" t="str">
        <x:v>U02</x:v>
      </x:c>
      <x:c r="C2186" s="12" t="str">
        <x:v>intake</x:v>
      </x:c>
      <x:c r="D2186" s="12" t="str">
        <x:v>입력 확정</x:v>
      </x:c>
      <x:c r="E2186" s="12" t="str">
        <x:v>via</x:v>
      </x:c>
      <x:c r="F2186" s="13" t="n">
        <x:v>0</x:v>
      </x:c>
      <x:c r="G2186" s="13" t="n">
        <x:v>0.3</x:v>
      </x:c>
      <x:c r="H2186" s="13" t="n">
        <x:v>0.3</x:v>
      </x:c>
      <x:c r="I2186" s="13" t="n">
        <x:v>0</x:v>
      </x:c>
      <x:c r="J2186" s="12" t="str">
        <x:v>input_end</x:v>
      </x:c>
      <x:c r="K2186" s="12" t="str">
        <x:v>none</x:v>
      </x:c>
      <x:c r="L2186" s="13" t="n">
        <x:f>IF(G2186&lt;=I2186,0,MAX(0,L2185)+IF(E2186="via",MAX(0,G2186-MAX(F2186,I2186)),0))</x:f>
        <x:v>0.3</x:v>
      </x:c>
    </x:row>
    <x:row r="2187" ht="42" customHeight="1">
      <x:c r="A2187" s="7" t="str">
        <x:v>DP44-B</x:v>
      </x:c>
      <x:c r="B2187" s="7" t="str">
        <x:v>U02</x:v>
      </x:c>
      <x:c r="C2187" s="7" t="str">
        <x:v>read</x:v>
      </x:c>
      <x:c r="D2187" s="7" t="str">
        <x:v>공통 허용 원본 조회</x:v>
      </x:c>
      <x:c r="E2187" s="7" t="str">
        <x:v>via</x:v>
      </x:c>
      <x:c r="F2187" s="14" t="n">
        <x:v>0.3</x:v>
      </x:c>
      <x:c r="G2187" s="14" t="n">
        <x:v>0.38</x:v>
      </x:c>
      <x:c r="H2187" s="14" t="n">
        <x:v>0.08</x:v>
      </x:c>
      <x:c r="I2187" s="14" t="n">
        <x:v>0</x:v>
      </x:c>
      <x:c r="J2187" s="7" t="str">
        <x:v>intake</x:v>
      </x:c>
      <x:c r="K2187" s="7" t="str">
        <x:v>none</x:v>
      </x:c>
      <x:c r="L2187" s="14" t="n">
        <x:f>IF(G2187&lt;=I2187,0,MAX(0,L2186)+IF(E2187="via",MAX(0,G2187-MAX(F2187,I2187)),0))</x:f>
        <x:v>0.38</x:v>
      </x:c>
    </x:row>
    <x:row r="2188" ht="42" customHeight="1">
      <x:c r="A2188" s="12" t="str">
        <x:v>DP44-B</x:v>
      </x:c>
      <x:c r="B2188" s="12" t="str">
        <x:v>U02</x:v>
      </x:c>
      <x:c r="C2188" s="12" t="str">
        <x:v>meaning</x:v>
      </x:c>
      <x:c r="D2188" s="12" t="str">
        <x:v>최초 요청 의미 채택 packet 생성</x:v>
      </x:c>
      <x:c r="E2188" s="12" t="str">
        <x:v>via</x:v>
      </x:c>
      <x:c r="F2188" s="13" t="n">
        <x:v>0.38</x:v>
      </x:c>
      <x:c r="G2188" s="13" t="n">
        <x:v>1.48</x:v>
      </x:c>
      <x:c r="H2188" s="13" t="n">
        <x:v>1.1</x:v>
      </x:c>
      <x:c r="I2188" s="13" t="n">
        <x:v>0</x:v>
      </x:c>
      <x:c r="J2188" s="12" t="str">
        <x:v>read</x:v>
      </x:c>
      <x:c r="K2188" s="12" t="str">
        <x:v>semantic</x:v>
      </x:c>
      <x:c r="L2188" s="13" t="n">
        <x:f>IF(G2188&lt;=I2188,0,MAX(0,L2187)+IF(E2188="via",MAX(0,G2188-MAX(F2188,I2188)),0))</x:f>
        <x:v>1.48</x:v>
      </x:c>
    </x:row>
    <x:row r="2189" ht="42" customHeight="1">
      <x:c r="A2189" s="7" t="str">
        <x:v>DP44-B</x:v>
      </x:c>
      <x:c r="B2189" s="7" t="str">
        <x:v>U02</x:v>
      </x:c>
      <x:c r="C2189" s="7" t="str">
        <x:v>adopt</x:v>
      </x:c>
      <x:c r="D2189" s="7" t="str">
        <x:v>현재 revision과 권한 검사 및 채택</x:v>
      </x:c>
      <x:c r="E2189" s="7" t="str">
        <x:v>via</x:v>
      </x:c>
      <x:c r="F2189" s="14" t="n">
        <x:v>1.48</x:v>
      </x:c>
      <x:c r="G2189" s="14" t="n">
        <x:v>1.51</x:v>
      </x:c>
      <x:c r="H2189" s="14" t="n">
        <x:v>0.03</x:v>
      </x:c>
      <x:c r="I2189" s="14" t="n">
        <x:v>0</x:v>
      </x:c>
      <x:c r="J2189" s="7" t="str">
        <x:v>meaning</x:v>
      </x:c>
      <x:c r="K2189" s="7" t="str">
        <x:v>none</x:v>
      </x:c>
      <x:c r="L2189" s="14" t="n">
        <x:f>IF(G2189&lt;=I2189,0,MAX(0,L2188)+IF(E2189="via",MAX(0,G2189-MAX(F2189,I2189)),0))</x:f>
        <x:v>1.51</x:v>
      </x:c>
    </x:row>
    <x:row r="2190" ht="42" customHeight="1">
      <x:c r="A2190" s="12" t="str">
        <x:v>DP44-B</x:v>
      </x:c>
      <x:c r="B2190" s="12" t="str">
        <x:v>U02</x:v>
      </x:c>
      <x:c r="C2190" s="12" t="str">
        <x:v>first_display</x:v>
      </x:c>
      <x:c r="D2190" s="12" t="str">
        <x:v>첫 구체적 채택 내용 화면 표시</x:v>
      </x:c>
      <x:c r="E2190" s="12" t="str">
        <x:v>via</x:v>
      </x:c>
      <x:c r="F2190" s="13" t="n">
        <x:v>1.51</x:v>
      </x:c>
      <x:c r="G2190" s="13" t="n">
        <x:v>1.55</x:v>
      </x:c>
      <x:c r="H2190" s="13" t="n">
        <x:v>0.04</x:v>
      </x:c>
      <x:c r="I2190" s="13" t="n">
        <x:v>0</x:v>
      </x:c>
      <x:c r="J2190" s="12" t="str">
        <x:v>adopt</x:v>
      </x:c>
      <x:c r="K2190" s="12" t="str">
        <x:v>none</x:v>
      </x:c>
      <x:c r="L2190" s="13" t="n">
        <x:f>IF(G2190&lt;=I2190,0,MAX(0,L2189)+IF(E2190="via",MAX(0,G2190-MAX(F2190,I2190)),0))</x:f>
        <x:v>1.55</x:v>
      </x:c>
    </x:row>
    <x:row r="2191" ht="42" customHeight="1">
      <x:c r="A2191" s="7" t="str">
        <x:v>DP44-B</x:v>
      </x:c>
      <x:c r="B2191" s="7" t="str">
        <x:v>U02</x:v>
      </x:c>
      <x:c r="C2191" s="7" t="str">
        <x:v>response_audio</x:v>
      </x:c>
      <x:c r="D2191" s="7" t="str">
        <x:v>선택한 응답 음성 생성</x:v>
      </x:c>
      <x:c r="E2191" s="7" t="str">
        <x:v>via</x:v>
      </x:c>
      <x:c r="F2191" s="14" t="n">
        <x:v>1.51</x:v>
      </x:c>
      <x:c r="G2191" s="14" t="n">
        <x:v>2.644</x:v>
      </x:c>
      <x:c r="H2191" s="14" t="n">
        <x:v>1.134</x:v>
      </x:c>
      <x:c r="I2191" s="14" t="n">
        <x:v>0</x:v>
      </x:c>
      <x:c r="J2191" s="7" t="str">
        <x:v>adopt, adopt</x:v>
      </x:c>
      <x:c r="K2191" s="7" t="str">
        <x:v>speech</x:v>
      </x:c>
      <x:c r="L2191" s="14" t="n">
        <x:f>IF(G2191&lt;=I2191,0,MAX(0,L2189,L2189)+IF(E2191="via",MAX(0,G2191-MAX(F2191,I2191)),0))</x:f>
        <x:v>2.644</x:v>
      </x:c>
    </x:row>
    <x:row r="2192" ht="42" customHeight="1">
      <x:c r="A2192" s="12" t="str">
        <x:v>DP44-B</x:v>
      </x:c>
      <x:c r="B2192" s="12" t="str">
        <x:v>U02</x:v>
      </x:c>
      <x:c r="C2192" s="12" t="str">
        <x:v>first_chunk</x:v>
      </x:c>
      <x:c r="D2192" s="12" t="str">
        <x:v>같은 생성 job의 유효 첫 chunk 관측</x:v>
      </x:c>
      <x:c r="E2192" s="12" t="str">
        <x:v>via</x:v>
      </x:c>
      <x:c r="F2192" s="13" t="n">
        <x:v>1.51</x:v>
      </x:c>
      <x:c r="G2192" s="13" t="n">
        <x:v>1.944</x:v>
      </x:c>
      <x:c r="H2192" s="13" t="n">
        <x:v>0.434</x:v>
      </x:c>
      <x:c r="I2192" s="13" t="n">
        <x:v>0</x:v>
      </x:c>
      <x:c r="J2192" s="12" t="str">
        <x:v>adopt, adopt</x:v>
      </x:c>
      <x:c r="K2192" s="12" t="str">
        <x:v>none</x:v>
      </x:c>
      <x:c r="L2192" s="13" t="n">
        <x:f>IF(G2192&lt;=I2192,0,MAX(0,L2189,L2189)+IF(E2192="via",MAX(0,G2192-MAX(F2192,I2192)),0))</x:f>
        <x:v>1.944</x:v>
      </x:c>
    </x:row>
    <x:row r="2193" ht="42" customHeight="1">
      <x:c r="A2193" s="7" t="str">
        <x:v>DP44-B</x:v>
      </x:c>
      <x:c r="B2193" s="7" t="str">
        <x:v>U02</x:v>
      </x:c>
      <x:c r="C2193" s="7" t="str">
        <x:v>first_audio_output</x:v>
      </x:c>
      <x:c r="D2193" s="7" t="str">
        <x:v>공통 장치의 첫 음성 출력</x:v>
      </x:c>
      <x:c r="E2193" s="7" t="str">
        <x:v>via</x:v>
      </x:c>
      <x:c r="F2193" s="14" t="n">
        <x:v>1.944</x:v>
      </x:c>
      <x:c r="G2193" s="14" t="n">
        <x:v>1.984</x:v>
      </x:c>
      <x:c r="H2193" s="14" t="n">
        <x:v>0.04</x:v>
      </x:c>
      <x:c r="I2193" s="14" t="n">
        <x:v>0</x:v>
      </x:c>
      <x:c r="J2193" s="7" t="str">
        <x:v>adopt, first_chunk</x:v>
      </x:c>
      <x:c r="K2193" s="7" t="str">
        <x:v>none</x:v>
      </x:c>
      <x:c r="L2193" s="14" t="n">
        <x:f>IF(G2193&lt;=I2193,0,MAX(0,L2189,L2192)+IF(E2193="via",MAX(0,G2193-MAX(F2193,I2193)),0))</x:f>
        <x:v>1.984</x:v>
      </x:c>
    </x:row>
    <x:row r="2194" ht="42" customHeight="1">
      <x:c r="A2194" s="12" t="str">
        <x:v>DP44-B</x:v>
      </x:c>
      <x:c r="B2194" s="12" t="str">
        <x:v>U02</x:v>
      </x:c>
      <x:c r="C2194" s="12" t="str">
        <x:v>terminal</x:v>
      </x:c>
      <x:c r="D2194" s="12" t="str">
        <x:v>공통 목표 최종 상태와 전체 음성 준비</x:v>
      </x:c>
      <x:c r="E2194" s="12" t="str">
        <x:v>via</x:v>
      </x:c>
      <x:c r="F2194" s="13" t="n">
        <x:v>2.644</x:v>
      </x:c>
      <x:c r="G2194" s="13" t="n">
        <x:v>2.644</x:v>
      </x:c>
      <x:c r="H2194" s="13" t="n">
        <x:v>0</x:v>
      </x:c>
      <x:c r="I2194" s="13" t="n">
        <x:v>0</x:v>
      </x:c>
      <x:c r="J2194" s="12" t="str">
        <x:v>first_display, response_audio, first_audio_output</x:v>
      </x:c>
      <x:c r="K2194" s="12" t="str">
        <x:v>none</x:v>
      </x:c>
      <x:c r="L2194" s="13" t="n">
        <x:f>IF(G2194&lt;=I2194,0,MAX(0,L2190,L2191,L2193)+IF(E2194="via",MAX(0,G2194-MAX(F2194,I2194)),0))</x:f>
        <x:v>2.644</x:v>
      </x:c>
    </x:row>
    <x:row r="2195" ht="42" customHeight="1">
      <x:c r="A2195" s="7" t="str">
        <x:v>DP44-B</x:v>
      </x:c>
      <x:c r="B2195" s="7" t="str">
        <x:v>U03</x:v>
      </x:c>
      <x:c r="C2195" s="7" t="str">
        <x:v>input_end</x:v>
      </x:c>
      <x:c r="D2195" s="7" t="str">
        <x:v>사용자 입력 종료</x:v>
      </x:c>
      <x:c r="E2195" s="7" t="str">
        <x:v>external</x:v>
      </x:c>
      <x:c r="F2195" s="14" t="n">
        <x:v>0</x:v>
      </x:c>
      <x:c r="G2195" s="14" t="n">
        <x:v>0</x:v>
      </x:c>
      <x:c r="H2195" s="14" t="n">
        <x:v>0</x:v>
      </x:c>
      <x:c r="I2195" s="14" t="n">
        <x:v>0</x:v>
      </x:c>
      <x:c r="J2195" s="7" t="str"/>
      <x:c r="K2195" s="7" t="str">
        <x:v>none</x:v>
      </x:c>
      <x:c r="L2195" s="14" t="n">
        <x:f>IF(G2195&lt;=I2195,0,MAX(0)+IF(E2195="via",MAX(0,G2195-MAX(F2195,I2195)),0))</x:f>
        <x:v>0</x:v>
      </x:c>
    </x:row>
    <x:row r="2196" ht="42" customHeight="1">
      <x:c r="A2196" s="12" t="str">
        <x:v>DP44-B</x:v>
      </x:c>
      <x:c r="B2196" s="12" t="str">
        <x:v>U03</x:v>
      </x:c>
      <x:c r="C2196" s="12" t="str">
        <x:v>intake</x:v>
      </x:c>
      <x:c r="D2196" s="12" t="str">
        <x:v>입력 확정</x:v>
      </x:c>
      <x:c r="E2196" s="12" t="str">
        <x:v>via</x:v>
      </x:c>
      <x:c r="F2196" s="13" t="n">
        <x:v>0</x:v>
      </x:c>
      <x:c r="G2196" s="13" t="n">
        <x:v>0.06</x:v>
      </x:c>
      <x:c r="H2196" s="13" t="n">
        <x:v>0.06</x:v>
      </x:c>
      <x:c r="I2196" s="13" t="n">
        <x:v>0</x:v>
      </x:c>
      <x:c r="J2196" s="12" t="str">
        <x:v>input_end</x:v>
      </x:c>
      <x:c r="K2196" s="12" t="str">
        <x:v>none</x:v>
      </x:c>
      <x:c r="L2196" s="13" t="n">
        <x:f>IF(G2196&lt;=I2196,0,MAX(0,L2195)+IF(E2196="via",MAX(0,G2196-MAX(F2196,I2196)),0))</x:f>
        <x:v>0.06</x:v>
      </x:c>
    </x:row>
    <x:row r="2197" ht="42" customHeight="1">
      <x:c r="A2197" s="7" t="str">
        <x:v>DP44-B</x:v>
      </x:c>
      <x:c r="B2197" s="7" t="str">
        <x:v>U03</x:v>
      </x:c>
      <x:c r="C2197" s="7" t="str">
        <x:v>read</x:v>
      </x:c>
      <x:c r="D2197" s="7" t="str">
        <x:v>공통 허용 원본 조회</x:v>
      </x:c>
      <x:c r="E2197" s="7" t="str">
        <x:v>via</x:v>
      </x:c>
      <x:c r="F2197" s="14" t="n">
        <x:v>0.06</x:v>
      </x:c>
      <x:c r="G2197" s="14" t="n">
        <x:v>0.14</x:v>
      </x:c>
      <x:c r="H2197" s="14" t="n">
        <x:v>0.08</x:v>
      </x:c>
      <x:c r="I2197" s="14" t="n">
        <x:v>0</x:v>
      </x:c>
      <x:c r="J2197" s="7" t="str">
        <x:v>intake</x:v>
      </x:c>
      <x:c r="K2197" s="7" t="str">
        <x:v>none</x:v>
      </x:c>
      <x:c r="L2197" s="14" t="n">
        <x:f>IF(G2197&lt;=I2197,0,MAX(0,L2196)+IF(E2197="via",MAX(0,G2197-MAX(F2197,I2197)),0))</x:f>
        <x:v>0.14</x:v>
      </x:c>
    </x:row>
    <x:row r="2198" ht="42" customHeight="1">
      <x:c r="A2198" s="12" t="str">
        <x:v>DP44-B</x:v>
      </x:c>
      <x:c r="B2198" s="12" t="str">
        <x:v>U03</x:v>
      </x:c>
      <x:c r="C2198" s="12" t="str">
        <x:v>meaning</x:v>
      </x:c>
      <x:c r="D2198" s="12" t="str">
        <x:v>최초 요청 의미 채택 packet 생성</x:v>
      </x:c>
      <x:c r="E2198" s="12" t="str">
        <x:v>via</x:v>
      </x:c>
      <x:c r="F2198" s="13" t="n">
        <x:v>0.14</x:v>
      </x:c>
      <x:c r="G2198" s="13" t="n">
        <x:v>1.2400000000000002</x:v>
      </x:c>
      <x:c r="H2198" s="13" t="n">
        <x:v>1.1</x:v>
      </x:c>
      <x:c r="I2198" s="13" t="n">
        <x:v>0</x:v>
      </x:c>
      <x:c r="J2198" s="12" t="str">
        <x:v>read</x:v>
      </x:c>
      <x:c r="K2198" s="12" t="str">
        <x:v>semantic</x:v>
      </x:c>
      <x:c r="L2198" s="13" t="n">
        <x:f>IF(G2198&lt;=I2198,0,MAX(0,L2197)+IF(E2198="via",MAX(0,G2198-MAX(F2198,I2198)),0))</x:f>
        <x:v>1.2400000000000002</x:v>
      </x:c>
    </x:row>
    <x:row r="2199" ht="42" customHeight="1">
      <x:c r="A2199" s="7" t="str">
        <x:v>DP44-B</x:v>
      </x:c>
      <x:c r="B2199" s="7" t="str">
        <x:v>U03</x:v>
      </x:c>
      <x:c r="C2199" s="7" t="str">
        <x:v>adopt</x:v>
      </x:c>
      <x:c r="D2199" s="7" t="str">
        <x:v>현재 revision과 권한 검사 및 채택</x:v>
      </x:c>
      <x:c r="E2199" s="7" t="str">
        <x:v>via</x:v>
      </x:c>
      <x:c r="F2199" s="14" t="n">
        <x:v>1.2400000000000002</x:v>
      </x:c>
      <x:c r="G2199" s="14" t="n">
        <x:v>1.2700000000000002</x:v>
      </x:c>
      <x:c r="H2199" s="14" t="n">
        <x:v>0.03</x:v>
      </x:c>
      <x:c r="I2199" s="14" t="n">
        <x:v>0</x:v>
      </x:c>
      <x:c r="J2199" s="7" t="str">
        <x:v>meaning</x:v>
      </x:c>
      <x:c r="K2199" s="7" t="str">
        <x:v>none</x:v>
      </x:c>
      <x:c r="L2199" s="14" t="n">
        <x:f>IF(G2199&lt;=I2199,0,MAX(0,L2198)+IF(E2199="via",MAX(0,G2199-MAX(F2199,I2199)),0))</x:f>
        <x:v>1.2700000000000002</x:v>
      </x:c>
    </x:row>
    <x:row r="2200" ht="42" customHeight="1">
      <x:c r="A2200" s="12" t="str">
        <x:v>DP44-B</x:v>
      </x:c>
      <x:c r="B2200" s="12" t="str">
        <x:v>U03</x:v>
      </x:c>
      <x:c r="C2200" s="12" t="str">
        <x:v>first_display</x:v>
      </x:c>
      <x:c r="D2200" s="12" t="str">
        <x:v>첫 구체적 채택 내용 화면 표시</x:v>
      </x:c>
      <x:c r="E2200" s="12" t="str">
        <x:v>via</x:v>
      </x:c>
      <x:c r="F2200" s="13" t="n">
        <x:v>1.2700000000000002</x:v>
      </x:c>
      <x:c r="G2200" s="13" t="n">
        <x:v>1.3100000000000003</x:v>
      </x:c>
      <x:c r="H2200" s="13" t="n">
        <x:v>0.04</x:v>
      </x:c>
      <x:c r="I2200" s="13" t="n">
        <x:v>0</x:v>
      </x:c>
      <x:c r="J2200" s="12" t="str">
        <x:v>adopt</x:v>
      </x:c>
      <x:c r="K2200" s="12" t="str">
        <x:v>none</x:v>
      </x:c>
      <x:c r="L2200" s="13" t="n">
        <x:f>IF(G2200&lt;=I2200,0,MAX(0,L2199)+IF(E2200="via",MAX(0,G2200-MAX(F2200,I2200)),0))</x:f>
        <x:v>1.3100000000000003</x:v>
      </x:c>
    </x:row>
    <x:row r="2201" ht="42" customHeight="1">
      <x:c r="A2201" s="7" t="str">
        <x:v>DP44-B</x:v>
      </x:c>
      <x:c r="B2201" s="7" t="str">
        <x:v>U03</x:v>
      </x:c>
      <x:c r="C2201" s="7" t="str">
        <x:v>long_work</x:v>
      </x:c>
      <x:c r="D2201" s="7" t="str">
        <x:v>요청의 남은 VIA 판단</x:v>
      </x:c>
      <x:c r="E2201" s="7" t="str">
        <x:v>via</x:v>
      </x:c>
      <x:c r="F2201" s="14" t="n">
        <x:v>1.2700000000000002</x:v>
      </x:c>
      <x:c r="G2201" s="14" t="n">
        <x:v>2.87</x:v>
      </x:c>
      <x:c r="H2201" s="14" t="n">
        <x:v>1.6</x:v>
      </x:c>
      <x:c r="I2201" s="14" t="n">
        <x:v>0</x:v>
      </x:c>
      <x:c r="J2201" s="7" t="str">
        <x:v>adopt</x:v>
      </x:c>
      <x:c r="K2201" s="7" t="str">
        <x:v>semantic</x:v>
      </x:c>
      <x:c r="L2201" s="14" t="n">
        <x:f>IF(G2201&lt;=I2201,0,MAX(0,L2199)+IF(E2201="via",MAX(0,G2201-MAX(F2201,I2201)),0))</x:f>
        <x:v>2.87</x:v>
      </x:c>
    </x:row>
    <x:row r="2202" ht="42" customHeight="1">
      <x:c r="A2202" s="12" t="str">
        <x:v>DP44-B</x:v>
      </x:c>
      <x:c r="B2202" s="12" t="str">
        <x:v>U03</x:v>
      </x:c>
      <x:c r="C2202" s="12" t="str">
        <x:v>result_display</x:v>
      </x:c>
      <x:c r="D2202" s="12" t="str">
        <x:v>최종 설명 상세 표시</x:v>
      </x:c>
      <x:c r="E2202" s="12" t="str">
        <x:v>via</x:v>
      </x:c>
      <x:c r="F2202" s="13" t="n">
        <x:v>2.87</x:v>
      </x:c>
      <x:c r="G2202" s="13" t="n">
        <x:v>2.91</x:v>
      </x:c>
      <x:c r="H2202" s="13" t="n">
        <x:v>0.04</x:v>
      </x:c>
      <x:c r="I2202" s="13" t="n">
        <x:v>0</x:v>
      </x:c>
      <x:c r="J2202" s="12" t="str">
        <x:v>long_work</x:v>
      </x:c>
      <x:c r="K2202" s="12" t="str">
        <x:v>none</x:v>
      </x:c>
      <x:c r="L2202" s="13" t="n">
        <x:f>IF(G2202&lt;=I2202,0,MAX(0,L2201)+IF(E2202="via",MAX(0,G2202-MAX(F2202,I2202)),0))</x:f>
        <x:v>2.91</x:v>
      </x:c>
    </x:row>
    <x:row r="2203" ht="42" customHeight="1">
      <x:c r="A2203" s="7" t="str">
        <x:v>DP44-B</x:v>
      </x:c>
      <x:c r="B2203" s="7" t="str">
        <x:v>U03</x:v>
      </x:c>
      <x:c r="C2203" s="7" t="str">
        <x:v>response_audio</x:v>
      </x:c>
      <x:c r="D2203" s="7" t="str">
        <x:v>선택한 응답 음성 생성</x:v>
      </x:c>
      <x:c r="E2203" s="7" t="str">
        <x:v>via</x:v>
      </x:c>
      <x:c r="F2203" s="14" t="n">
        <x:v>4.744</x:v>
      </x:c>
      <x:c r="G2203" s="14" t="n">
        <x:v>6.632</x:v>
      </x:c>
      <x:c r="H2203" s="14" t="n">
        <x:v>1.888</x:v>
      </x:c>
      <x:c r="I2203" s="14" t="n">
        <x:v>0</x:v>
      </x:c>
      <x:c r="J2203" s="7" t="str">
        <x:v>long_work, adopt, next_speech_selection</x:v>
      </x:c>
      <x:c r="K2203" s="7" t="str">
        <x:v>speech</x:v>
      </x:c>
      <x:c r="L2203" s="14" t="n">
        <x:f>IF(G2203&lt;=I2203,0,MAX(0,L2201,L2199,L2207)+IF(E2203="via",MAX(0,G2203-MAX(F2203,I2203)),0))</x:f>
        <x:v>4.758</x:v>
      </x:c>
    </x:row>
    <x:row r="2204" ht="42" customHeight="1">
      <x:c r="A2204" s="12" t="str">
        <x:v>DP44-B</x:v>
      </x:c>
      <x:c r="B2204" s="12" t="str">
        <x:v>U03</x:v>
      </x:c>
      <x:c r="C2204" s="12" t="str">
        <x:v>intent_audio</x:v>
      </x:c>
      <x:c r="D2204" s="12" t="str">
        <x:v>채택한 구체적 수행 의도의 짧은 음성</x:v>
      </x:c>
      <x:c r="E2204" s="12" t="str">
        <x:v>via</x:v>
      </x:c>
      <x:c r="F2204" s="13" t="n">
        <x:v>1.2700000000000002</x:v>
      </x:c>
      <x:c r="G2204" s="13" t="n">
        <x:v>2.404</x:v>
      </x:c>
      <x:c r="H2204" s="13" t="n">
        <x:v>1.134</x:v>
      </x:c>
      <x:c r="I2204" s="13" t="n">
        <x:v>0</x:v>
      </x:c>
      <x:c r="J2204" s="12" t="str">
        <x:v>adopt</x:v>
      </x:c>
      <x:c r="K2204" s="12" t="str">
        <x:v>speech</x:v>
      </x:c>
      <x:c r="L2204" s="13" t="n">
        <x:f>IF(G2204&lt;=I2204,0,MAX(0,L2199)+IF(E2204="via",MAX(0,G2204-MAX(F2204,I2204)),0))</x:f>
        <x:v>2.404</x:v>
      </x:c>
    </x:row>
    <x:row r="2205" ht="42" customHeight="1">
      <x:c r="A2205" s="7" t="str">
        <x:v>DP44-B</x:v>
      </x:c>
      <x:c r="B2205" s="7" t="str">
        <x:v>U03</x:v>
      </x:c>
      <x:c r="C2205" s="7" t="str">
        <x:v>first_chunk</x:v>
      </x:c>
      <x:c r="D2205" s="7" t="str">
        <x:v>같은 생성 job의 유효 첫 chunk 관측</x:v>
      </x:c>
      <x:c r="E2205" s="7" t="str">
        <x:v>via</x:v>
      </x:c>
      <x:c r="F2205" s="14" t="n">
        <x:v>1.2700000000000002</x:v>
      </x:c>
      <x:c r="G2205" s="14" t="n">
        <x:v>1.7040000000000002</x:v>
      </x:c>
      <x:c r="H2205" s="14" t="n">
        <x:v>0.434</x:v>
      </x:c>
      <x:c r="I2205" s="14" t="n">
        <x:v>0</x:v>
      </x:c>
      <x:c r="J2205" s="7" t="str">
        <x:v>adopt</x:v>
      </x:c>
      <x:c r="K2205" s="7" t="str">
        <x:v>none</x:v>
      </x:c>
      <x:c r="L2205" s="14" t="n">
        <x:f>IF(G2205&lt;=I2205,0,MAX(0,L2199)+IF(E2205="via",MAX(0,G2205-MAX(F2205,I2205)),0))</x:f>
        <x:v>1.7040000000000002</x:v>
      </x:c>
    </x:row>
    <x:row r="2206" ht="42" customHeight="1">
      <x:c r="A2206" s="12" t="str">
        <x:v>DP44-B</x:v>
      </x:c>
      <x:c r="B2206" s="12" t="str">
        <x:v>U03</x:v>
      </x:c>
      <x:c r="C2206" s="12" t="str">
        <x:v>first_audio_output</x:v>
      </x:c>
      <x:c r="D2206" s="12" t="str">
        <x:v>공통 장치의 첫 음성 출력</x:v>
      </x:c>
      <x:c r="E2206" s="12" t="str">
        <x:v>via</x:v>
      </x:c>
      <x:c r="F2206" s="13" t="n">
        <x:v>1.7040000000000002</x:v>
      </x:c>
      <x:c r="G2206" s="13" t="n">
        <x:v>1.7440000000000002</x:v>
      </x:c>
      <x:c r="H2206" s="13" t="n">
        <x:v>0.04</x:v>
      </x:c>
      <x:c r="I2206" s="13" t="n">
        <x:v>0</x:v>
      </x:c>
      <x:c r="J2206" s="12" t="str">
        <x:v>adopt, first_chunk</x:v>
      </x:c>
      <x:c r="K2206" s="12" t="str">
        <x:v>none</x:v>
      </x:c>
      <x:c r="L2206" s="13" t="n">
        <x:f>IF(G2206&lt;=I2206,0,MAX(0,L2199,L2205)+IF(E2206="via",MAX(0,G2206-MAX(F2206,I2206)),0))</x:f>
        <x:v>1.7440000000000002</x:v>
      </x:c>
    </x:row>
    <x:row r="2207" ht="42" customHeight="1">
      <x:c r="A2207" s="7" t="str">
        <x:v>DP44-B</x:v>
      </x:c>
      <x:c r="B2207" s="7" t="str">
        <x:v>U03</x:v>
      </x:c>
      <x:c r="C2207" s="7" t="str">
        <x:v>next_speech_selection</x:v>
      </x:c>
      <x:c r="D2207" s="7" t="str">
        <x:v>현재 발화 재생 후 다음 응답 선택</x:v>
      </x:c>
      <x:c r="E2207" s="7" t="str">
        <x:v>external</x:v>
      </x:c>
      <x:c r="F2207" s="14" t="n">
        <x:v>1.7440000000000002</x:v>
      </x:c>
      <x:c r="G2207" s="14" t="n">
        <x:v>4.744</x:v>
      </x:c>
      <x:c r="H2207" s="14" t="n">
        <x:v>3</x:v>
      </x:c>
      <x:c r="I2207" s="14" t="n">
        <x:v>0</x:v>
      </x:c>
      <x:c r="J2207" s="7" t="str">
        <x:v>first_audio_output</x:v>
      </x:c>
      <x:c r="K2207" s="7" t="str">
        <x:v>none</x:v>
      </x:c>
      <x:c r="L2207" s="14" t="n">
        <x:f>IF(G2207&lt;=I2207,0,MAX(0,L2206)+IF(E2207="via",MAX(0,G2207-MAX(F2207,I2207)),0))</x:f>
        <x:v>1.7440000000000002</x:v>
      </x:c>
    </x:row>
    <x:row r="2208" ht="42" customHeight="1">
      <x:c r="A2208" s="12" t="str">
        <x:v>DP44-B</x:v>
      </x:c>
      <x:c r="B2208" s="12" t="str">
        <x:v>U03</x:v>
      </x:c>
      <x:c r="C2208" s="12" t="str">
        <x:v>terminal</x:v>
      </x:c>
      <x:c r="D2208" s="12" t="str">
        <x:v>공통 목표 최종 상태와 전체 음성 준비</x:v>
      </x:c>
      <x:c r="E2208" s="12" t="str">
        <x:v>via</x:v>
      </x:c>
      <x:c r="F2208" s="13" t="n">
        <x:v>6.632</x:v>
      </x:c>
      <x:c r="G2208" s="13" t="n">
        <x:v>6.632</x:v>
      </x:c>
      <x:c r="H2208" s="13" t="n">
        <x:v>0</x:v>
      </x:c>
      <x:c r="I2208" s="13" t="n">
        <x:v>0</x:v>
      </x:c>
      <x:c r="J2208" s="12" t="str">
        <x:v>result_display, response_audio, intent_audio, first_audio_output</x:v>
      </x:c>
      <x:c r="K2208" s="12" t="str">
        <x:v>none</x:v>
      </x:c>
      <x:c r="L2208" s="13" t="n">
        <x:f>IF(G2208&lt;=I2208,0,MAX(0,L2202,L2203,L2204,L2206)+IF(E2208="via",MAX(0,G2208-MAX(F2208,I2208)),0))</x:f>
        <x:v>4.758</x:v>
      </x:c>
    </x:row>
    <x:row r="2209" ht="42" customHeight="1">
      <x:c r="A2209" s="7" t="str">
        <x:v>DP44-B</x:v>
      </x:c>
      <x:c r="B2209" s="7" t="str">
        <x:v>U04</x:v>
      </x:c>
      <x:c r="C2209" s="7" t="str">
        <x:v>input_end</x:v>
      </x:c>
      <x:c r="D2209" s="7" t="str">
        <x:v>사용자 입력 종료</x:v>
      </x:c>
      <x:c r="E2209" s="7" t="str">
        <x:v>external</x:v>
      </x:c>
      <x:c r="F2209" s="14" t="n">
        <x:v>0</x:v>
      </x:c>
      <x:c r="G2209" s="14" t="n">
        <x:v>0</x:v>
      </x:c>
      <x:c r="H2209" s="14" t="n">
        <x:v>0</x:v>
      </x:c>
      <x:c r="I2209" s="14" t="n">
        <x:v>0</x:v>
      </x:c>
      <x:c r="J2209" s="7" t="str"/>
      <x:c r="K2209" s="7" t="str">
        <x:v>none</x:v>
      </x:c>
      <x:c r="L2209" s="14" t="n">
        <x:f>IF(G2209&lt;=I2209,0,MAX(0)+IF(E2209="via",MAX(0,G2209-MAX(F2209,I2209)),0))</x:f>
        <x:v>0</x:v>
      </x:c>
    </x:row>
    <x:row r="2210" ht="42" customHeight="1">
      <x:c r="A2210" s="12" t="str">
        <x:v>DP44-B</x:v>
      </x:c>
      <x:c r="B2210" s="12" t="str">
        <x:v>U04</x:v>
      </x:c>
      <x:c r="C2210" s="12" t="str">
        <x:v>intake</x:v>
      </x:c>
      <x:c r="D2210" s="12" t="str">
        <x:v>입력 확정</x:v>
      </x:c>
      <x:c r="E2210" s="12" t="str">
        <x:v>via</x:v>
      </x:c>
      <x:c r="F2210" s="13" t="n">
        <x:v>0</x:v>
      </x:c>
      <x:c r="G2210" s="13" t="n">
        <x:v>0.3</x:v>
      </x:c>
      <x:c r="H2210" s="13" t="n">
        <x:v>0.3</x:v>
      </x:c>
      <x:c r="I2210" s="13" t="n">
        <x:v>0</x:v>
      </x:c>
      <x:c r="J2210" s="12" t="str">
        <x:v>input_end</x:v>
      </x:c>
      <x:c r="K2210" s="12" t="str">
        <x:v>none</x:v>
      </x:c>
      <x:c r="L2210" s="13" t="n">
        <x:f>IF(G2210&lt;=I2210,0,MAX(0,L2209)+IF(E2210="via",MAX(0,G2210-MAX(F2210,I2210)),0))</x:f>
        <x:v>0.3</x:v>
      </x:c>
    </x:row>
    <x:row r="2211" ht="42" customHeight="1">
      <x:c r="A2211" s="7" t="str">
        <x:v>DP44-B</x:v>
      </x:c>
      <x:c r="B2211" s="7" t="str">
        <x:v>U04</x:v>
      </x:c>
      <x:c r="C2211" s="7" t="str">
        <x:v>read</x:v>
      </x:c>
      <x:c r="D2211" s="7" t="str">
        <x:v>공통 허용 원본 조회</x:v>
      </x:c>
      <x:c r="E2211" s="7" t="str">
        <x:v>via</x:v>
      </x:c>
      <x:c r="F2211" s="14" t="n">
        <x:v>0.3</x:v>
      </x:c>
      <x:c r="G2211" s="14" t="n">
        <x:v>0.38</x:v>
      </x:c>
      <x:c r="H2211" s="14" t="n">
        <x:v>0.08</x:v>
      </x:c>
      <x:c r="I2211" s="14" t="n">
        <x:v>0</x:v>
      </x:c>
      <x:c r="J2211" s="7" t="str">
        <x:v>intake</x:v>
      </x:c>
      <x:c r="K2211" s="7" t="str">
        <x:v>none</x:v>
      </x:c>
      <x:c r="L2211" s="14" t="n">
        <x:f>IF(G2211&lt;=I2211,0,MAX(0,L2210)+IF(E2211="via",MAX(0,G2211-MAX(F2211,I2211)),0))</x:f>
        <x:v>0.38</x:v>
      </x:c>
    </x:row>
    <x:row r="2212" ht="42" customHeight="1">
      <x:c r="A2212" s="12" t="str">
        <x:v>DP44-B</x:v>
      </x:c>
      <x:c r="B2212" s="12" t="str">
        <x:v>U04</x:v>
      </x:c>
      <x:c r="C2212" s="12" t="str">
        <x:v>meaning</x:v>
      </x:c>
      <x:c r="D2212" s="12" t="str">
        <x:v>최초 요청 의미 채택 packet 생성</x:v>
      </x:c>
      <x:c r="E2212" s="12" t="str">
        <x:v>via</x:v>
      </x:c>
      <x:c r="F2212" s="13" t="n">
        <x:v>0.38</x:v>
      </x:c>
      <x:c r="G2212" s="13" t="n">
        <x:v>1.48</x:v>
      </x:c>
      <x:c r="H2212" s="13" t="n">
        <x:v>1.1</x:v>
      </x:c>
      <x:c r="I2212" s="13" t="n">
        <x:v>0</x:v>
      </x:c>
      <x:c r="J2212" s="12" t="str">
        <x:v>read</x:v>
      </x:c>
      <x:c r="K2212" s="12" t="str">
        <x:v>semantic</x:v>
      </x:c>
      <x:c r="L2212" s="13" t="n">
        <x:f>IF(G2212&lt;=I2212,0,MAX(0,L2211)+IF(E2212="via",MAX(0,G2212-MAX(F2212,I2212)),0))</x:f>
        <x:v>1.48</x:v>
      </x:c>
    </x:row>
    <x:row r="2213" ht="42" customHeight="1">
      <x:c r="A2213" s="7" t="str">
        <x:v>DP44-B</x:v>
      </x:c>
      <x:c r="B2213" s="7" t="str">
        <x:v>U04</x:v>
      </x:c>
      <x:c r="C2213" s="7" t="str">
        <x:v>adopt</x:v>
      </x:c>
      <x:c r="D2213" s="7" t="str">
        <x:v>현재 revision과 권한 검사 및 채택</x:v>
      </x:c>
      <x:c r="E2213" s="7" t="str">
        <x:v>via</x:v>
      </x:c>
      <x:c r="F2213" s="14" t="n">
        <x:v>1.48</x:v>
      </x:c>
      <x:c r="G2213" s="14" t="n">
        <x:v>1.51</x:v>
      </x:c>
      <x:c r="H2213" s="14" t="n">
        <x:v>0.03</x:v>
      </x:c>
      <x:c r="I2213" s="14" t="n">
        <x:v>0</x:v>
      </x:c>
      <x:c r="J2213" s="7" t="str">
        <x:v>meaning</x:v>
      </x:c>
      <x:c r="K2213" s="7" t="str">
        <x:v>none</x:v>
      </x:c>
      <x:c r="L2213" s="14" t="n">
        <x:f>IF(G2213&lt;=I2213,0,MAX(0,L2212)+IF(E2213="via",MAX(0,G2213-MAX(F2213,I2213)),0))</x:f>
        <x:v>1.51</x:v>
      </x:c>
    </x:row>
    <x:row r="2214" ht="42" customHeight="1">
      <x:c r="A2214" s="12" t="str">
        <x:v>DP44-B</x:v>
      </x:c>
      <x:c r="B2214" s="12" t="str">
        <x:v>U04</x:v>
      </x:c>
      <x:c r="C2214" s="12" t="str">
        <x:v>first_display</x:v>
      </x:c>
      <x:c r="D2214" s="12" t="str">
        <x:v>첫 구체적 채택 내용 화면 표시</x:v>
      </x:c>
      <x:c r="E2214" s="12" t="str">
        <x:v>via</x:v>
      </x:c>
      <x:c r="F2214" s="13" t="n">
        <x:v>1.51</x:v>
      </x:c>
      <x:c r="G2214" s="13" t="n">
        <x:v>1.55</x:v>
      </x:c>
      <x:c r="H2214" s="13" t="n">
        <x:v>0.04</x:v>
      </x:c>
      <x:c r="I2214" s="13" t="n">
        <x:v>0</x:v>
      </x:c>
      <x:c r="J2214" s="12" t="str">
        <x:v>adopt</x:v>
      </x:c>
      <x:c r="K2214" s="12" t="str">
        <x:v>none</x:v>
      </x:c>
      <x:c r="L2214" s="13" t="n">
        <x:f>IF(G2214&lt;=I2214,0,MAX(0,L2213)+IF(E2214="via",MAX(0,G2214-MAX(F2214,I2214)),0))</x:f>
        <x:v>1.55</x:v>
      </x:c>
    </x:row>
    <x:row r="2215" ht="42" customHeight="1">
      <x:c r="A2215" s="7" t="str">
        <x:v>DP44-B</x:v>
      </x:c>
      <x:c r="B2215" s="7" t="str">
        <x:v>U04</x:v>
      </x:c>
      <x:c r="C2215" s="7" t="str">
        <x:v>response_audio</x:v>
      </x:c>
      <x:c r="D2215" s="7" t="str">
        <x:v>선택한 응답 음성 생성</x:v>
      </x:c>
      <x:c r="E2215" s="7" t="str">
        <x:v>via</x:v>
      </x:c>
      <x:c r="F2215" s="14" t="n">
        <x:v>1.51</x:v>
      </x:c>
      <x:c r="G2215" s="14" t="n">
        <x:v>3.3979999999999997</x:v>
      </x:c>
      <x:c r="H2215" s="14" t="n">
        <x:v>1.888</x:v>
      </x:c>
      <x:c r="I2215" s="14" t="n">
        <x:v>0</x:v>
      </x:c>
      <x:c r="J2215" s="7" t="str">
        <x:v>adopt, adopt</x:v>
      </x:c>
      <x:c r="K2215" s="7" t="str">
        <x:v>speech</x:v>
      </x:c>
      <x:c r="L2215" s="14" t="n">
        <x:f>IF(G2215&lt;=I2215,0,MAX(0,L2213,L2213)+IF(E2215="via",MAX(0,G2215-MAX(F2215,I2215)),0))</x:f>
        <x:v>3.3979999999999997</x:v>
      </x:c>
    </x:row>
    <x:row r="2216" ht="42" customHeight="1">
      <x:c r="A2216" s="12" t="str">
        <x:v>DP44-B</x:v>
      </x:c>
      <x:c r="B2216" s="12" t="str">
        <x:v>U04</x:v>
      </x:c>
      <x:c r="C2216" s="12" t="str">
        <x:v>first_chunk</x:v>
      </x:c>
      <x:c r="D2216" s="12" t="str">
        <x:v>같은 생성 job의 유효 첫 chunk 관측</x:v>
      </x:c>
      <x:c r="E2216" s="12" t="str">
        <x:v>via</x:v>
      </x:c>
      <x:c r="F2216" s="13" t="n">
        <x:v>1.51</x:v>
      </x:c>
      <x:c r="G2216" s="13" t="n">
        <x:v>1.948</x:v>
      </x:c>
      <x:c r="H2216" s="13" t="n">
        <x:v>0.438</x:v>
      </x:c>
      <x:c r="I2216" s="13" t="n">
        <x:v>0</x:v>
      </x:c>
      <x:c r="J2216" s="12" t="str">
        <x:v>adopt, adopt</x:v>
      </x:c>
      <x:c r="K2216" s="12" t="str">
        <x:v>none</x:v>
      </x:c>
      <x:c r="L2216" s="13" t="n">
        <x:f>IF(G2216&lt;=I2216,0,MAX(0,L2213,L2213)+IF(E2216="via",MAX(0,G2216-MAX(F2216,I2216)),0))</x:f>
        <x:v>1.948</x:v>
      </x:c>
    </x:row>
    <x:row r="2217" ht="42" customHeight="1">
      <x:c r="A2217" s="7" t="str">
        <x:v>DP44-B</x:v>
      </x:c>
      <x:c r="B2217" s="7" t="str">
        <x:v>U04</x:v>
      </x:c>
      <x:c r="C2217" s="7" t="str">
        <x:v>first_audio_output</x:v>
      </x:c>
      <x:c r="D2217" s="7" t="str">
        <x:v>공통 장치의 첫 음성 출력</x:v>
      </x:c>
      <x:c r="E2217" s="7" t="str">
        <x:v>via</x:v>
      </x:c>
      <x:c r="F2217" s="14" t="n">
        <x:v>1.948</x:v>
      </x:c>
      <x:c r="G2217" s="14" t="n">
        <x:v>1.988</x:v>
      </x:c>
      <x:c r="H2217" s="14" t="n">
        <x:v>0.04</x:v>
      </x:c>
      <x:c r="I2217" s="14" t="n">
        <x:v>0</x:v>
      </x:c>
      <x:c r="J2217" s="7" t="str">
        <x:v>adopt, first_chunk</x:v>
      </x:c>
      <x:c r="K2217" s="7" t="str">
        <x:v>none</x:v>
      </x:c>
      <x:c r="L2217" s="14" t="n">
        <x:f>IF(G2217&lt;=I2217,0,MAX(0,L2213,L2216)+IF(E2217="via",MAX(0,G2217-MAX(F2217,I2217)),0))</x:f>
        <x:v>1.988</x:v>
      </x:c>
    </x:row>
    <x:row r="2218" ht="42" customHeight="1">
      <x:c r="A2218" s="12" t="str">
        <x:v>DP44-B</x:v>
      </x:c>
      <x:c r="B2218" s="12" t="str">
        <x:v>U04</x:v>
      </x:c>
      <x:c r="C2218" s="12" t="str">
        <x:v>terminal</x:v>
      </x:c>
      <x:c r="D2218" s="12" t="str">
        <x:v>공통 목표 최종 상태와 전체 음성 준비</x:v>
      </x:c>
      <x:c r="E2218" s="12" t="str">
        <x:v>via</x:v>
      </x:c>
      <x:c r="F2218" s="13" t="n">
        <x:v>3.3979999999999997</x:v>
      </x:c>
      <x:c r="G2218" s="13" t="n">
        <x:v>3.3979999999999997</x:v>
      </x:c>
      <x:c r="H2218" s="13" t="n">
        <x:v>0</x:v>
      </x:c>
      <x:c r="I2218" s="13" t="n">
        <x:v>0</x:v>
      </x:c>
      <x:c r="J2218" s="12" t="str">
        <x:v>first_display, response_audio, first_audio_output</x:v>
      </x:c>
      <x:c r="K2218" s="12" t="str">
        <x:v>none</x:v>
      </x:c>
      <x:c r="L2218" s="13" t="n">
        <x:f>IF(G2218&lt;=I2218,0,MAX(0,L2214,L2215,L2217)+IF(E2218="via",MAX(0,G2218-MAX(F2218,I2218)),0))</x:f>
        <x:v>3.3979999999999997</x:v>
      </x:c>
    </x:row>
    <x:row r="2219" ht="42" customHeight="1">
      <x:c r="A2219" s="7" t="str">
        <x:v>DP44-B</x:v>
      </x:c>
      <x:c r="B2219" s="7" t="str">
        <x:v>U05</x:v>
      </x:c>
      <x:c r="C2219" s="7" t="str">
        <x:v>bg1</x:v>
      </x:c>
      <x:c r="D2219" s="7" t="str">
        <x:v>진행 중인 현재 대화의 의미 step</x:v>
      </x:c>
      <x:c r="E2219" s="7" t="str">
        <x:v>via</x:v>
      </x:c>
      <x:c r="F2219" s="14" t="n">
        <x:v>-1</x:v>
      </x:c>
      <x:c r="G2219" s="14" t="n">
        <x:v>2.4</x:v>
      </x:c>
      <x:c r="H2219" s="14" t="n">
        <x:v>3.4</x:v>
      </x:c>
      <x:c r="I2219" s="14" t="n">
        <x:v>0</x:v>
      </x:c>
      <x:c r="J2219" s="7" t="str"/>
      <x:c r="K2219" s="7" t="str">
        <x:v>semantic</x:v>
      </x:c>
      <x:c r="L2219" s="14" t="n">
        <x:f>IF(G2219&lt;=I2219,0,MAX(0)+IF(E2219="via",MAX(0,G2219-MAX(F2219,I2219)),0))</x:f>
        <x:v>2.4</x:v>
      </x:c>
    </x:row>
    <x:row r="2220" ht="42" customHeight="1">
      <x:c r="A2220" s="12" t="str">
        <x:v>DP44-B</x:v>
      </x:c>
      <x:c r="B2220" s="12" t="str">
        <x:v>U05</x:v>
      </x:c>
      <x:c r="C2220" s="12" t="str">
        <x:v>input_end</x:v>
      </x:c>
      <x:c r="D2220" s="12" t="str">
        <x:v>사용자 입력 종료</x:v>
      </x:c>
      <x:c r="E2220" s="12" t="str">
        <x:v>external</x:v>
      </x:c>
      <x:c r="F2220" s="13" t="n">
        <x:v>0</x:v>
      </x:c>
      <x:c r="G2220" s="13" t="n">
        <x:v>0</x:v>
      </x:c>
      <x:c r="H2220" s="13" t="n">
        <x:v>0</x:v>
      </x:c>
      <x:c r="I2220" s="13" t="n">
        <x:v>0</x:v>
      </x:c>
      <x:c r="J2220" s="12" t="str"/>
      <x:c r="K2220" s="12" t="str">
        <x:v>none</x:v>
      </x:c>
      <x:c r="L2220" s="13" t="n">
        <x:f>IF(G2220&lt;=I2220,0,MAX(0)+IF(E2220="via",MAX(0,G2220-MAX(F2220,I2220)),0))</x:f>
        <x:v>0</x:v>
      </x:c>
    </x:row>
    <x:row r="2221" ht="42" customHeight="1">
      <x:c r="A2221" s="7" t="str">
        <x:v>DP44-B</x:v>
      </x:c>
      <x:c r="B2221" s="7" t="str">
        <x:v>U05</x:v>
      </x:c>
      <x:c r="C2221" s="7" t="str">
        <x:v>intake</x:v>
      </x:c>
      <x:c r="D2221" s="7" t="str">
        <x:v>입력 확정</x:v>
      </x:c>
      <x:c r="E2221" s="7" t="str">
        <x:v>via</x:v>
      </x:c>
      <x:c r="F2221" s="14" t="n">
        <x:v>0</x:v>
      </x:c>
      <x:c r="G2221" s="14" t="n">
        <x:v>0.3</x:v>
      </x:c>
      <x:c r="H2221" s="14" t="n">
        <x:v>0.3</x:v>
      </x:c>
      <x:c r="I2221" s="14" t="n">
        <x:v>0</x:v>
      </x:c>
      <x:c r="J2221" s="7" t="str">
        <x:v>input_end</x:v>
      </x:c>
      <x:c r="K2221" s="7" t="str">
        <x:v>none</x:v>
      </x:c>
      <x:c r="L2221" s="14" t="n">
        <x:f>IF(G2221&lt;=I2221,0,MAX(0,L2220)+IF(E2221="via",MAX(0,G2221-MAX(F2221,I2221)),0))</x:f>
        <x:v>0.3</x:v>
      </x:c>
    </x:row>
    <x:row r="2222" ht="42" customHeight="1">
      <x:c r="A2222" s="12" t="str">
        <x:v>DP44-B</x:v>
      </x:c>
      <x:c r="B2222" s="12" t="str">
        <x:v>U05</x:v>
      </x:c>
      <x:c r="C2222" s="12" t="str">
        <x:v>read</x:v>
      </x:c>
      <x:c r="D2222" s="12" t="str">
        <x:v>공통 허용 원본 조회</x:v>
      </x:c>
      <x:c r="E2222" s="12" t="str">
        <x:v>via</x:v>
      </x:c>
      <x:c r="F2222" s="13" t="n">
        <x:v>0.3</x:v>
      </x:c>
      <x:c r="G2222" s="13" t="n">
        <x:v>0.38</x:v>
      </x:c>
      <x:c r="H2222" s="13" t="n">
        <x:v>0.08</x:v>
      </x:c>
      <x:c r="I2222" s="13" t="n">
        <x:v>0</x:v>
      </x:c>
      <x:c r="J2222" s="12" t="str">
        <x:v>intake</x:v>
      </x:c>
      <x:c r="K2222" s="12" t="str">
        <x:v>none</x:v>
      </x:c>
      <x:c r="L2222" s="13" t="n">
        <x:f>IF(G2222&lt;=I2222,0,MAX(0,L2221)+IF(E2222="via",MAX(0,G2222-MAX(F2222,I2222)),0))</x:f>
        <x:v>0.38</x:v>
      </x:c>
    </x:row>
    <x:row r="2223" ht="42" customHeight="1">
      <x:c r="A2223" s="7" t="str">
        <x:v>DP44-B</x:v>
      </x:c>
      <x:c r="B2223" s="7" t="str">
        <x:v>U05</x:v>
      </x:c>
      <x:c r="C2223" s="7" t="str">
        <x:v>meaning</x:v>
      </x:c>
      <x:c r="D2223" s="7" t="str">
        <x:v>최초 요청 의미 채택 packet 생성</x:v>
      </x:c>
      <x:c r="E2223" s="7" t="str">
        <x:v>via</x:v>
      </x:c>
      <x:c r="F2223" s="14" t="n">
        <x:v>2.4</x:v>
      </x:c>
      <x:c r="G2223" s="14" t="n">
        <x:v>3.5</x:v>
      </x:c>
      <x:c r="H2223" s="14" t="n">
        <x:v>1.1</x:v>
      </x:c>
      <x:c r="I2223" s="14" t="n">
        <x:v>0</x:v>
      </x:c>
      <x:c r="J2223" s="7" t="str">
        <x:v>read, bg1</x:v>
      </x:c>
      <x:c r="K2223" s="7" t="str">
        <x:v>semantic</x:v>
      </x:c>
      <x:c r="L2223" s="14" t="n">
        <x:f>IF(G2223&lt;=I2223,0,MAX(0,L2222,L2219)+IF(E2223="via",MAX(0,G2223-MAX(F2223,I2223)),0))</x:f>
        <x:v>3.5</x:v>
      </x:c>
    </x:row>
    <x:row r="2224" ht="42" customHeight="1">
      <x:c r="A2224" s="12" t="str">
        <x:v>DP44-B</x:v>
      </x:c>
      <x:c r="B2224" s="12" t="str">
        <x:v>U05</x:v>
      </x:c>
      <x:c r="C2224" s="12" t="str">
        <x:v>adopt</x:v>
      </x:c>
      <x:c r="D2224" s="12" t="str">
        <x:v>현재 revision과 권한 검사 및 채택</x:v>
      </x:c>
      <x:c r="E2224" s="12" t="str">
        <x:v>via</x:v>
      </x:c>
      <x:c r="F2224" s="13" t="n">
        <x:v>3.5</x:v>
      </x:c>
      <x:c r="G2224" s="13" t="n">
        <x:v>3.53</x:v>
      </x:c>
      <x:c r="H2224" s="13" t="n">
        <x:v>0.03</x:v>
      </x:c>
      <x:c r="I2224" s="13" t="n">
        <x:v>0</x:v>
      </x:c>
      <x:c r="J2224" s="12" t="str">
        <x:v>meaning</x:v>
      </x:c>
      <x:c r="K2224" s="12" t="str">
        <x:v>none</x:v>
      </x:c>
      <x:c r="L2224" s="13" t="n">
        <x:f>IF(G2224&lt;=I2224,0,MAX(0,L2223)+IF(E2224="via",MAX(0,G2224-MAX(F2224,I2224)),0))</x:f>
        <x:v>3.53</x:v>
      </x:c>
    </x:row>
    <x:row r="2225" ht="42" customHeight="1">
      <x:c r="A2225" s="7" t="str">
        <x:v>DP44-B</x:v>
      </x:c>
      <x:c r="B2225" s="7" t="str">
        <x:v>U05</x:v>
      </x:c>
      <x:c r="C2225" s="7" t="str">
        <x:v>first_display</x:v>
      </x:c>
      <x:c r="D2225" s="7" t="str">
        <x:v>첫 구체적 채택 내용 화면 표시</x:v>
      </x:c>
      <x:c r="E2225" s="7" t="str">
        <x:v>via</x:v>
      </x:c>
      <x:c r="F2225" s="14" t="n">
        <x:v>3.53</x:v>
      </x:c>
      <x:c r="G2225" s="14" t="n">
        <x:v>3.57</x:v>
      </x:c>
      <x:c r="H2225" s="14" t="n">
        <x:v>0.04</x:v>
      </x:c>
      <x:c r="I2225" s="14" t="n">
        <x:v>0</x:v>
      </x:c>
      <x:c r="J2225" s="7" t="str">
        <x:v>adopt</x:v>
      </x:c>
      <x:c r="K2225" s="7" t="str">
        <x:v>none</x:v>
      </x:c>
      <x:c r="L2225" s="14" t="n">
        <x:f>IF(G2225&lt;=I2225,0,MAX(0,L2224)+IF(E2225="via",MAX(0,G2225-MAX(F2225,I2225)),0))</x:f>
        <x:v>3.57</x:v>
      </x:c>
    </x:row>
    <x:row r="2226" ht="42" customHeight="1">
      <x:c r="A2226" s="12" t="str">
        <x:v>DP44-B</x:v>
      </x:c>
      <x:c r="B2226" s="12" t="str">
        <x:v>U05</x:v>
      </x:c>
      <x:c r="C2226" s="12" t="str">
        <x:v>response_audio</x:v>
      </x:c>
      <x:c r="D2226" s="12" t="str">
        <x:v>선택한 응답 음성 생성</x:v>
      </x:c>
      <x:c r="E2226" s="12" t="str">
        <x:v>via</x:v>
      </x:c>
      <x:c r="F2226" s="13" t="n">
        <x:v>3.53</x:v>
      </x:c>
      <x:c r="G2226" s="13" t="n">
        <x:v>5.417999999999999</x:v>
      </x:c>
      <x:c r="H2226" s="13" t="n">
        <x:v>1.888</x:v>
      </x:c>
      <x:c r="I2226" s="13" t="n">
        <x:v>0</x:v>
      </x:c>
      <x:c r="J2226" s="12" t="str">
        <x:v>adopt, adopt</x:v>
      </x:c>
      <x:c r="K2226" s="12" t="str">
        <x:v>speech</x:v>
      </x:c>
      <x:c r="L2226" s="13" t="n">
        <x:f>IF(G2226&lt;=I2226,0,MAX(0,L2224,L2224)+IF(E2226="via",MAX(0,G2226-MAX(F2226,I2226)),0))</x:f>
        <x:v>5.417999999999999</x:v>
      </x:c>
    </x:row>
    <x:row r="2227" ht="42" customHeight="1">
      <x:c r="A2227" s="7" t="str">
        <x:v>DP44-B</x:v>
      </x:c>
      <x:c r="B2227" s="7" t="str">
        <x:v>U05</x:v>
      </x:c>
      <x:c r="C2227" s="7" t="str">
        <x:v>first_chunk</x:v>
      </x:c>
      <x:c r="D2227" s="7" t="str">
        <x:v>같은 생성 job의 유효 첫 chunk 관측</x:v>
      </x:c>
      <x:c r="E2227" s="7" t="str">
        <x:v>via</x:v>
      </x:c>
      <x:c r="F2227" s="14" t="n">
        <x:v>3.53</x:v>
      </x:c>
      <x:c r="G2227" s="14" t="n">
        <x:v>3.968</x:v>
      </x:c>
      <x:c r="H2227" s="14" t="n">
        <x:v>0.438</x:v>
      </x:c>
      <x:c r="I2227" s="14" t="n">
        <x:v>0</x:v>
      </x:c>
      <x:c r="J2227" s="7" t="str">
        <x:v>adopt, adopt</x:v>
      </x:c>
      <x:c r="K2227" s="7" t="str">
        <x:v>none</x:v>
      </x:c>
      <x:c r="L2227" s="14" t="n">
        <x:f>IF(G2227&lt;=I2227,0,MAX(0,L2224,L2224)+IF(E2227="via",MAX(0,G2227-MAX(F2227,I2227)),0))</x:f>
        <x:v>3.968</x:v>
      </x:c>
    </x:row>
    <x:row r="2228" ht="42" customHeight="1">
      <x:c r="A2228" s="12" t="str">
        <x:v>DP44-B</x:v>
      </x:c>
      <x:c r="B2228" s="12" t="str">
        <x:v>U05</x:v>
      </x:c>
      <x:c r="C2228" s="12" t="str">
        <x:v>first_audio_output</x:v>
      </x:c>
      <x:c r="D2228" s="12" t="str">
        <x:v>공통 장치의 첫 음성 출력</x:v>
      </x:c>
      <x:c r="E2228" s="12" t="str">
        <x:v>via</x:v>
      </x:c>
      <x:c r="F2228" s="13" t="n">
        <x:v>3.968</x:v>
      </x:c>
      <x:c r="G2228" s="13" t="n">
        <x:v>4.008</x:v>
      </x:c>
      <x:c r="H2228" s="13" t="n">
        <x:v>0.04</x:v>
      </x:c>
      <x:c r="I2228" s="13" t="n">
        <x:v>0</x:v>
      </x:c>
      <x:c r="J2228" s="12" t="str">
        <x:v>adopt, first_chunk</x:v>
      </x:c>
      <x:c r="K2228" s="12" t="str">
        <x:v>none</x:v>
      </x:c>
      <x:c r="L2228" s="13" t="n">
        <x:f>IF(G2228&lt;=I2228,0,MAX(0,L2224,L2227)+IF(E2228="via",MAX(0,G2228-MAX(F2228,I2228)),0))</x:f>
        <x:v>4.008</x:v>
      </x:c>
    </x:row>
    <x:row r="2229" ht="42" customHeight="1">
      <x:c r="A2229" s="7" t="str">
        <x:v>DP44-B</x:v>
      </x:c>
      <x:c r="B2229" s="7" t="str">
        <x:v>U05</x:v>
      </x:c>
      <x:c r="C2229" s="7" t="str">
        <x:v>terminal</x:v>
      </x:c>
      <x:c r="D2229" s="7" t="str">
        <x:v>공통 목표 최종 상태와 전체 음성 준비</x:v>
      </x:c>
      <x:c r="E2229" s="7" t="str">
        <x:v>via</x:v>
      </x:c>
      <x:c r="F2229" s="14" t="n">
        <x:v>5.417999999999999</x:v>
      </x:c>
      <x:c r="G2229" s="14" t="n">
        <x:v>5.417999999999999</x:v>
      </x:c>
      <x:c r="H2229" s="14" t="n">
        <x:v>0</x:v>
      </x:c>
      <x:c r="I2229" s="14" t="n">
        <x:v>0</x:v>
      </x:c>
      <x:c r="J2229" s="7" t="str">
        <x:v>first_display, response_audio, first_audio_output</x:v>
      </x:c>
      <x:c r="K2229" s="7" t="str">
        <x:v>none</x:v>
      </x:c>
      <x:c r="L2229" s="14" t="n">
        <x:f>IF(G2229&lt;=I2229,0,MAX(0,L2225,L2226,L2228)+IF(E2229="via",MAX(0,G2229-MAX(F2229,I2229)),0))</x:f>
        <x:v>5.417999999999999</x:v>
      </x:c>
    </x:row>
    <x:row r="2230" ht="42" customHeight="1">
      <x:c r="A2230" s="12" t="str">
        <x:v>DP44-B</x:v>
      </x:c>
      <x:c r="B2230" s="12" t="str">
        <x:v>U06</x:v>
      </x:c>
      <x:c r="C2230" s="12" t="str">
        <x:v>bg1</x:v>
      </x:c>
      <x:c r="D2230" s="12" t="str">
        <x:v>진행 중인 현재 대화의 의미 step</x:v>
      </x:c>
      <x:c r="E2230" s="12" t="str">
        <x:v>via</x:v>
      </x:c>
      <x:c r="F2230" s="13" t="n">
        <x:v>-1</x:v>
      </x:c>
      <x:c r="G2230" s="13" t="n">
        <x:v>2.4</x:v>
      </x:c>
      <x:c r="H2230" s="13" t="n">
        <x:v>3.4</x:v>
      </x:c>
      <x:c r="I2230" s="13" t="n">
        <x:v>0</x:v>
      </x:c>
      <x:c r="J2230" s="12" t="str"/>
      <x:c r="K2230" s="12" t="str">
        <x:v>semantic</x:v>
      </x:c>
      <x:c r="L2230" s="13" t="n">
        <x:f>IF(G2230&lt;=I2230,0,MAX(0)+IF(E2230="via",MAX(0,G2230-MAX(F2230,I2230)),0))</x:f>
        <x:v>2.4</x:v>
      </x:c>
    </x:row>
    <x:row r="2231" ht="42" customHeight="1">
      <x:c r="A2231" s="7" t="str">
        <x:v>DP44-B</x:v>
      </x:c>
      <x:c r="B2231" s="7" t="str">
        <x:v>U06</x:v>
      </x:c>
      <x:c r="C2231" s="7" t="str">
        <x:v>input_end</x:v>
      </x:c>
      <x:c r="D2231" s="7" t="str">
        <x:v>사용자 입력 종료</x:v>
      </x:c>
      <x:c r="E2231" s="7" t="str">
        <x:v>external</x:v>
      </x:c>
      <x:c r="F2231" s="14" t="n">
        <x:v>0</x:v>
      </x:c>
      <x:c r="G2231" s="14" t="n">
        <x:v>0</x:v>
      </x:c>
      <x:c r="H2231" s="14" t="n">
        <x:v>0</x:v>
      </x:c>
      <x:c r="I2231" s="14" t="n">
        <x:v>0</x:v>
      </x:c>
      <x:c r="J2231" s="7" t="str"/>
      <x:c r="K2231" s="7" t="str">
        <x:v>none</x:v>
      </x:c>
      <x:c r="L2231" s="14" t="n">
        <x:f>IF(G2231&lt;=I2231,0,MAX(0)+IF(E2231="via",MAX(0,G2231-MAX(F2231,I2231)),0))</x:f>
        <x:v>0</x:v>
      </x:c>
    </x:row>
    <x:row r="2232" ht="42" customHeight="1">
      <x:c r="A2232" s="12" t="str">
        <x:v>DP44-B</x:v>
      </x:c>
      <x:c r="B2232" s="12" t="str">
        <x:v>U06</x:v>
      </x:c>
      <x:c r="C2232" s="12" t="str">
        <x:v>intake</x:v>
      </x:c>
      <x:c r="D2232" s="12" t="str">
        <x:v>입력 확정</x:v>
      </x:c>
      <x:c r="E2232" s="12" t="str">
        <x:v>via</x:v>
      </x:c>
      <x:c r="F2232" s="13" t="n">
        <x:v>0</x:v>
      </x:c>
      <x:c r="G2232" s="13" t="n">
        <x:v>0.06</x:v>
      </x:c>
      <x:c r="H2232" s="13" t="n">
        <x:v>0.06</x:v>
      </x:c>
      <x:c r="I2232" s="13" t="n">
        <x:v>0</x:v>
      </x:c>
      <x:c r="J2232" s="12" t="str">
        <x:v>input_end</x:v>
      </x:c>
      <x:c r="K2232" s="12" t="str">
        <x:v>none</x:v>
      </x:c>
      <x:c r="L2232" s="13" t="n">
        <x:f>IF(G2232&lt;=I2232,0,MAX(0,L2231)+IF(E2232="via",MAX(0,G2232-MAX(F2232,I2232)),0))</x:f>
        <x:v>0.06</x:v>
      </x:c>
    </x:row>
    <x:row r="2233" ht="42" customHeight="1">
      <x:c r="A2233" s="7" t="str">
        <x:v>DP44-B</x:v>
      </x:c>
      <x:c r="B2233" s="7" t="str">
        <x:v>U06</x:v>
      </x:c>
      <x:c r="C2233" s="7" t="str">
        <x:v>read</x:v>
      </x:c>
      <x:c r="D2233" s="7" t="str">
        <x:v>공통 허용 원본 조회</x:v>
      </x:c>
      <x:c r="E2233" s="7" t="str">
        <x:v>via</x:v>
      </x:c>
      <x:c r="F2233" s="14" t="n">
        <x:v>0.06</x:v>
      </x:c>
      <x:c r="G2233" s="14" t="n">
        <x:v>0.14</x:v>
      </x:c>
      <x:c r="H2233" s="14" t="n">
        <x:v>0.08</x:v>
      </x:c>
      <x:c r="I2233" s="14" t="n">
        <x:v>0</x:v>
      </x:c>
      <x:c r="J2233" s="7" t="str">
        <x:v>intake</x:v>
      </x:c>
      <x:c r="K2233" s="7" t="str">
        <x:v>none</x:v>
      </x:c>
      <x:c r="L2233" s="14" t="n">
        <x:f>IF(G2233&lt;=I2233,0,MAX(0,L2232)+IF(E2233="via",MAX(0,G2233-MAX(F2233,I2233)),0))</x:f>
        <x:v>0.14</x:v>
      </x:c>
    </x:row>
    <x:row r="2234" ht="42" customHeight="1">
      <x:c r="A2234" s="12" t="str">
        <x:v>DP44-B</x:v>
      </x:c>
      <x:c r="B2234" s="12" t="str">
        <x:v>U06</x:v>
      </x:c>
      <x:c r="C2234" s="12" t="str">
        <x:v>meaning</x:v>
      </x:c>
      <x:c r="D2234" s="12" t="str">
        <x:v>최초 요청 의미 채택 packet 생성</x:v>
      </x:c>
      <x:c r="E2234" s="12" t="str">
        <x:v>via</x:v>
      </x:c>
      <x:c r="F2234" s="13" t="n">
        <x:v>2.4</x:v>
      </x:c>
      <x:c r="G2234" s="13" t="n">
        <x:v>3.5</x:v>
      </x:c>
      <x:c r="H2234" s="13" t="n">
        <x:v>1.1</x:v>
      </x:c>
      <x:c r="I2234" s="13" t="n">
        <x:v>0</x:v>
      </x:c>
      <x:c r="J2234" s="12" t="str">
        <x:v>read, bg1</x:v>
      </x:c>
      <x:c r="K2234" s="12" t="str">
        <x:v>semantic</x:v>
      </x:c>
      <x:c r="L2234" s="13" t="n">
        <x:f>IF(G2234&lt;=I2234,0,MAX(0,L2233,L2230)+IF(E2234="via",MAX(0,G2234-MAX(F2234,I2234)),0))</x:f>
        <x:v>3.5</x:v>
      </x:c>
    </x:row>
    <x:row r="2235" ht="42" customHeight="1">
      <x:c r="A2235" s="7" t="str">
        <x:v>DP44-B</x:v>
      </x:c>
      <x:c r="B2235" s="7" t="str">
        <x:v>U06</x:v>
      </x:c>
      <x:c r="C2235" s="7" t="str">
        <x:v>adopt</x:v>
      </x:c>
      <x:c r="D2235" s="7" t="str">
        <x:v>현재 revision과 권한 검사 및 채택</x:v>
      </x:c>
      <x:c r="E2235" s="7" t="str">
        <x:v>via</x:v>
      </x:c>
      <x:c r="F2235" s="14" t="n">
        <x:v>3.5</x:v>
      </x:c>
      <x:c r="G2235" s="14" t="n">
        <x:v>3.53</x:v>
      </x:c>
      <x:c r="H2235" s="14" t="n">
        <x:v>0.03</x:v>
      </x:c>
      <x:c r="I2235" s="14" t="n">
        <x:v>0</x:v>
      </x:c>
      <x:c r="J2235" s="7" t="str">
        <x:v>meaning</x:v>
      </x:c>
      <x:c r="K2235" s="7" t="str">
        <x:v>none</x:v>
      </x:c>
      <x:c r="L2235" s="14" t="n">
        <x:f>IF(G2235&lt;=I2235,0,MAX(0,L2234)+IF(E2235="via",MAX(0,G2235-MAX(F2235,I2235)),0))</x:f>
        <x:v>3.53</x:v>
      </x:c>
    </x:row>
    <x:row r="2236" ht="42" customHeight="1">
      <x:c r="A2236" s="12" t="str">
        <x:v>DP44-B</x:v>
      </x:c>
      <x:c r="B2236" s="12" t="str">
        <x:v>U06</x:v>
      </x:c>
      <x:c r="C2236" s="12" t="str">
        <x:v>first_display</x:v>
      </x:c>
      <x:c r="D2236" s="12" t="str">
        <x:v>첫 구체적 채택 내용 화면 표시</x:v>
      </x:c>
      <x:c r="E2236" s="12" t="str">
        <x:v>via</x:v>
      </x:c>
      <x:c r="F2236" s="13" t="n">
        <x:v>3.53</x:v>
      </x:c>
      <x:c r="G2236" s="13" t="n">
        <x:v>3.57</x:v>
      </x:c>
      <x:c r="H2236" s="13" t="n">
        <x:v>0.04</x:v>
      </x:c>
      <x:c r="I2236" s="13" t="n">
        <x:v>0</x:v>
      </x:c>
      <x:c r="J2236" s="12" t="str">
        <x:v>adopt</x:v>
      </x:c>
      <x:c r="K2236" s="12" t="str">
        <x:v>none</x:v>
      </x:c>
      <x:c r="L2236" s="13" t="n">
        <x:f>IF(G2236&lt;=I2236,0,MAX(0,L2235)+IF(E2236="via",MAX(0,G2236-MAX(F2236,I2236)),0))</x:f>
        <x:v>3.57</x:v>
      </x:c>
    </x:row>
    <x:row r="2237" ht="42" customHeight="1">
      <x:c r="A2237" s="7" t="str">
        <x:v>DP44-B</x:v>
      </x:c>
      <x:c r="B2237" s="7" t="str">
        <x:v>U06</x:v>
      </x:c>
      <x:c r="C2237" s="7" t="str">
        <x:v>long_work</x:v>
      </x:c>
      <x:c r="D2237" s="7" t="str">
        <x:v>요청의 남은 VIA 판단</x:v>
      </x:c>
      <x:c r="E2237" s="7" t="str">
        <x:v>via</x:v>
      </x:c>
      <x:c r="F2237" s="14" t="n">
        <x:v>3.53</x:v>
      </x:c>
      <x:c r="G2237" s="14" t="n">
        <x:v>5.13</x:v>
      </x:c>
      <x:c r="H2237" s="14" t="n">
        <x:v>1.6</x:v>
      </x:c>
      <x:c r="I2237" s="14" t="n">
        <x:v>0</x:v>
      </x:c>
      <x:c r="J2237" s="7" t="str">
        <x:v>adopt</x:v>
      </x:c>
      <x:c r="K2237" s="7" t="str">
        <x:v>semantic</x:v>
      </x:c>
      <x:c r="L2237" s="14" t="n">
        <x:f>IF(G2237&lt;=I2237,0,MAX(0,L2235)+IF(E2237="via",MAX(0,G2237-MAX(F2237,I2237)),0))</x:f>
        <x:v>5.13</x:v>
      </x:c>
    </x:row>
    <x:row r="2238" ht="42" customHeight="1">
      <x:c r="A2238" s="12" t="str">
        <x:v>DP44-B</x:v>
      </x:c>
      <x:c r="B2238" s="12" t="str">
        <x:v>U06</x:v>
      </x:c>
      <x:c r="C2238" s="12" t="str">
        <x:v>result_display</x:v>
      </x:c>
      <x:c r="D2238" s="12" t="str">
        <x:v>최종 설명 상세 표시</x:v>
      </x:c>
      <x:c r="E2238" s="12" t="str">
        <x:v>via</x:v>
      </x:c>
      <x:c r="F2238" s="13" t="n">
        <x:v>5.13</x:v>
      </x:c>
      <x:c r="G2238" s="13" t="n">
        <x:v>5.17</x:v>
      </x:c>
      <x:c r="H2238" s="13" t="n">
        <x:v>0.04</x:v>
      </x:c>
      <x:c r="I2238" s="13" t="n">
        <x:v>0</x:v>
      </x:c>
      <x:c r="J2238" s="12" t="str">
        <x:v>long_work</x:v>
      </x:c>
      <x:c r="K2238" s="12" t="str">
        <x:v>none</x:v>
      </x:c>
      <x:c r="L2238" s="13" t="n">
        <x:f>IF(G2238&lt;=I2238,0,MAX(0,L2237)+IF(E2238="via",MAX(0,G2238-MAX(F2238,I2238)),0))</x:f>
        <x:v>5.17</x:v>
      </x:c>
    </x:row>
    <x:row r="2239" ht="42" customHeight="1">
      <x:c r="A2239" s="7" t="str">
        <x:v>DP44-B</x:v>
      </x:c>
      <x:c r="B2239" s="7" t="str">
        <x:v>U06</x:v>
      </x:c>
      <x:c r="C2239" s="7" t="str">
        <x:v>response_audio</x:v>
      </x:c>
      <x:c r="D2239" s="7" t="str">
        <x:v>선택한 응답 음성 생성</x:v>
      </x:c>
      <x:c r="E2239" s="7" t="str">
        <x:v>via</x:v>
      </x:c>
      <x:c r="F2239" s="14" t="n">
        <x:v>7.004</x:v>
      </x:c>
      <x:c r="G2239" s="14" t="n">
        <x:v>8.892</x:v>
      </x:c>
      <x:c r="H2239" s="14" t="n">
        <x:v>1.888</x:v>
      </x:c>
      <x:c r="I2239" s="14" t="n">
        <x:v>0</x:v>
      </x:c>
      <x:c r="J2239" s="7" t="str">
        <x:v>long_work, adopt, next_speech_selection</x:v>
      </x:c>
      <x:c r="K2239" s="7" t="str">
        <x:v>speech</x:v>
      </x:c>
      <x:c r="L2239" s="14" t="n">
        <x:f>IF(G2239&lt;=I2239,0,MAX(0,L2237,L2235,L2243)+IF(E2239="via",MAX(0,G2239-MAX(F2239,I2239)),0))</x:f>
        <x:v>7.018</x:v>
      </x:c>
    </x:row>
    <x:row r="2240" ht="42" customHeight="1">
      <x:c r="A2240" s="12" t="str">
        <x:v>DP44-B</x:v>
      </x:c>
      <x:c r="B2240" s="12" t="str">
        <x:v>U06</x:v>
      </x:c>
      <x:c r="C2240" s="12" t="str">
        <x:v>intent_audio</x:v>
      </x:c>
      <x:c r="D2240" s="12" t="str">
        <x:v>채택한 구체적 수행 의도의 짧은 음성</x:v>
      </x:c>
      <x:c r="E2240" s="12" t="str">
        <x:v>via</x:v>
      </x:c>
      <x:c r="F2240" s="13" t="n">
        <x:v>3.53</x:v>
      </x:c>
      <x:c r="G2240" s="13" t="n">
        <x:v>4.664</x:v>
      </x:c>
      <x:c r="H2240" s="13" t="n">
        <x:v>1.134</x:v>
      </x:c>
      <x:c r="I2240" s="13" t="n">
        <x:v>0</x:v>
      </x:c>
      <x:c r="J2240" s="12" t="str">
        <x:v>adopt</x:v>
      </x:c>
      <x:c r="K2240" s="12" t="str">
        <x:v>speech</x:v>
      </x:c>
      <x:c r="L2240" s="13" t="n">
        <x:f>IF(G2240&lt;=I2240,0,MAX(0,L2235)+IF(E2240="via",MAX(0,G2240-MAX(F2240,I2240)),0))</x:f>
        <x:v>4.664</x:v>
      </x:c>
    </x:row>
    <x:row r="2241" ht="42" customHeight="1">
      <x:c r="A2241" s="7" t="str">
        <x:v>DP44-B</x:v>
      </x:c>
      <x:c r="B2241" s="7" t="str">
        <x:v>U06</x:v>
      </x:c>
      <x:c r="C2241" s="7" t="str">
        <x:v>first_chunk</x:v>
      </x:c>
      <x:c r="D2241" s="7" t="str">
        <x:v>같은 생성 job의 유효 첫 chunk 관측</x:v>
      </x:c>
      <x:c r="E2241" s="7" t="str">
        <x:v>via</x:v>
      </x:c>
      <x:c r="F2241" s="14" t="n">
        <x:v>3.53</x:v>
      </x:c>
      <x:c r="G2241" s="14" t="n">
        <x:v>3.964</x:v>
      </x:c>
      <x:c r="H2241" s="14" t="n">
        <x:v>0.434</x:v>
      </x:c>
      <x:c r="I2241" s="14" t="n">
        <x:v>0</x:v>
      </x:c>
      <x:c r="J2241" s="7" t="str">
        <x:v>adopt</x:v>
      </x:c>
      <x:c r="K2241" s="7" t="str">
        <x:v>none</x:v>
      </x:c>
      <x:c r="L2241" s="14" t="n">
        <x:f>IF(G2241&lt;=I2241,0,MAX(0,L2235)+IF(E2241="via",MAX(0,G2241-MAX(F2241,I2241)),0))</x:f>
        <x:v>3.964</x:v>
      </x:c>
    </x:row>
    <x:row r="2242" ht="42" customHeight="1">
      <x:c r="A2242" s="12" t="str">
        <x:v>DP44-B</x:v>
      </x:c>
      <x:c r="B2242" s="12" t="str">
        <x:v>U06</x:v>
      </x:c>
      <x:c r="C2242" s="12" t="str">
        <x:v>first_audio_output</x:v>
      </x:c>
      <x:c r="D2242" s="12" t="str">
        <x:v>공통 장치의 첫 음성 출력</x:v>
      </x:c>
      <x:c r="E2242" s="12" t="str">
        <x:v>via</x:v>
      </x:c>
      <x:c r="F2242" s="13" t="n">
        <x:v>3.964</x:v>
      </x:c>
      <x:c r="G2242" s="13" t="n">
        <x:v>4.004</x:v>
      </x:c>
      <x:c r="H2242" s="13" t="n">
        <x:v>0.04</x:v>
      </x:c>
      <x:c r="I2242" s="13" t="n">
        <x:v>0</x:v>
      </x:c>
      <x:c r="J2242" s="12" t="str">
        <x:v>adopt, first_chunk</x:v>
      </x:c>
      <x:c r="K2242" s="12" t="str">
        <x:v>none</x:v>
      </x:c>
      <x:c r="L2242" s="13" t="n">
        <x:f>IF(G2242&lt;=I2242,0,MAX(0,L2235,L2241)+IF(E2242="via",MAX(0,G2242-MAX(F2242,I2242)),0))</x:f>
        <x:v>4.004</x:v>
      </x:c>
    </x:row>
    <x:row r="2243" ht="42" customHeight="1">
      <x:c r="A2243" s="7" t="str">
        <x:v>DP44-B</x:v>
      </x:c>
      <x:c r="B2243" s="7" t="str">
        <x:v>U06</x:v>
      </x:c>
      <x:c r="C2243" s="7" t="str">
        <x:v>next_speech_selection</x:v>
      </x:c>
      <x:c r="D2243" s="7" t="str">
        <x:v>현재 발화 재생 후 다음 응답 선택</x:v>
      </x:c>
      <x:c r="E2243" s="7" t="str">
        <x:v>external</x:v>
      </x:c>
      <x:c r="F2243" s="14" t="n">
        <x:v>4.004</x:v>
      </x:c>
      <x:c r="G2243" s="14" t="n">
        <x:v>7.004</x:v>
      </x:c>
      <x:c r="H2243" s="14" t="n">
        <x:v>3</x:v>
      </x:c>
      <x:c r="I2243" s="14" t="n">
        <x:v>0</x:v>
      </x:c>
      <x:c r="J2243" s="7" t="str">
        <x:v>first_audio_output</x:v>
      </x:c>
      <x:c r="K2243" s="7" t="str">
        <x:v>none</x:v>
      </x:c>
      <x:c r="L2243" s="14" t="n">
        <x:f>IF(G2243&lt;=I2243,0,MAX(0,L2242)+IF(E2243="via",MAX(0,G2243-MAX(F2243,I2243)),0))</x:f>
        <x:v>4.004</x:v>
      </x:c>
    </x:row>
    <x:row r="2244" ht="42" customHeight="1">
      <x:c r="A2244" s="12" t="str">
        <x:v>DP44-B</x:v>
      </x:c>
      <x:c r="B2244" s="12" t="str">
        <x:v>U06</x:v>
      </x:c>
      <x:c r="C2244" s="12" t="str">
        <x:v>terminal</x:v>
      </x:c>
      <x:c r="D2244" s="12" t="str">
        <x:v>공통 목표 최종 상태와 전체 음성 준비</x:v>
      </x:c>
      <x:c r="E2244" s="12" t="str">
        <x:v>via</x:v>
      </x:c>
      <x:c r="F2244" s="13" t="n">
        <x:v>8.892</x:v>
      </x:c>
      <x:c r="G2244" s="13" t="n">
        <x:v>8.892</x:v>
      </x:c>
      <x:c r="H2244" s="13" t="n">
        <x:v>0</x:v>
      </x:c>
      <x:c r="I2244" s="13" t="n">
        <x:v>0</x:v>
      </x:c>
      <x:c r="J2244" s="12" t="str">
        <x:v>result_display, response_audio, intent_audio, first_audio_output</x:v>
      </x:c>
      <x:c r="K2244" s="12" t="str">
        <x:v>none</x:v>
      </x:c>
      <x:c r="L2244" s="13" t="n">
        <x:f>IF(G2244&lt;=I2244,0,MAX(0,L2238,L2239,L2240,L2242)+IF(E2244="via",MAX(0,G2244-MAX(F2244,I2244)),0))</x:f>
        <x:v>7.018</x:v>
      </x:c>
    </x:row>
    <x:row r="2245" ht="42" customHeight="1">
      <x:c r="A2245" s="7" t="str">
        <x:v>DP44-B</x:v>
      </x:c>
      <x:c r="B2245" s="7" t="str">
        <x:v>U07</x:v>
      </x:c>
      <x:c r="C2245" s="7" t="str">
        <x:v>bg1</x:v>
      </x:c>
      <x:c r="D2245" s="7" t="str">
        <x:v>진행 중인 현재 대화의 의미 step</x:v>
      </x:c>
      <x:c r="E2245" s="7" t="str">
        <x:v>via</x:v>
      </x:c>
      <x:c r="F2245" s="14" t="n">
        <x:v>-1</x:v>
      </x:c>
      <x:c r="G2245" s="14" t="n">
        <x:v>2.4</x:v>
      </x:c>
      <x:c r="H2245" s="14" t="n">
        <x:v>3.4</x:v>
      </x:c>
      <x:c r="I2245" s="14" t="n">
        <x:v>0</x:v>
      </x:c>
      <x:c r="J2245" s="7" t="str"/>
      <x:c r="K2245" s="7" t="str">
        <x:v>semantic</x:v>
      </x:c>
      <x:c r="L2245" s="14" t="n">
        <x:f>IF(G2245&lt;=I2245,0,MAX(0)+IF(E2245="via",MAX(0,G2245-MAX(F2245,I2245)),0))</x:f>
        <x:v>2.4</x:v>
      </x:c>
    </x:row>
    <x:row r="2246" ht="42" customHeight="1">
      <x:c r="A2246" s="12" t="str">
        <x:v>DP44-B</x:v>
      </x:c>
      <x:c r="B2246" s="12" t="str">
        <x:v>U07</x:v>
      </x:c>
      <x:c r="C2246" s="12" t="str">
        <x:v>bg2</x:v>
      </x:c>
      <x:c r="D2246" s="12" t="str">
        <x:v>다른 대화의 의미 step</x:v>
      </x:c>
      <x:c r="E2246" s="12" t="str">
        <x:v>via</x:v>
      </x:c>
      <x:c r="F2246" s="13" t="n">
        <x:v>-1</x:v>
      </x:c>
      <x:c r="G2246" s="13" t="n">
        <x:v>2.4</x:v>
      </x:c>
      <x:c r="H2246" s="13" t="n">
        <x:v>3.4</x:v>
      </x:c>
      <x:c r="I2246" s="13" t="n">
        <x:v>0</x:v>
      </x:c>
      <x:c r="J2246" s="12" t="str"/>
      <x:c r="K2246" s="12" t="str">
        <x:v>semantic</x:v>
      </x:c>
      <x:c r="L2246" s="13" t="n">
        <x:f>IF(G2246&lt;=I2246,0,MAX(0)+IF(E2246="via",MAX(0,G2246-MAX(F2246,I2246)),0))</x:f>
        <x:v>2.4</x:v>
      </x:c>
    </x:row>
    <x:row r="2247" ht="42" customHeight="1">
      <x:c r="A2247" s="7" t="str">
        <x:v>DP44-B</x:v>
      </x:c>
      <x:c r="B2247" s="7" t="str">
        <x:v>U07</x:v>
      </x:c>
      <x:c r="C2247" s="7" t="str">
        <x:v>input_end</x:v>
      </x:c>
      <x:c r="D2247" s="7" t="str">
        <x:v>사용자 입력 종료</x:v>
      </x:c>
      <x:c r="E2247" s="7" t="str">
        <x:v>external</x:v>
      </x:c>
      <x:c r="F2247" s="14" t="n">
        <x:v>0</x:v>
      </x:c>
      <x:c r="G2247" s="14" t="n">
        <x:v>0</x:v>
      </x:c>
      <x:c r="H2247" s="14" t="n">
        <x:v>0</x:v>
      </x:c>
      <x:c r="I2247" s="14" t="n">
        <x:v>0</x:v>
      </x:c>
      <x:c r="J2247" s="7" t="str"/>
      <x:c r="K2247" s="7" t="str">
        <x:v>none</x:v>
      </x:c>
      <x:c r="L2247" s="14" t="n">
        <x:f>IF(G2247&lt;=I2247,0,MAX(0)+IF(E2247="via",MAX(0,G2247-MAX(F2247,I2247)),0))</x:f>
        <x:v>0</x:v>
      </x:c>
    </x:row>
    <x:row r="2248" ht="42" customHeight="1">
      <x:c r="A2248" s="12" t="str">
        <x:v>DP44-B</x:v>
      </x:c>
      <x:c r="B2248" s="12" t="str">
        <x:v>U07</x:v>
      </x:c>
      <x:c r="C2248" s="12" t="str">
        <x:v>intake</x:v>
      </x:c>
      <x:c r="D2248" s="12" t="str">
        <x:v>입력 확정</x:v>
      </x:c>
      <x:c r="E2248" s="12" t="str">
        <x:v>via</x:v>
      </x:c>
      <x:c r="F2248" s="13" t="n">
        <x:v>0</x:v>
      </x:c>
      <x:c r="G2248" s="13" t="n">
        <x:v>0.3</x:v>
      </x:c>
      <x:c r="H2248" s="13" t="n">
        <x:v>0.3</x:v>
      </x:c>
      <x:c r="I2248" s="13" t="n">
        <x:v>0</x:v>
      </x:c>
      <x:c r="J2248" s="12" t="str">
        <x:v>input_end</x:v>
      </x:c>
      <x:c r="K2248" s="12" t="str">
        <x:v>none</x:v>
      </x:c>
      <x:c r="L2248" s="13" t="n">
        <x:f>IF(G2248&lt;=I2248,0,MAX(0,L2247)+IF(E2248="via",MAX(0,G2248-MAX(F2248,I2248)),0))</x:f>
        <x:v>0.3</x:v>
      </x:c>
    </x:row>
    <x:row r="2249" ht="42" customHeight="1">
      <x:c r="A2249" s="7" t="str">
        <x:v>DP44-B</x:v>
      </x:c>
      <x:c r="B2249" s="7" t="str">
        <x:v>U07</x:v>
      </x:c>
      <x:c r="C2249" s="7" t="str">
        <x:v>read</x:v>
      </x:c>
      <x:c r="D2249" s="7" t="str">
        <x:v>공통 허용 원본 조회</x:v>
      </x:c>
      <x:c r="E2249" s="7" t="str">
        <x:v>via</x:v>
      </x:c>
      <x:c r="F2249" s="14" t="n">
        <x:v>0.3</x:v>
      </x:c>
      <x:c r="G2249" s="14" t="n">
        <x:v>0.38</x:v>
      </x:c>
      <x:c r="H2249" s="14" t="n">
        <x:v>0.08</x:v>
      </x:c>
      <x:c r="I2249" s="14" t="n">
        <x:v>0</x:v>
      </x:c>
      <x:c r="J2249" s="7" t="str">
        <x:v>intake</x:v>
      </x:c>
      <x:c r="K2249" s="7" t="str">
        <x:v>none</x:v>
      </x:c>
      <x:c r="L2249" s="14" t="n">
        <x:f>IF(G2249&lt;=I2249,0,MAX(0,L2248)+IF(E2249="via",MAX(0,G2249-MAX(F2249,I2249)),0))</x:f>
        <x:v>0.38</x:v>
      </x:c>
    </x:row>
    <x:row r="2250" ht="42" customHeight="1">
      <x:c r="A2250" s="12" t="str">
        <x:v>DP44-B</x:v>
      </x:c>
      <x:c r="B2250" s="12" t="str">
        <x:v>U07</x:v>
      </x:c>
      <x:c r="C2250" s="12" t="str">
        <x:v>meaning</x:v>
      </x:c>
      <x:c r="D2250" s="12" t="str">
        <x:v>최초 요청 의미 채택 packet 생성</x:v>
      </x:c>
      <x:c r="E2250" s="12" t="str">
        <x:v>via</x:v>
      </x:c>
      <x:c r="F2250" s="13" t="n">
        <x:v>2.4</x:v>
      </x:c>
      <x:c r="G2250" s="13" t="n">
        <x:v>3.5</x:v>
      </x:c>
      <x:c r="H2250" s="13" t="n">
        <x:v>1.1</x:v>
      </x:c>
      <x:c r="I2250" s="13" t="n">
        <x:v>0</x:v>
      </x:c>
      <x:c r="J2250" s="12" t="str">
        <x:v>read, bg1</x:v>
      </x:c>
      <x:c r="K2250" s="12" t="str">
        <x:v>semantic</x:v>
      </x:c>
      <x:c r="L2250" s="13" t="n">
        <x:f>IF(G2250&lt;=I2250,0,MAX(0,L2249,L2245)+IF(E2250="via",MAX(0,G2250-MAX(F2250,I2250)),0))</x:f>
        <x:v>3.5</x:v>
      </x:c>
    </x:row>
    <x:row r="2251" ht="42" customHeight="1">
      <x:c r="A2251" s="7" t="str">
        <x:v>DP44-B</x:v>
      </x:c>
      <x:c r="B2251" s="7" t="str">
        <x:v>U07</x:v>
      </x:c>
      <x:c r="C2251" s="7" t="str">
        <x:v>adopt</x:v>
      </x:c>
      <x:c r="D2251" s="7" t="str">
        <x:v>현재 revision과 권한 검사 및 채택</x:v>
      </x:c>
      <x:c r="E2251" s="7" t="str">
        <x:v>via</x:v>
      </x:c>
      <x:c r="F2251" s="14" t="n">
        <x:v>3.5</x:v>
      </x:c>
      <x:c r="G2251" s="14" t="n">
        <x:v>3.53</x:v>
      </x:c>
      <x:c r="H2251" s="14" t="n">
        <x:v>0.03</x:v>
      </x:c>
      <x:c r="I2251" s="14" t="n">
        <x:v>0</x:v>
      </x:c>
      <x:c r="J2251" s="7" t="str">
        <x:v>meaning</x:v>
      </x:c>
      <x:c r="K2251" s="7" t="str">
        <x:v>none</x:v>
      </x:c>
      <x:c r="L2251" s="14" t="n">
        <x:f>IF(G2251&lt;=I2251,0,MAX(0,L2250)+IF(E2251="via",MAX(0,G2251-MAX(F2251,I2251)),0))</x:f>
        <x:v>3.53</x:v>
      </x:c>
    </x:row>
    <x:row r="2252" ht="42" customHeight="1">
      <x:c r="A2252" s="12" t="str">
        <x:v>DP44-B</x:v>
      </x:c>
      <x:c r="B2252" s="12" t="str">
        <x:v>U07</x:v>
      </x:c>
      <x:c r="C2252" s="12" t="str">
        <x:v>first_display</x:v>
      </x:c>
      <x:c r="D2252" s="12" t="str">
        <x:v>첫 구체적 채택 내용 화면 표시</x:v>
      </x:c>
      <x:c r="E2252" s="12" t="str">
        <x:v>via</x:v>
      </x:c>
      <x:c r="F2252" s="13" t="n">
        <x:v>3.53</x:v>
      </x:c>
      <x:c r="G2252" s="13" t="n">
        <x:v>3.57</x:v>
      </x:c>
      <x:c r="H2252" s="13" t="n">
        <x:v>0.04</x:v>
      </x:c>
      <x:c r="I2252" s="13" t="n">
        <x:v>0</x:v>
      </x:c>
      <x:c r="J2252" s="12" t="str">
        <x:v>adopt</x:v>
      </x:c>
      <x:c r="K2252" s="12" t="str">
        <x:v>none</x:v>
      </x:c>
      <x:c r="L2252" s="13" t="n">
        <x:f>IF(G2252&lt;=I2252,0,MAX(0,L2251)+IF(E2252="via",MAX(0,G2252-MAX(F2252,I2252)),0))</x:f>
        <x:v>3.57</x:v>
      </x:c>
    </x:row>
    <x:row r="2253" ht="42" customHeight="1">
      <x:c r="A2253" s="7" t="str">
        <x:v>DP44-B</x:v>
      </x:c>
      <x:c r="B2253" s="7" t="str">
        <x:v>U07</x:v>
      </x:c>
      <x:c r="C2253" s="7" t="str">
        <x:v>long_work</x:v>
      </x:c>
      <x:c r="D2253" s="7" t="str">
        <x:v>요청의 남은 VIA 판단</x:v>
      </x:c>
      <x:c r="E2253" s="7" t="str">
        <x:v>via</x:v>
      </x:c>
      <x:c r="F2253" s="14" t="n">
        <x:v>3.53</x:v>
      </x:c>
      <x:c r="G2253" s="14" t="n">
        <x:v>5.13</x:v>
      </x:c>
      <x:c r="H2253" s="14" t="n">
        <x:v>1.6</x:v>
      </x:c>
      <x:c r="I2253" s="14" t="n">
        <x:v>0</x:v>
      </x:c>
      <x:c r="J2253" s="7" t="str">
        <x:v>adopt</x:v>
      </x:c>
      <x:c r="K2253" s="7" t="str">
        <x:v>semantic</x:v>
      </x:c>
      <x:c r="L2253" s="14" t="n">
        <x:f>IF(G2253&lt;=I2253,0,MAX(0,L2251)+IF(E2253="via",MAX(0,G2253-MAX(F2253,I2253)),0))</x:f>
        <x:v>5.13</x:v>
      </x:c>
    </x:row>
    <x:row r="2254" ht="42" customHeight="1">
      <x:c r="A2254" s="12" t="str">
        <x:v>DP44-B</x:v>
      </x:c>
      <x:c r="B2254" s="12" t="str">
        <x:v>U07</x:v>
      </x:c>
      <x:c r="C2254" s="12" t="str">
        <x:v>result_display</x:v>
      </x:c>
      <x:c r="D2254" s="12" t="str">
        <x:v>최종 설명 상세 표시</x:v>
      </x:c>
      <x:c r="E2254" s="12" t="str">
        <x:v>via</x:v>
      </x:c>
      <x:c r="F2254" s="13" t="n">
        <x:v>5.13</x:v>
      </x:c>
      <x:c r="G2254" s="13" t="n">
        <x:v>5.17</x:v>
      </x:c>
      <x:c r="H2254" s="13" t="n">
        <x:v>0.04</x:v>
      </x:c>
      <x:c r="I2254" s="13" t="n">
        <x:v>0</x:v>
      </x:c>
      <x:c r="J2254" s="12" t="str">
        <x:v>long_work</x:v>
      </x:c>
      <x:c r="K2254" s="12" t="str">
        <x:v>none</x:v>
      </x:c>
      <x:c r="L2254" s="13" t="n">
        <x:f>IF(G2254&lt;=I2254,0,MAX(0,L2253)+IF(E2254="via",MAX(0,G2254-MAX(F2254,I2254)),0))</x:f>
        <x:v>5.17</x:v>
      </x:c>
    </x:row>
    <x:row r="2255" ht="42" customHeight="1">
      <x:c r="A2255" s="7" t="str">
        <x:v>DP44-B</x:v>
      </x:c>
      <x:c r="B2255" s="7" t="str">
        <x:v>U07</x:v>
      </x:c>
      <x:c r="C2255" s="7" t="str">
        <x:v>response_audio</x:v>
      </x:c>
      <x:c r="D2255" s="7" t="str">
        <x:v>선택한 응답 음성 생성</x:v>
      </x:c>
      <x:c r="E2255" s="7" t="str">
        <x:v>via</x:v>
      </x:c>
      <x:c r="F2255" s="14" t="n">
        <x:v>7.004</x:v>
      </x:c>
      <x:c r="G2255" s="14" t="n">
        <x:v>8.892</x:v>
      </x:c>
      <x:c r="H2255" s="14" t="n">
        <x:v>1.888</x:v>
      </x:c>
      <x:c r="I2255" s="14" t="n">
        <x:v>0</x:v>
      </x:c>
      <x:c r="J2255" s="7" t="str">
        <x:v>long_work, adopt, next_speech_selection</x:v>
      </x:c>
      <x:c r="K2255" s="7" t="str">
        <x:v>speech</x:v>
      </x:c>
      <x:c r="L2255" s="14" t="n">
        <x:f>IF(G2255&lt;=I2255,0,MAX(0,L2253,L2251,L2259)+IF(E2255="via",MAX(0,G2255-MAX(F2255,I2255)),0))</x:f>
        <x:v>7.018</x:v>
      </x:c>
    </x:row>
    <x:row r="2256" ht="42" customHeight="1">
      <x:c r="A2256" s="12" t="str">
        <x:v>DP44-B</x:v>
      </x:c>
      <x:c r="B2256" s="12" t="str">
        <x:v>U07</x:v>
      </x:c>
      <x:c r="C2256" s="12" t="str">
        <x:v>intent_audio</x:v>
      </x:c>
      <x:c r="D2256" s="12" t="str">
        <x:v>채택한 구체적 수행 의도의 짧은 음성</x:v>
      </x:c>
      <x:c r="E2256" s="12" t="str">
        <x:v>via</x:v>
      </x:c>
      <x:c r="F2256" s="13" t="n">
        <x:v>3.53</x:v>
      </x:c>
      <x:c r="G2256" s="13" t="n">
        <x:v>4.664</x:v>
      </x:c>
      <x:c r="H2256" s="13" t="n">
        <x:v>1.134</x:v>
      </x:c>
      <x:c r="I2256" s="13" t="n">
        <x:v>0</x:v>
      </x:c>
      <x:c r="J2256" s="12" t="str">
        <x:v>adopt</x:v>
      </x:c>
      <x:c r="K2256" s="12" t="str">
        <x:v>speech</x:v>
      </x:c>
      <x:c r="L2256" s="13" t="n">
        <x:f>IF(G2256&lt;=I2256,0,MAX(0,L2251)+IF(E2256="via",MAX(0,G2256-MAX(F2256,I2256)),0))</x:f>
        <x:v>4.664</x:v>
      </x:c>
    </x:row>
    <x:row r="2257" ht="42" customHeight="1">
      <x:c r="A2257" s="7" t="str">
        <x:v>DP44-B</x:v>
      </x:c>
      <x:c r="B2257" s="7" t="str">
        <x:v>U07</x:v>
      </x:c>
      <x:c r="C2257" s="7" t="str">
        <x:v>first_chunk</x:v>
      </x:c>
      <x:c r="D2257" s="7" t="str">
        <x:v>같은 생성 job의 유효 첫 chunk 관측</x:v>
      </x:c>
      <x:c r="E2257" s="7" t="str">
        <x:v>via</x:v>
      </x:c>
      <x:c r="F2257" s="14" t="n">
        <x:v>3.53</x:v>
      </x:c>
      <x:c r="G2257" s="14" t="n">
        <x:v>3.964</x:v>
      </x:c>
      <x:c r="H2257" s="14" t="n">
        <x:v>0.434</x:v>
      </x:c>
      <x:c r="I2257" s="14" t="n">
        <x:v>0</x:v>
      </x:c>
      <x:c r="J2257" s="7" t="str">
        <x:v>adopt</x:v>
      </x:c>
      <x:c r="K2257" s="7" t="str">
        <x:v>none</x:v>
      </x:c>
      <x:c r="L2257" s="14" t="n">
        <x:f>IF(G2257&lt;=I2257,0,MAX(0,L2251)+IF(E2257="via",MAX(0,G2257-MAX(F2257,I2257)),0))</x:f>
        <x:v>3.964</x:v>
      </x:c>
    </x:row>
    <x:row r="2258" ht="42" customHeight="1">
      <x:c r="A2258" s="12" t="str">
        <x:v>DP44-B</x:v>
      </x:c>
      <x:c r="B2258" s="12" t="str">
        <x:v>U07</x:v>
      </x:c>
      <x:c r="C2258" s="12" t="str">
        <x:v>first_audio_output</x:v>
      </x:c>
      <x:c r="D2258" s="12" t="str">
        <x:v>공통 장치의 첫 음성 출력</x:v>
      </x:c>
      <x:c r="E2258" s="12" t="str">
        <x:v>via</x:v>
      </x:c>
      <x:c r="F2258" s="13" t="n">
        <x:v>3.964</x:v>
      </x:c>
      <x:c r="G2258" s="13" t="n">
        <x:v>4.004</x:v>
      </x:c>
      <x:c r="H2258" s="13" t="n">
        <x:v>0.04</x:v>
      </x:c>
      <x:c r="I2258" s="13" t="n">
        <x:v>0</x:v>
      </x:c>
      <x:c r="J2258" s="12" t="str">
        <x:v>adopt, first_chunk</x:v>
      </x:c>
      <x:c r="K2258" s="12" t="str">
        <x:v>none</x:v>
      </x:c>
      <x:c r="L2258" s="13" t="n">
        <x:f>IF(G2258&lt;=I2258,0,MAX(0,L2251,L2257)+IF(E2258="via",MAX(0,G2258-MAX(F2258,I2258)),0))</x:f>
        <x:v>4.004</x:v>
      </x:c>
    </x:row>
    <x:row r="2259" ht="42" customHeight="1">
      <x:c r="A2259" s="7" t="str">
        <x:v>DP44-B</x:v>
      </x:c>
      <x:c r="B2259" s="7" t="str">
        <x:v>U07</x:v>
      </x:c>
      <x:c r="C2259" s="7" t="str">
        <x:v>next_speech_selection</x:v>
      </x:c>
      <x:c r="D2259" s="7" t="str">
        <x:v>현재 발화 재생 후 다음 응답 선택</x:v>
      </x:c>
      <x:c r="E2259" s="7" t="str">
        <x:v>external</x:v>
      </x:c>
      <x:c r="F2259" s="14" t="n">
        <x:v>4.004</x:v>
      </x:c>
      <x:c r="G2259" s="14" t="n">
        <x:v>7.004</x:v>
      </x:c>
      <x:c r="H2259" s="14" t="n">
        <x:v>3</x:v>
      </x:c>
      <x:c r="I2259" s="14" t="n">
        <x:v>0</x:v>
      </x:c>
      <x:c r="J2259" s="7" t="str">
        <x:v>first_audio_output</x:v>
      </x:c>
      <x:c r="K2259" s="7" t="str">
        <x:v>none</x:v>
      </x:c>
      <x:c r="L2259" s="14" t="n">
        <x:f>IF(G2259&lt;=I2259,0,MAX(0,L2258)+IF(E2259="via",MAX(0,G2259-MAX(F2259,I2259)),0))</x:f>
        <x:v>4.004</x:v>
      </x:c>
    </x:row>
    <x:row r="2260" ht="42" customHeight="1">
      <x:c r="A2260" s="12" t="str">
        <x:v>DP44-B</x:v>
      </x:c>
      <x:c r="B2260" s="12" t="str">
        <x:v>U07</x:v>
      </x:c>
      <x:c r="C2260" s="12" t="str">
        <x:v>terminal</x:v>
      </x:c>
      <x:c r="D2260" s="12" t="str">
        <x:v>공통 목표 최종 상태와 전체 음성 준비</x:v>
      </x:c>
      <x:c r="E2260" s="12" t="str">
        <x:v>via</x:v>
      </x:c>
      <x:c r="F2260" s="13" t="n">
        <x:v>8.892</x:v>
      </x:c>
      <x:c r="G2260" s="13" t="n">
        <x:v>8.892</x:v>
      </x:c>
      <x:c r="H2260" s="13" t="n">
        <x:v>0</x:v>
      </x:c>
      <x:c r="I2260" s="13" t="n">
        <x:v>0</x:v>
      </x:c>
      <x:c r="J2260" s="12" t="str">
        <x:v>result_display, response_audio, intent_audio, first_audio_output</x:v>
      </x:c>
      <x:c r="K2260" s="12" t="str">
        <x:v>none</x:v>
      </x:c>
      <x:c r="L2260" s="13" t="n">
        <x:f>IF(G2260&lt;=I2260,0,MAX(0,L2254,L2255,L2256,L2258)+IF(E2260="via",MAX(0,G2260-MAX(F2260,I2260)),0))</x:f>
        <x:v>7.018</x:v>
      </x:c>
    </x:row>
    <x:row r="2261" ht="42" customHeight="1">
      <x:c r="A2261" s="7" t="str">
        <x:v>DP44-B</x:v>
      </x:c>
      <x:c r="B2261" s="7" t="str">
        <x:v>U08</x:v>
      </x:c>
      <x:c r="C2261" s="7" t="str">
        <x:v>bg1</x:v>
      </x:c>
      <x:c r="D2261" s="7" t="str">
        <x:v>진행 중인 현재 대화의 의미 step</x:v>
      </x:c>
      <x:c r="E2261" s="7" t="str">
        <x:v>via</x:v>
      </x:c>
      <x:c r="F2261" s="14" t="n">
        <x:v>-1</x:v>
      </x:c>
      <x:c r="G2261" s="14" t="n">
        <x:v>2.4</x:v>
      </x:c>
      <x:c r="H2261" s="14" t="n">
        <x:v>3.4</x:v>
      </x:c>
      <x:c r="I2261" s="14" t="n">
        <x:v>-6</x:v>
      </x:c>
      <x:c r="J2261" s="7" t="str">
        <x:v>original_work</x:v>
      </x:c>
      <x:c r="K2261" s="7" t="str">
        <x:v>semantic</x:v>
      </x:c>
      <x:c r="L2261" s="14" t="n">
        <x:f>IF(G2261&lt;=I2261,0,MAX(0,L2262)+IF(E2261="via",MAX(0,G2261-MAX(F2261,I2261)),0))</x:f>
        <x:v>5.4</x:v>
      </x:c>
    </x:row>
    <x:row r="2262" ht="42" customHeight="1">
      <x:c r="A2262" s="12" t="str">
        <x:v>DP44-B</x:v>
      </x:c>
      <x:c r="B2262" s="12" t="str">
        <x:v>U08</x:v>
      </x:c>
      <x:c r="C2262" s="12" t="str">
        <x:v>original_work</x:v>
      </x:c>
      <x:c r="D2262" s="12" t="str">
        <x:v>원래 목표의 최초 VIA 처리</x:v>
      </x:c>
      <x:c r="E2262" s="12" t="str">
        <x:v>via</x:v>
      </x:c>
      <x:c r="F2262" s="13" t="n">
        <x:v>-6</x:v>
      </x:c>
      <x:c r="G2262" s="13" t="n">
        <x:v>-4</x:v>
      </x:c>
      <x:c r="H2262" s="13" t="n">
        <x:v>2</x:v>
      </x:c>
      <x:c r="I2262" s="13" t="n">
        <x:v>-6</x:v>
      </x:c>
      <x:c r="J2262" s="12" t="str"/>
      <x:c r="K2262" s="12" t="str">
        <x:v>none</x:v>
      </x:c>
      <x:c r="L2262" s="13" t="n">
        <x:f>IF(G2262&lt;=I2262,0,MAX(0)+IF(E2262="via",MAX(0,G2262-MAX(F2262,I2262)),0))</x:f>
        <x:v>2</x:v>
      </x:c>
    </x:row>
    <x:row r="2263" ht="42" customHeight="1">
      <x:c r="A2263" s="7" t="str">
        <x:v>DP44-B</x:v>
      </x:c>
      <x:c r="B2263" s="7" t="str">
        <x:v>U08</x:v>
      </x:c>
      <x:c r="C2263" s="7" t="str">
        <x:v>input_end</x:v>
      </x:c>
      <x:c r="D2263" s="7" t="str">
        <x:v>사용자 입력 종료</x:v>
      </x:c>
      <x:c r="E2263" s="7" t="str">
        <x:v>external</x:v>
      </x:c>
      <x:c r="F2263" s="14" t="n">
        <x:v>0</x:v>
      </x:c>
      <x:c r="G2263" s="14" t="n">
        <x:v>0</x:v>
      </x:c>
      <x:c r="H2263" s="14" t="n">
        <x:v>0</x:v>
      </x:c>
      <x:c r="I2263" s="14" t="n">
        <x:v>-6</x:v>
      </x:c>
      <x:c r="J2263" s="7" t="str">
        <x:v>original_work</x:v>
      </x:c>
      <x:c r="K2263" s="7" t="str">
        <x:v>none</x:v>
      </x:c>
      <x:c r="L2263" s="14" t="n">
        <x:f>IF(G2263&lt;=I2263,0,MAX(0,L2262)+IF(E2263="via",MAX(0,G2263-MAX(F2263,I2263)),0))</x:f>
        <x:v>2</x:v>
      </x:c>
    </x:row>
    <x:row r="2264" ht="42" customHeight="1">
      <x:c r="A2264" s="12" t="str">
        <x:v>DP44-B</x:v>
      </x:c>
      <x:c r="B2264" s="12" t="str">
        <x:v>U08</x:v>
      </x:c>
      <x:c r="C2264" s="12" t="str">
        <x:v>intake</x:v>
      </x:c>
      <x:c r="D2264" s="12" t="str">
        <x:v>입력 확정</x:v>
      </x:c>
      <x:c r="E2264" s="12" t="str">
        <x:v>via</x:v>
      </x:c>
      <x:c r="F2264" s="13" t="n">
        <x:v>0</x:v>
      </x:c>
      <x:c r="G2264" s="13" t="n">
        <x:v>0.06</x:v>
      </x:c>
      <x:c r="H2264" s="13" t="n">
        <x:v>0.06</x:v>
      </x:c>
      <x:c r="I2264" s="13" t="n">
        <x:v>-6</x:v>
      </x:c>
      <x:c r="J2264" s="12" t="str">
        <x:v>input_end</x:v>
      </x:c>
      <x:c r="K2264" s="12" t="str">
        <x:v>none</x:v>
      </x:c>
      <x:c r="L2264" s="13" t="n">
        <x:f>IF(G2264&lt;=I2264,0,MAX(0,L2263)+IF(E2264="via",MAX(0,G2264-MAX(F2264,I2264)),0))</x:f>
        <x:v>2.06</x:v>
      </x:c>
    </x:row>
    <x:row r="2265" ht="42" customHeight="1">
      <x:c r="A2265" s="7" t="str">
        <x:v>DP44-B</x:v>
      </x:c>
      <x:c r="B2265" s="7" t="str">
        <x:v>U08</x:v>
      </x:c>
      <x:c r="C2265" s="7" t="str">
        <x:v>read</x:v>
      </x:c>
      <x:c r="D2265" s="7" t="str">
        <x:v>공통 허용 원본 조회</x:v>
      </x:c>
      <x:c r="E2265" s="7" t="str">
        <x:v>via</x:v>
      </x:c>
      <x:c r="F2265" s="14" t="n">
        <x:v>0.06</x:v>
      </x:c>
      <x:c r="G2265" s="14" t="n">
        <x:v>0.14</x:v>
      </x:c>
      <x:c r="H2265" s="14" t="n">
        <x:v>0.08</x:v>
      </x:c>
      <x:c r="I2265" s="14" t="n">
        <x:v>-6</x:v>
      </x:c>
      <x:c r="J2265" s="7" t="str">
        <x:v>intake</x:v>
      </x:c>
      <x:c r="K2265" s="7" t="str">
        <x:v>none</x:v>
      </x:c>
      <x:c r="L2265" s="14" t="n">
        <x:f>IF(G2265&lt;=I2265,0,MAX(0,L2264)+IF(E2265="via",MAX(0,G2265-MAX(F2265,I2265)),0))</x:f>
        <x:v>2.14</x:v>
      </x:c>
    </x:row>
    <x:row r="2266" ht="42" customHeight="1">
      <x:c r="A2266" s="12" t="str">
        <x:v>DP44-B</x:v>
      </x:c>
      <x:c r="B2266" s="12" t="str">
        <x:v>U08</x:v>
      </x:c>
      <x:c r="C2266" s="12" t="str">
        <x:v>meaning</x:v>
      </x:c>
      <x:c r="D2266" s="12" t="str">
        <x:v>최초 요청 의미 채택 packet 생성</x:v>
      </x:c>
      <x:c r="E2266" s="12" t="str">
        <x:v>via</x:v>
      </x:c>
      <x:c r="F2266" s="13" t="n">
        <x:v>2.4</x:v>
      </x:c>
      <x:c r="G2266" s="13" t="n">
        <x:v>3.5</x:v>
      </x:c>
      <x:c r="H2266" s="13" t="n">
        <x:v>1.1</x:v>
      </x:c>
      <x:c r="I2266" s="13" t="n">
        <x:v>-6</x:v>
      </x:c>
      <x:c r="J2266" s="12" t="str">
        <x:v>read, bg1</x:v>
      </x:c>
      <x:c r="K2266" s="12" t="str">
        <x:v>semantic</x:v>
      </x:c>
      <x:c r="L2266" s="13" t="n">
        <x:f>IF(G2266&lt;=I2266,0,MAX(0,L2265,L2261)+IF(E2266="via",MAX(0,G2266-MAX(F2266,I2266)),0))</x:f>
        <x:v>6.5</x:v>
      </x:c>
    </x:row>
    <x:row r="2267" ht="42" customHeight="1">
      <x:c r="A2267" s="7" t="str">
        <x:v>DP44-B</x:v>
      </x:c>
      <x:c r="B2267" s="7" t="str">
        <x:v>U08</x:v>
      </x:c>
      <x:c r="C2267" s="7" t="str">
        <x:v>adopt</x:v>
      </x:c>
      <x:c r="D2267" s="7" t="str">
        <x:v>현재 revision과 권한 검사 및 채택</x:v>
      </x:c>
      <x:c r="E2267" s="7" t="str">
        <x:v>via</x:v>
      </x:c>
      <x:c r="F2267" s="14" t="n">
        <x:v>3.5</x:v>
      </x:c>
      <x:c r="G2267" s="14" t="n">
        <x:v>3.53</x:v>
      </x:c>
      <x:c r="H2267" s="14" t="n">
        <x:v>0.03</x:v>
      </x:c>
      <x:c r="I2267" s="14" t="n">
        <x:v>-6</x:v>
      </x:c>
      <x:c r="J2267" s="7" t="str">
        <x:v>meaning</x:v>
      </x:c>
      <x:c r="K2267" s="7" t="str">
        <x:v>none</x:v>
      </x:c>
      <x:c r="L2267" s="14" t="n">
        <x:f>IF(G2267&lt;=I2267,0,MAX(0,L2266)+IF(E2267="via",MAX(0,G2267-MAX(F2267,I2267)),0))</x:f>
        <x:v>6.529999999999999</x:v>
      </x:c>
    </x:row>
    <x:row r="2268" ht="42" customHeight="1">
      <x:c r="A2268" s="12" t="str">
        <x:v>DP44-B</x:v>
      </x:c>
      <x:c r="B2268" s="12" t="str">
        <x:v>U08</x:v>
      </x:c>
      <x:c r="C2268" s="12" t="str">
        <x:v>first_display</x:v>
      </x:c>
      <x:c r="D2268" s="12" t="str">
        <x:v>첫 구체적 채택 내용 화면 표시</x:v>
      </x:c>
      <x:c r="E2268" s="12" t="str">
        <x:v>via</x:v>
      </x:c>
      <x:c r="F2268" s="13" t="n">
        <x:v>3.53</x:v>
      </x:c>
      <x:c r="G2268" s="13" t="n">
        <x:v>3.57</x:v>
      </x:c>
      <x:c r="H2268" s="13" t="n">
        <x:v>0.04</x:v>
      </x:c>
      <x:c r="I2268" s="13" t="n">
        <x:v>-6</x:v>
      </x:c>
      <x:c r="J2268" s="12" t="str">
        <x:v>adopt</x:v>
      </x:c>
      <x:c r="K2268" s="12" t="str">
        <x:v>none</x:v>
      </x:c>
      <x:c r="L2268" s="13" t="n">
        <x:f>IF(G2268&lt;=I2268,0,MAX(0,L2267)+IF(E2268="via",MAX(0,G2268-MAX(F2268,I2268)),0))</x:f>
        <x:v>6.569999999999999</x:v>
      </x:c>
    </x:row>
    <x:row r="2269" ht="42" customHeight="1">
      <x:c r="A2269" s="7" t="str">
        <x:v>DP44-B</x:v>
      </x:c>
      <x:c r="B2269" s="7" t="str">
        <x:v>U08</x:v>
      </x:c>
      <x:c r="C2269" s="7" t="str">
        <x:v>long_work</x:v>
      </x:c>
      <x:c r="D2269" s="7" t="str">
        <x:v>요청의 남은 VIA 판단</x:v>
      </x:c>
      <x:c r="E2269" s="7" t="str">
        <x:v>via</x:v>
      </x:c>
      <x:c r="F2269" s="14" t="n">
        <x:v>3.53</x:v>
      </x:c>
      <x:c r="G2269" s="14" t="n">
        <x:v>5.13</x:v>
      </x:c>
      <x:c r="H2269" s="14" t="n">
        <x:v>1.6</x:v>
      </x:c>
      <x:c r="I2269" s="14" t="n">
        <x:v>-6</x:v>
      </x:c>
      <x:c r="J2269" s="7" t="str">
        <x:v>adopt</x:v>
      </x:c>
      <x:c r="K2269" s="7" t="str">
        <x:v>semantic</x:v>
      </x:c>
      <x:c r="L2269" s="14" t="n">
        <x:f>IF(G2269&lt;=I2269,0,MAX(0,L2267)+IF(E2269="via",MAX(0,G2269-MAX(F2269,I2269)),0))</x:f>
        <x:v>8.129999999999999</x:v>
      </x:c>
    </x:row>
    <x:row r="2270" ht="42" customHeight="1">
      <x:c r="A2270" s="12" t="str">
        <x:v>DP44-B</x:v>
      </x:c>
      <x:c r="B2270" s="12" t="str">
        <x:v>U08</x:v>
      </x:c>
      <x:c r="C2270" s="12" t="str">
        <x:v>result_display</x:v>
      </x:c>
      <x:c r="D2270" s="12" t="str">
        <x:v>최종 설명 상세 표시</x:v>
      </x:c>
      <x:c r="E2270" s="12" t="str">
        <x:v>via</x:v>
      </x:c>
      <x:c r="F2270" s="13" t="n">
        <x:v>5.13</x:v>
      </x:c>
      <x:c r="G2270" s="13" t="n">
        <x:v>5.17</x:v>
      </x:c>
      <x:c r="H2270" s="13" t="n">
        <x:v>0.04</x:v>
      </x:c>
      <x:c r="I2270" s="13" t="n">
        <x:v>-6</x:v>
      </x:c>
      <x:c r="J2270" s="12" t="str">
        <x:v>long_work</x:v>
      </x:c>
      <x:c r="K2270" s="12" t="str">
        <x:v>none</x:v>
      </x:c>
      <x:c r="L2270" s="13" t="n">
        <x:f>IF(G2270&lt;=I2270,0,MAX(0,L2269)+IF(E2270="via",MAX(0,G2270-MAX(F2270,I2270)),0))</x:f>
        <x:v>8.169999999999998</x:v>
      </x:c>
    </x:row>
    <x:row r="2271" ht="42" customHeight="1">
      <x:c r="A2271" s="7" t="str">
        <x:v>DP44-B</x:v>
      </x:c>
      <x:c r="B2271" s="7" t="str">
        <x:v>U08</x:v>
      </x:c>
      <x:c r="C2271" s="7" t="str">
        <x:v>response_audio</x:v>
      </x:c>
      <x:c r="D2271" s="7" t="str">
        <x:v>선택한 응답 음성 생성</x:v>
      </x:c>
      <x:c r="E2271" s="7" t="str">
        <x:v>via</x:v>
      </x:c>
      <x:c r="F2271" s="14" t="n">
        <x:v>7.004</x:v>
      </x:c>
      <x:c r="G2271" s="14" t="n">
        <x:v>8.892</x:v>
      </x:c>
      <x:c r="H2271" s="14" t="n">
        <x:v>1.888</x:v>
      </x:c>
      <x:c r="I2271" s="14" t="n">
        <x:v>-6</x:v>
      </x:c>
      <x:c r="J2271" s="7" t="str">
        <x:v>long_work, adopt, next_speech_selection</x:v>
      </x:c>
      <x:c r="K2271" s="7" t="str">
        <x:v>speech</x:v>
      </x:c>
      <x:c r="L2271" s="14" t="n">
        <x:f>IF(G2271&lt;=I2271,0,MAX(0,L2269,L2267,L2275)+IF(E2271="via",MAX(0,G2271-MAX(F2271,I2271)),0))</x:f>
        <x:v>10.017999999999999</x:v>
      </x:c>
    </x:row>
    <x:row r="2272" ht="42" customHeight="1">
      <x:c r="A2272" s="12" t="str">
        <x:v>DP44-B</x:v>
      </x:c>
      <x:c r="B2272" s="12" t="str">
        <x:v>U08</x:v>
      </x:c>
      <x:c r="C2272" s="12" t="str">
        <x:v>intent_audio</x:v>
      </x:c>
      <x:c r="D2272" s="12" t="str">
        <x:v>채택한 구체적 수행 의도의 짧은 음성</x:v>
      </x:c>
      <x:c r="E2272" s="12" t="str">
        <x:v>via</x:v>
      </x:c>
      <x:c r="F2272" s="13" t="n">
        <x:v>3.53</x:v>
      </x:c>
      <x:c r="G2272" s="13" t="n">
        <x:v>4.664</x:v>
      </x:c>
      <x:c r="H2272" s="13" t="n">
        <x:v>1.134</x:v>
      </x:c>
      <x:c r="I2272" s="13" t="n">
        <x:v>-6</x:v>
      </x:c>
      <x:c r="J2272" s="12" t="str">
        <x:v>adopt</x:v>
      </x:c>
      <x:c r="K2272" s="12" t="str">
        <x:v>speech</x:v>
      </x:c>
      <x:c r="L2272" s="13" t="n">
        <x:f>IF(G2272&lt;=I2272,0,MAX(0,L2267)+IF(E2272="via",MAX(0,G2272-MAX(F2272,I2272)),0))</x:f>
        <x:v>7.664</x:v>
      </x:c>
    </x:row>
    <x:row r="2273" ht="42" customHeight="1">
      <x:c r="A2273" s="7" t="str">
        <x:v>DP44-B</x:v>
      </x:c>
      <x:c r="B2273" s="7" t="str">
        <x:v>U08</x:v>
      </x:c>
      <x:c r="C2273" s="7" t="str">
        <x:v>first_chunk</x:v>
      </x:c>
      <x:c r="D2273" s="7" t="str">
        <x:v>같은 생성 job의 유효 첫 chunk 관측</x:v>
      </x:c>
      <x:c r="E2273" s="7" t="str">
        <x:v>via</x:v>
      </x:c>
      <x:c r="F2273" s="14" t="n">
        <x:v>3.53</x:v>
      </x:c>
      <x:c r="G2273" s="14" t="n">
        <x:v>3.964</x:v>
      </x:c>
      <x:c r="H2273" s="14" t="n">
        <x:v>0.434</x:v>
      </x:c>
      <x:c r="I2273" s="14" t="n">
        <x:v>-6</x:v>
      </x:c>
      <x:c r="J2273" s="7" t="str">
        <x:v>adopt</x:v>
      </x:c>
      <x:c r="K2273" s="7" t="str">
        <x:v>none</x:v>
      </x:c>
      <x:c r="L2273" s="14" t="n">
        <x:f>IF(G2273&lt;=I2273,0,MAX(0,L2267)+IF(E2273="via",MAX(0,G2273-MAX(F2273,I2273)),0))</x:f>
        <x:v>6.9639999999999995</x:v>
      </x:c>
    </x:row>
    <x:row r="2274" ht="42" customHeight="1">
      <x:c r="A2274" s="12" t="str">
        <x:v>DP44-B</x:v>
      </x:c>
      <x:c r="B2274" s="12" t="str">
        <x:v>U08</x:v>
      </x:c>
      <x:c r="C2274" s="12" t="str">
        <x:v>first_audio_output</x:v>
      </x:c>
      <x:c r="D2274" s="12" t="str">
        <x:v>공통 장치의 첫 음성 출력</x:v>
      </x:c>
      <x:c r="E2274" s="12" t="str">
        <x:v>via</x:v>
      </x:c>
      <x:c r="F2274" s="13" t="n">
        <x:v>3.964</x:v>
      </x:c>
      <x:c r="G2274" s="13" t="n">
        <x:v>4.004</x:v>
      </x:c>
      <x:c r="H2274" s="13" t="n">
        <x:v>0.04</x:v>
      </x:c>
      <x:c r="I2274" s="13" t="n">
        <x:v>-6</x:v>
      </x:c>
      <x:c r="J2274" s="12" t="str">
        <x:v>adopt, first_chunk</x:v>
      </x:c>
      <x:c r="K2274" s="12" t="str">
        <x:v>none</x:v>
      </x:c>
      <x:c r="L2274" s="13" t="n">
        <x:f>IF(G2274&lt;=I2274,0,MAX(0,L2267,L2273)+IF(E2274="via",MAX(0,G2274-MAX(F2274,I2274)),0))</x:f>
        <x:v>7.004</x:v>
      </x:c>
    </x:row>
    <x:row r="2275" ht="42" customHeight="1">
      <x:c r="A2275" s="7" t="str">
        <x:v>DP44-B</x:v>
      </x:c>
      <x:c r="B2275" s="7" t="str">
        <x:v>U08</x:v>
      </x:c>
      <x:c r="C2275" s="7" t="str">
        <x:v>next_speech_selection</x:v>
      </x:c>
      <x:c r="D2275" s="7" t="str">
        <x:v>현재 발화 재생 후 다음 응답 선택</x:v>
      </x:c>
      <x:c r="E2275" s="7" t="str">
        <x:v>external</x:v>
      </x:c>
      <x:c r="F2275" s="14" t="n">
        <x:v>4.004</x:v>
      </x:c>
      <x:c r="G2275" s="14" t="n">
        <x:v>7.004</x:v>
      </x:c>
      <x:c r="H2275" s="14" t="n">
        <x:v>3</x:v>
      </x:c>
      <x:c r="I2275" s="14" t="n">
        <x:v>-6</x:v>
      </x:c>
      <x:c r="J2275" s="7" t="str">
        <x:v>first_audio_output</x:v>
      </x:c>
      <x:c r="K2275" s="7" t="str">
        <x:v>none</x:v>
      </x:c>
      <x:c r="L2275" s="14" t="n">
        <x:f>IF(G2275&lt;=I2275,0,MAX(0,L2274)+IF(E2275="via",MAX(0,G2275-MAX(F2275,I2275)),0))</x:f>
        <x:v>7.004</x:v>
      </x:c>
    </x:row>
    <x:row r="2276" ht="42" customHeight="1">
      <x:c r="A2276" s="12" t="str">
        <x:v>DP44-B</x:v>
      </x:c>
      <x:c r="B2276" s="12" t="str">
        <x:v>U08</x:v>
      </x:c>
      <x:c r="C2276" s="12" t="str">
        <x:v>terminal</x:v>
      </x:c>
      <x:c r="D2276" s="12" t="str">
        <x:v>공통 목표 최종 상태와 전체 음성 준비</x:v>
      </x:c>
      <x:c r="E2276" s="12" t="str">
        <x:v>via</x:v>
      </x:c>
      <x:c r="F2276" s="13" t="n">
        <x:v>8.892</x:v>
      </x:c>
      <x:c r="G2276" s="13" t="n">
        <x:v>8.892</x:v>
      </x:c>
      <x:c r="H2276" s="13" t="n">
        <x:v>0</x:v>
      </x:c>
      <x:c r="I2276" s="13" t="n">
        <x:v>-6</x:v>
      </x:c>
      <x:c r="J2276" s="12" t="str">
        <x:v>result_display, response_audio, intent_audio, first_audio_output</x:v>
      </x:c>
      <x:c r="K2276" s="12" t="str">
        <x:v>none</x:v>
      </x:c>
      <x:c r="L2276" s="13" t="n">
        <x:f>IF(G2276&lt;=I2276,0,MAX(0,L2270,L2271,L2272,L2274)+IF(E2276="via",MAX(0,G2276-MAX(F2276,I2276)),0))</x:f>
        <x:v>10.017999999999999</x:v>
      </x:c>
    </x:row>
    <x:row r="2277" ht="42" customHeight="1">
      <x:c r="A2277" s="7" t="str">
        <x:v>DP44-B</x:v>
      </x:c>
      <x:c r="B2277" s="7" t="str">
        <x:v>U09</x:v>
      </x:c>
      <x:c r="C2277" s="7" t="str">
        <x:v>input_end</x:v>
      </x:c>
      <x:c r="D2277" s="7" t="str">
        <x:v>사용자 입력 종료</x:v>
      </x:c>
      <x:c r="E2277" s="7" t="str">
        <x:v>external</x:v>
      </x:c>
      <x:c r="F2277" s="14" t="n">
        <x:v>0</x:v>
      </x:c>
      <x:c r="G2277" s="14" t="n">
        <x:v>0</x:v>
      </x:c>
      <x:c r="H2277" s="14" t="n">
        <x:v>0</x:v>
      </x:c>
      <x:c r="I2277" s="14" t="n">
        <x:v>0</x:v>
      </x:c>
      <x:c r="J2277" s="7" t="str"/>
      <x:c r="K2277" s="7" t="str">
        <x:v>none</x:v>
      </x:c>
      <x:c r="L2277" s="14" t="n">
        <x:f>IF(G2277&lt;=I2277,0,MAX(0)+IF(E2277="via",MAX(0,G2277-MAX(F2277,I2277)),0))</x:f>
        <x:v>0</x:v>
      </x:c>
    </x:row>
    <x:row r="2278" ht="42" customHeight="1">
      <x:c r="A2278" s="12" t="str">
        <x:v>DP44-B</x:v>
      </x:c>
      <x:c r="B2278" s="12" t="str">
        <x:v>U09</x:v>
      </x:c>
      <x:c r="C2278" s="12" t="str">
        <x:v>intake</x:v>
      </x:c>
      <x:c r="D2278" s="12" t="str">
        <x:v>입력 확정</x:v>
      </x:c>
      <x:c r="E2278" s="12" t="str">
        <x:v>via</x:v>
      </x:c>
      <x:c r="F2278" s="13" t="n">
        <x:v>0</x:v>
      </x:c>
      <x:c r="G2278" s="13" t="n">
        <x:v>0.3</x:v>
      </x:c>
      <x:c r="H2278" s="13" t="n">
        <x:v>0.3</x:v>
      </x:c>
      <x:c r="I2278" s="13" t="n">
        <x:v>0</x:v>
      </x:c>
      <x:c r="J2278" s="12" t="str">
        <x:v>input_end</x:v>
      </x:c>
      <x:c r="K2278" s="12" t="str">
        <x:v>none</x:v>
      </x:c>
      <x:c r="L2278" s="13" t="n">
        <x:f>IF(G2278&lt;=I2278,0,MAX(0,L2277)+IF(E2278="via",MAX(0,G2278-MAX(F2278,I2278)),0))</x:f>
        <x:v>0.3</x:v>
      </x:c>
    </x:row>
    <x:row r="2279" ht="42" customHeight="1">
      <x:c r="A2279" s="7" t="str">
        <x:v>DP44-B</x:v>
      </x:c>
      <x:c r="B2279" s="7" t="str">
        <x:v>U09</x:v>
      </x:c>
      <x:c r="C2279" s="7" t="str">
        <x:v>read</x:v>
      </x:c>
      <x:c r="D2279" s="7" t="str">
        <x:v>공통 허용 원본 조회</x:v>
      </x:c>
      <x:c r="E2279" s="7" t="str">
        <x:v>via</x:v>
      </x:c>
      <x:c r="F2279" s="14" t="n">
        <x:v>0.3</x:v>
      </x:c>
      <x:c r="G2279" s="14" t="n">
        <x:v>0.38</x:v>
      </x:c>
      <x:c r="H2279" s="14" t="n">
        <x:v>0.08</x:v>
      </x:c>
      <x:c r="I2279" s="14" t="n">
        <x:v>0</x:v>
      </x:c>
      <x:c r="J2279" s="7" t="str">
        <x:v>intake</x:v>
      </x:c>
      <x:c r="K2279" s="7" t="str">
        <x:v>none</x:v>
      </x:c>
      <x:c r="L2279" s="14" t="n">
        <x:f>IF(G2279&lt;=I2279,0,MAX(0,L2278)+IF(E2279="via",MAX(0,G2279-MAX(F2279,I2279)),0))</x:f>
        <x:v>0.38</x:v>
      </x:c>
    </x:row>
    <x:row r="2280" ht="42" customHeight="1">
      <x:c r="A2280" s="12" t="str">
        <x:v>DP44-B</x:v>
      </x:c>
      <x:c r="B2280" s="12" t="str">
        <x:v>U09</x:v>
      </x:c>
      <x:c r="C2280" s="12" t="str">
        <x:v>native_selection</x:v>
      </x:c>
      <x:c r="D2280" s="12" t="str">
        <x:v>Native 선택 사실 조회</x:v>
      </x:c>
      <x:c r="E2280" s="12" t="str">
        <x:v>via</x:v>
      </x:c>
      <x:c r="F2280" s="13" t="n">
        <x:v>0.38</x:v>
      </x:c>
      <x:c r="G2280" s="13" t="n">
        <x:v>0.46</x:v>
      </x:c>
      <x:c r="H2280" s="13" t="n">
        <x:v>0.08</x:v>
      </x:c>
      <x:c r="I2280" s="13" t="n">
        <x:v>0</x:v>
      </x:c>
      <x:c r="J2280" s="12" t="str">
        <x:v>read</x:v>
      </x:c>
      <x:c r="K2280" s="12" t="str">
        <x:v>none</x:v>
      </x:c>
      <x:c r="L2280" s="13" t="n">
        <x:f>IF(G2280&lt;=I2280,0,MAX(0,L2279)+IF(E2280="via",MAX(0,G2280-MAX(F2280,I2280)),0))</x:f>
        <x:v>0.46</x:v>
      </x:c>
    </x:row>
    <x:row r="2281" ht="42" customHeight="1">
      <x:c r="A2281" s="7" t="str">
        <x:v>DP44-B</x:v>
      </x:c>
      <x:c r="B2281" s="7" t="str">
        <x:v>U09</x:v>
      </x:c>
      <x:c r="C2281" s="7" t="str">
        <x:v>meaning</x:v>
      </x:c>
      <x:c r="D2281" s="7" t="str">
        <x:v>최초 요청 의미 채택 packet 생성</x:v>
      </x:c>
      <x:c r="E2281" s="7" t="str">
        <x:v>via</x:v>
      </x:c>
      <x:c r="F2281" s="14" t="n">
        <x:v>0.46</x:v>
      </x:c>
      <x:c r="G2281" s="14" t="n">
        <x:v>1.56</x:v>
      </x:c>
      <x:c r="H2281" s="14" t="n">
        <x:v>1.1</x:v>
      </x:c>
      <x:c r="I2281" s="14" t="n">
        <x:v>0</x:v>
      </x:c>
      <x:c r="J2281" s="7" t="str">
        <x:v>native_selection</x:v>
      </x:c>
      <x:c r="K2281" s="7" t="str">
        <x:v>semantic</x:v>
      </x:c>
      <x:c r="L2281" s="14" t="n">
        <x:f>IF(G2281&lt;=I2281,0,MAX(0,L2280)+IF(E2281="via",MAX(0,G2281-MAX(F2281,I2281)),0))</x:f>
        <x:v>1.56</x:v>
      </x:c>
    </x:row>
    <x:row r="2282" ht="42" customHeight="1">
      <x:c r="A2282" s="12" t="str">
        <x:v>DP44-B</x:v>
      </x:c>
      <x:c r="B2282" s="12" t="str">
        <x:v>U09</x:v>
      </x:c>
      <x:c r="C2282" s="12" t="str">
        <x:v>adopt</x:v>
      </x:c>
      <x:c r="D2282" s="12" t="str">
        <x:v>현재 revision과 권한 검사 및 채택</x:v>
      </x:c>
      <x:c r="E2282" s="12" t="str">
        <x:v>via</x:v>
      </x:c>
      <x:c r="F2282" s="13" t="n">
        <x:v>1.56</x:v>
      </x:c>
      <x:c r="G2282" s="13" t="n">
        <x:v>1.59</x:v>
      </x:c>
      <x:c r="H2282" s="13" t="n">
        <x:v>0.03</x:v>
      </x:c>
      <x:c r="I2282" s="13" t="n">
        <x:v>0</x:v>
      </x:c>
      <x:c r="J2282" s="12" t="str">
        <x:v>meaning</x:v>
      </x:c>
      <x:c r="K2282" s="12" t="str">
        <x:v>none</x:v>
      </x:c>
      <x:c r="L2282" s="13" t="n">
        <x:f>IF(G2282&lt;=I2282,0,MAX(0,L2281)+IF(E2282="via",MAX(0,G2282-MAX(F2282,I2282)),0))</x:f>
        <x:v>1.59</x:v>
      </x:c>
    </x:row>
    <x:row r="2283" ht="42" customHeight="1">
      <x:c r="A2283" s="7" t="str">
        <x:v>DP44-B</x:v>
      </x:c>
      <x:c r="B2283" s="7" t="str">
        <x:v>U09</x:v>
      </x:c>
      <x:c r="C2283" s="7" t="str">
        <x:v>first_display</x:v>
      </x:c>
      <x:c r="D2283" s="7" t="str">
        <x:v>첫 구체적 채택 내용 화면 표시</x:v>
      </x:c>
      <x:c r="E2283" s="7" t="str">
        <x:v>via</x:v>
      </x:c>
      <x:c r="F2283" s="14" t="n">
        <x:v>1.59</x:v>
      </x:c>
      <x:c r="G2283" s="14" t="n">
        <x:v>1.6300000000000001</x:v>
      </x:c>
      <x:c r="H2283" s="14" t="n">
        <x:v>0.04</x:v>
      </x:c>
      <x:c r="I2283" s="14" t="n">
        <x:v>0</x:v>
      </x:c>
      <x:c r="J2283" s="7" t="str">
        <x:v>adopt</x:v>
      </x:c>
      <x:c r="K2283" s="7" t="str">
        <x:v>none</x:v>
      </x:c>
      <x:c r="L2283" s="14" t="n">
        <x:f>IF(G2283&lt;=I2283,0,MAX(0,L2282)+IF(E2283="via",MAX(0,G2283-MAX(F2283,I2283)),0))</x:f>
        <x:v>1.6300000000000001</x:v>
      </x:c>
    </x:row>
    <x:row r="2284" ht="42" customHeight="1">
      <x:c r="A2284" s="12" t="str">
        <x:v>DP44-B</x:v>
      </x:c>
      <x:c r="B2284" s="12" t="str">
        <x:v>U09</x:v>
      </x:c>
      <x:c r="C2284" s="12" t="str">
        <x:v>agent_ingress</x:v>
      </x:c>
      <x:c r="D2284" s="12" t="str">
        <x:v>Agent 요청 전송</x:v>
      </x:c>
      <x:c r="E2284" s="12" t="str">
        <x:v>via</x:v>
      </x:c>
      <x:c r="F2284" s="13" t="n">
        <x:v>1.59</x:v>
      </x:c>
      <x:c r="G2284" s="13" t="n">
        <x:v>1.6300000000000001</x:v>
      </x:c>
      <x:c r="H2284" s="13" t="n">
        <x:v>0.04</x:v>
      </x:c>
      <x:c r="I2284" s="13" t="n">
        <x:v>0</x:v>
      </x:c>
      <x:c r="J2284" s="12" t="str">
        <x:v>adopt</x:v>
      </x:c>
      <x:c r="K2284" s="12" t="str">
        <x:v>none</x:v>
      </x:c>
      <x:c r="L2284" s="13" t="n">
        <x:f>IF(G2284&lt;=I2284,0,MAX(0,L2282)+IF(E2284="via",MAX(0,G2284-MAX(F2284,I2284)),0))</x:f>
        <x:v>1.6300000000000001</x:v>
      </x:c>
    </x:row>
    <x:row r="2285" ht="42" customHeight="1">
      <x:c r="A2285" s="7" t="str">
        <x:v>DP44-B</x:v>
      </x:c>
      <x:c r="B2285" s="7" t="str">
        <x:v>U09</x:v>
      </x:c>
      <x:c r="C2285" s="7" t="str">
        <x:v>agent_result</x:v>
      </x:c>
      <x:c r="D2285" s="7" t="str">
        <x:v>외부 Agent 업무</x:v>
      </x:c>
      <x:c r="E2285" s="7" t="str">
        <x:v>external</x:v>
      </x:c>
      <x:c r="F2285" s="14" t="n">
        <x:v>1.6300000000000001</x:v>
      </x:c>
      <x:c r="G2285" s="14" t="n">
        <x:v>9.63</x:v>
      </x:c>
      <x:c r="H2285" s="14" t="n">
        <x:v>8</x:v>
      </x:c>
      <x:c r="I2285" s="14" t="n">
        <x:v>0</x:v>
      </x:c>
      <x:c r="J2285" s="7" t="str">
        <x:v>agent_ingress</x:v>
      </x:c>
      <x:c r="K2285" s="7" t="str">
        <x:v>none</x:v>
      </x:c>
      <x:c r="L2285" s="14" t="n">
        <x:f>IF(G2285&lt;=I2285,0,MAX(0,L2284)+IF(E2285="via",MAX(0,G2285-MAX(F2285,I2285)),0))</x:f>
        <x:v>1.6300000000000001</x:v>
      </x:c>
    </x:row>
    <x:row r="2286" ht="42" customHeight="1">
      <x:c r="A2286" s="12" t="str">
        <x:v>DP44-B</x:v>
      </x:c>
      <x:c r="B2286" s="12" t="str">
        <x:v>U09</x:v>
      </x:c>
      <x:c r="C2286" s="12" t="str">
        <x:v>result_display</x:v>
      </x:c>
      <x:c r="D2286" s="12" t="str">
        <x:v>최종 결과 상세 표시</x:v>
      </x:c>
      <x:c r="E2286" s="12" t="str">
        <x:v>via</x:v>
      </x:c>
      <x:c r="F2286" s="13" t="n">
        <x:v>9.63</x:v>
      </x:c>
      <x:c r="G2286" s="13" t="n">
        <x:v>9.67</x:v>
      </x:c>
      <x:c r="H2286" s="13" t="n">
        <x:v>0.04</x:v>
      </x:c>
      <x:c r="I2286" s="13" t="n">
        <x:v>0</x:v>
      </x:c>
      <x:c r="J2286" s="12" t="str">
        <x:v>agent_result</x:v>
      </x:c>
      <x:c r="K2286" s="12" t="str">
        <x:v>none</x:v>
      </x:c>
      <x:c r="L2286" s="13" t="n">
        <x:f>IF(G2286&lt;=I2286,0,MAX(0,L2285)+IF(E2286="via",MAX(0,G2286-MAX(F2286,I2286)),0))</x:f>
        <x:v>1.6699999999999993</x:v>
      </x:c>
    </x:row>
    <x:row r="2287" ht="42" customHeight="1">
      <x:c r="A2287" s="7" t="str">
        <x:v>DP44-B</x:v>
      </x:c>
      <x:c r="B2287" s="7" t="str">
        <x:v>U09</x:v>
      </x:c>
      <x:c r="C2287" s="7" t="str">
        <x:v>response_audio</x:v>
      </x:c>
      <x:c r="D2287" s="7" t="str">
        <x:v>선택한 응답 음성 생성</x:v>
      </x:c>
      <x:c r="E2287" s="7" t="str">
        <x:v>via</x:v>
      </x:c>
      <x:c r="F2287" s="14" t="n">
        <x:v>9.63</x:v>
      </x:c>
      <x:c r="G2287" s="14" t="n">
        <x:v>11.518</x:v>
      </x:c>
      <x:c r="H2287" s="14" t="n">
        <x:v>1.888</x:v>
      </x:c>
      <x:c r="I2287" s="14" t="n">
        <x:v>0</x:v>
      </x:c>
      <x:c r="J2287" s="7" t="str">
        <x:v>agent_result, adopt, next_speech_selection</x:v>
      </x:c>
      <x:c r="K2287" s="7" t="str">
        <x:v>speech</x:v>
      </x:c>
      <x:c r="L2287" s="14" t="n">
        <x:f>IF(G2287&lt;=I2287,0,MAX(0,L2285,L2282,L2291)+IF(E2287="via",MAX(0,G2287-MAX(F2287,I2287)),0))</x:f>
        <x:v>3.952</x:v>
      </x:c>
    </x:row>
    <x:row r="2288" ht="42" customHeight="1">
      <x:c r="A2288" s="12" t="str">
        <x:v>DP44-B</x:v>
      </x:c>
      <x:c r="B2288" s="12" t="str">
        <x:v>U09</x:v>
      </x:c>
      <x:c r="C2288" s="12" t="str">
        <x:v>intent_audio</x:v>
      </x:c>
      <x:c r="D2288" s="12" t="str">
        <x:v>채택한 구체적 수행 의도의 짧은 음성</x:v>
      </x:c>
      <x:c r="E2288" s="12" t="str">
        <x:v>via</x:v>
      </x:c>
      <x:c r="F2288" s="13" t="n">
        <x:v>1.59</x:v>
      </x:c>
      <x:c r="G2288" s="13" t="n">
        <x:v>2.724</x:v>
      </x:c>
      <x:c r="H2288" s="13" t="n">
        <x:v>1.134</x:v>
      </x:c>
      <x:c r="I2288" s="13" t="n">
        <x:v>0</x:v>
      </x:c>
      <x:c r="J2288" s="12" t="str">
        <x:v>adopt</x:v>
      </x:c>
      <x:c r="K2288" s="12" t="str">
        <x:v>speech</x:v>
      </x:c>
      <x:c r="L2288" s="13" t="n">
        <x:f>IF(G2288&lt;=I2288,0,MAX(0,L2282)+IF(E2288="via",MAX(0,G2288-MAX(F2288,I2288)),0))</x:f>
        <x:v>2.724</x:v>
      </x:c>
    </x:row>
    <x:row r="2289" ht="42" customHeight="1">
      <x:c r="A2289" s="7" t="str">
        <x:v>DP44-B</x:v>
      </x:c>
      <x:c r="B2289" s="7" t="str">
        <x:v>U09</x:v>
      </x:c>
      <x:c r="C2289" s="7" t="str">
        <x:v>first_chunk</x:v>
      </x:c>
      <x:c r="D2289" s="7" t="str">
        <x:v>같은 생성 job의 유효 첫 chunk 관측</x:v>
      </x:c>
      <x:c r="E2289" s="7" t="str">
        <x:v>via</x:v>
      </x:c>
      <x:c r="F2289" s="14" t="n">
        <x:v>1.59</x:v>
      </x:c>
      <x:c r="G2289" s="14" t="n">
        <x:v>2.024</x:v>
      </x:c>
      <x:c r="H2289" s="14" t="n">
        <x:v>0.434</x:v>
      </x:c>
      <x:c r="I2289" s="14" t="n">
        <x:v>0</x:v>
      </x:c>
      <x:c r="J2289" s="7" t="str">
        <x:v>adopt</x:v>
      </x:c>
      <x:c r="K2289" s="7" t="str">
        <x:v>none</x:v>
      </x:c>
      <x:c r="L2289" s="14" t="n">
        <x:f>IF(G2289&lt;=I2289,0,MAX(0,L2282)+IF(E2289="via",MAX(0,G2289-MAX(F2289,I2289)),0))</x:f>
        <x:v>2.024</x:v>
      </x:c>
    </x:row>
    <x:row r="2290" ht="42" customHeight="1">
      <x:c r="A2290" s="12" t="str">
        <x:v>DP44-B</x:v>
      </x:c>
      <x:c r="B2290" s="12" t="str">
        <x:v>U09</x:v>
      </x:c>
      <x:c r="C2290" s="12" t="str">
        <x:v>first_audio_output</x:v>
      </x:c>
      <x:c r="D2290" s="12" t="str">
        <x:v>공통 장치의 첫 음성 출력</x:v>
      </x:c>
      <x:c r="E2290" s="12" t="str">
        <x:v>via</x:v>
      </x:c>
      <x:c r="F2290" s="13" t="n">
        <x:v>2.024</x:v>
      </x:c>
      <x:c r="G2290" s="13" t="n">
        <x:v>2.064</x:v>
      </x:c>
      <x:c r="H2290" s="13" t="n">
        <x:v>0.04</x:v>
      </x:c>
      <x:c r="I2290" s="13" t="n">
        <x:v>0</x:v>
      </x:c>
      <x:c r="J2290" s="12" t="str">
        <x:v>adopt, first_chunk</x:v>
      </x:c>
      <x:c r="K2290" s="12" t="str">
        <x:v>none</x:v>
      </x:c>
      <x:c r="L2290" s="13" t="n">
        <x:f>IF(G2290&lt;=I2290,0,MAX(0,L2282,L2289)+IF(E2290="via",MAX(0,G2290-MAX(F2290,I2290)),0))</x:f>
        <x:v>2.064</x:v>
      </x:c>
    </x:row>
    <x:row r="2291" ht="42" customHeight="1">
      <x:c r="A2291" s="7" t="str">
        <x:v>DP44-B</x:v>
      </x:c>
      <x:c r="B2291" s="7" t="str">
        <x:v>U09</x:v>
      </x:c>
      <x:c r="C2291" s="7" t="str">
        <x:v>next_speech_selection</x:v>
      </x:c>
      <x:c r="D2291" s="7" t="str">
        <x:v>현재 발화 재생 후 다음 응답 선택</x:v>
      </x:c>
      <x:c r="E2291" s="7" t="str">
        <x:v>external</x:v>
      </x:c>
      <x:c r="F2291" s="14" t="n">
        <x:v>2.064</x:v>
      </x:c>
      <x:c r="G2291" s="14" t="n">
        <x:v>5.064</x:v>
      </x:c>
      <x:c r="H2291" s="14" t="n">
        <x:v>3</x:v>
      </x:c>
      <x:c r="I2291" s="14" t="n">
        <x:v>0</x:v>
      </x:c>
      <x:c r="J2291" s="7" t="str">
        <x:v>first_audio_output</x:v>
      </x:c>
      <x:c r="K2291" s="7" t="str">
        <x:v>none</x:v>
      </x:c>
      <x:c r="L2291" s="14" t="n">
        <x:f>IF(G2291&lt;=I2291,0,MAX(0,L2290)+IF(E2291="via",MAX(0,G2291-MAX(F2291,I2291)),0))</x:f>
        <x:v>2.064</x:v>
      </x:c>
    </x:row>
    <x:row r="2292" ht="42" customHeight="1">
      <x:c r="A2292" s="12" t="str">
        <x:v>DP44-B</x:v>
      </x:c>
      <x:c r="B2292" s="12" t="str">
        <x:v>U09</x:v>
      </x:c>
      <x:c r="C2292" s="12" t="str">
        <x:v>terminal</x:v>
      </x:c>
      <x:c r="D2292" s="12" t="str">
        <x:v>공통 목표 최종 상태와 전체 음성 준비</x:v>
      </x:c>
      <x:c r="E2292" s="12" t="str">
        <x:v>via</x:v>
      </x:c>
      <x:c r="F2292" s="13" t="n">
        <x:v>11.518</x:v>
      </x:c>
      <x:c r="G2292" s="13" t="n">
        <x:v>11.518</x:v>
      </x:c>
      <x:c r="H2292" s="13" t="n">
        <x:v>0</x:v>
      </x:c>
      <x:c r="I2292" s="13" t="n">
        <x:v>0</x:v>
      </x:c>
      <x:c r="J2292" s="12" t="str">
        <x:v>result_display, response_audio, intent_audio, first_audio_output</x:v>
      </x:c>
      <x:c r="K2292" s="12" t="str">
        <x:v>none</x:v>
      </x:c>
      <x:c r="L2292" s="13" t="n">
        <x:f>IF(G2292&lt;=I2292,0,MAX(0,L2286,L2287,L2288,L2290)+IF(E2292="via",MAX(0,G2292-MAX(F2292,I2292)),0))</x:f>
        <x:v>3.952</x:v>
      </x:c>
    </x:row>
    <x:row r="2293" ht="42" customHeight="1">
      <x:c r="A2293" s="7" t="str">
        <x:v>DP44-B</x:v>
      </x:c>
      <x:c r="B2293" s="7" t="str">
        <x:v>U10</x:v>
      </x:c>
      <x:c r="C2293" s="7" t="str">
        <x:v>input_end</x:v>
      </x:c>
      <x:c r="D2293" s="7" t="str">
        <x:v>사용자 입력 종료</x:v>
      </x:c>
      <x:c r="E2293" s="7" t="str">
        <x:v>external</x:v>
      </x:c>
      <x:c r="F2293" s="14" t="n">
        <x:v>0</x:v>
      </x:c>
      <x:c r="G2293" s="14" t="n">
        <x:v>0</x:v>
      </x:c>
      <x:c r="H2293" s="14" t="n">
        <x:v>0</x:v>
      </x:c>
      <x:c r="I2293" s="14" t="n">
        <x:v>0</x:v>
      </x:c>
      <x:c r="J2293" s="7" t="str"/>
      <x:c r="K2293" s="7" t="str">
        <x:v>none</x:v>
      </x:c>
      <x:c r="L2293" s="14" t="n">
        <x:f>IF(G2293&lt;=I2293,0,MAX(0)+IF(E2293="via",MAX(0,G2293-MAX(F2293,I2293)),0))</x:f>
        <x:v>0</x:v>
      </x:c>
    </x:row>
    <x:row r="2294" ht="42" customHeight="1">
      <x:c r="A2294" s="12" t="str">
        <x:v>DP44-B</x:v>
      </x:c>
      <x:c r="B2294" s="12" t="str">
        <x:v>U10</x:v>
      </x:c>
      <x:c r="C2294" s="12" t="str">
        <x:v>intake</x:v>
      </x:c>
      <x:c r="D2294" s="12" t="str">
        <x:v>입력 확정</x:v>
      </x:c>
      <x:c r="E2294" s="12" t="str">
        <x:v>via</x:v>
      </x:c>
      <x:c r="F2294" s="13" t="n">
        <x:v>0</x:v>
      </x:c>
      <x:c r="G2294" s="13" t="n">
        <x:v>0.3</x:v>
      </x:c>
      <x:c r="H2294" s="13" t="n">
        <x:v>0.3</x:v>
      </x:c>
      <x:c r="I2294" s="13" t="n">
        <x:v>0</x:v>
      </x:c>
      <x:c r="J2294" s="12" t="str">
        <x:v>input_end</x:v>
      </x:c>
      <x:c r="K2294" s="12" t="str">
        <x:v>none</x:v>
      </x:c>
      <x:c r="L2294" s="13" t="n">
        <x:f>IF(G2294&lt;=I2294,0,MAX(0,L2293)+IF(E2294="via",MAX(0,G2294-MAX(F2294,I2294)),0))</x:f>
        <x:v>0.3</x:v>
      </x:c>
    </x:row>
    <x:row r="2295" ht="42" customHeight="1">
      <x:c r="A2295" s="7" t="str">
        <x:v>DP44-B</x:v>
      </x:c>
      <x:c r="B2295" s="7" t="str">
        <x:v>U10</x:v>
      </x:c>
      <x:c r="C2295" s="7" t="str">
        <x:v>read</x:v>
      </x:c>
      <x:c r="D2295" s="7" t="str">
        <x:v>공통 허용 원본 조회</x:v>
      </x:c>
      <x:c r="E2295" s="7" t="str">
        <x:v>via</x:v>
      </x:c>
      <x:c r="F2295" s="14" t="n">
        <x:v>0.3</x:v>
      </x:c>
      <x:c r="G2295" s="14" t="n">
        <x:v>0.38</x:v>
      </x:c>
      <x:c r="H2295" s="14" t="n">
        <x:v>0.08</x:v>
      </x:c>
      <x:c r="I2295" s="14" t="n">
        <x:v>0</x:v>
      </x:c>
      <x:c r="J2295" s="7" t="str">
        <x:v>intake</x:v>
      </x:c>
      <x:c r="K2295" s="7" t="str">
        <x:v>none</x:v>
      </x:c>
      <x:c r="L2295" s="14" t="n">
        <x:f>IF(G2295&lt;=I2295,0,MAX(0,L2294)+IF(E2295="via",MAX(0,G2295-MAX(F2295,I2295)),0))</x:f>
        <x:v>0.38</x:v>
      </x:c>
    </x:row>
    <x:row r="2296" ht="42" customHeight="1">
      <x:c r="A2296" s="12" t="str">
        <x:v>DP44-B</x:v>
      </x:c>
      <x:c r="B2296" s="12" t="str">
        <x:v>U10</x:v>
      </x:c>
      <x:c r="C2296" s="12" t="str">
        <x:v>meaning</x:v>
      </x:c>
      <x:c r="D2296" s="12" t="str">
        <x:v>최초 요청 의미 채택 packet 생성</x:v>
      </x:c>
      <x:c r="E2296" s="12" t="str">
        <x:v>via</x:v>
      </x:c>
      <x:c r="F2296" s="13" t="n">
        <x:v>0.38</x:v>
      </x:c>
      <x:c r="G2296" s="13" t="n">
        <x:v>1.7800000000000002</x:v>
      </x:c>
      <x:c r="H2296" s="13" t="n">
        <x:v>1.4000000000000001</x:v>
      </x:c>
      <x:c r="I2296" s="13" t="n">
        <x:v>0</x:v>
      </x:c>
      <x:c r="J2296" s="12" t="str">
        <x:v>read</x:v>
      </x:c>
      <x:c r="K2296" s="12" t="str">
        <x:v>semantic</x:v>
      </x:c>
      <x:c r="L2296" s="13" t="n">
        <x:f>IF(G2296&lt;=I2296,0,MAX(0,L2295)+IF(E2296="via",MAX(0,G2296-MAX(F2296,I2296)),0))</x:f>
        <x:v>1.7800000000000002</x:v>
      </x:c>
    </x:row>
    <x:row r="2297" ht="42" customHeight="1">
      <x:c r="A2297" s="7" t="str">
        <x:v>DP44-B</x:v>
      </x:c>
      <x:c r="B2297" s="7" t="str">
        <x:v>U10</x:v>
      </x:c>
      <x:c r="C2297" s="7" t="str">
        <x:v>adopt</x:v>
      </x:c>
      <x:c r="D2297" s="7" t="str">
        <x:v>현재 revision과 권한 검사 및 채택</x:v>
      </x:c>
      <x:c r="E2297" s="7" t="str">
        <x:v>via</x:v>
      </x:c>
      <x:c r="F2297" s="14" t="n">
        <x:v>1.7800000000000002</x:v>
      </x:c>
      <x:c r="G2297" s="14" t="n">
        <x:v>1.8100000000000003</x:v>
      </x:c>
      <x:c r="H2297" s="14" t="n">
        <x:v>0.03</x:v>
      </x:c>
      <x:c r="I2297" s="14" t="n">
        <x:v>0</x:v>
      </x:c>
      <x:c r="J2297" s="7" t="str">
        <x:v>meaning</x:v>
      </x:c>
      <x:c r="K2297" s="7" t="str">
        <x:v>none</x:v>
      </x:c>
      <x:c r="L2297" s="14" t="n">
        <x:f>IF(G2297&lt;=I2297,0,MAX(0,L2296)+IF(E2297="via",MAX(0,G2297-MAX(F2297,I2297)),0))</x:f>
        <x:v>1.8100000000000003</x:v>
      </x:c>
    </x:row>
    <x:row r="2298" ht="42" customHeight="1">
      <x:c r="A2298" s="12" t="str">
        <x:v>DP44-B</x:v>
      </x:c>
      <x:c r="B2298" s="12" t="str">
        <x:v>U10</x:v>
      </x:c>
      <x:c r="C2298" s="12" t="str">
        <x:v>first_display</x:v>
      </x:c>
      <x:c r="D2298" s="12" t="str">
        <x:v>첫 구체적 채택 내용 화면 표시</x:v>
      </x:c>
      <x:c r="E2298" s="12" t="str">
        <x:v>via</x:v>
      </x:c>
      <x:c r="F2298" s="13" t="n">
        <x:v>1.8100000000000003</x:v>
      </x:c>
      <x:c r="G2298" s="13" t="n">
        <x:v>1.8500000000000003</x:v>
      </x:c>
      <x:c r="H2298" s="13" t="n">
        <x:v>0.04</x:v>
      </x:c>
      <x:c r="I2298" s="13" t="n">
        <x:v>0</x:v>
      </x:c>
      <x:c r="J2298" s="12" t="str">
        <x:v>adopt</x:v>
      </x:c>
      <x:c r="K2298" s="12" t="str">
        <x:v>none</x:v>
      </x:c>
      <x:c r="L2298" s="13" t="n">
        <x:f>IF(G2298&lt;=I2298,0,MAX(0,L2297)+IF(E2298="via",MAX(0,G2298-MAX(F2298,I2298)),0))</x:f>
        <x:v>1.8500000000000003</x:v>
      </x:c>
    </x:row>
    <x:row r="2299" ht="42" customHeight="1">
      <x:c r="A2299" s="7" t="str">
        <x:v>DP44-B</x:v>
      </x:c>
      <x:c r="B2299" s="7" t="str">
        <x:v>U10</x:v>
      </x:c>
      <x:c r="C2299" s="7" t="str">
        <x:v>agent_ingress</x:v>
      </x:c>
      <x:c r="D2299" s="7" t="str">
        <x:v>Agent 요청 전송</x:v>
      </x:c>
      <x:c r="E2299" s="7" t="str">
        <x:v>via</x:v>
      </x:c>
      <x:c r="F2299" s="14" t="n">
        <x:v>1.8100000000000003</x:v>
      </x:c>
      <x:c r="G2299" s="14" t="n">
        <x:v>1.8500000000000003</x:v>
      </x:c>
      <x:c r="H2299" s="14" t="n">
        <x:v>0.04</x:v>
      </x:c>
      <x:c r="I2299" s="14" t="n">
        <x:v>0</x:v>
      </x:c>
      <x:c r="J2299" s="7" t="str">
        <x:v>adopt</x:v>
      </x:c>
      <x:c r="K2299" s="7" t="str">
        <x:v>none</x:v>
      </x:c>
      <x:c r="L2299" s="14" t="n">
        <x:f>IF(G2299&lt;=I2299,0,MAX(0,L2297)+IF(E2299="via",MAX(0,G2299-MAX(F2299,I2299)),0))</x:f>
        <x:v>1.8500000000000003</x:v>
      </x:c>
    </x:row>
    <x:row r="2300" ht="42" customHeight="1">
      <x:c r="A2300" s="12" t="str">
        <x:v>DP44-B</x:v>
      </x:c>
      <x:c r="B2300" s="12" t="str">
        <x:v>U10</x:v>
      </x:c>
      <x:c r="C2300" s="12" t="str">
        <x:v>agent_result</x:v>
      </x:c>
      <x:c r="D2300" s="12" t="str">
        <x:v>외부 Agent 업무</x:v>
      </x:c>
      <x:c r="E2300" s="12" t="str">
        <x:v>external</x:v>
      </x:c>
      <x:c r="F2300" s="13" t="n">
        <x:v>1.8500000000000003</x:v>
      </x:c>
      <x:c r="G2300" s="13" t="n">
        <x:v>9.85</x:v>
      </x:c>
      <x:c r="H2300" s="13" t="n">
        <x:v>8</x:v>
      </x:c>
      <x:c r="I2300" s="13" t="n">
        <x:v>0</x:v>
      </x:c>
      <x:c r="J2300" s="12" t="str">
        <x:v>agent_ingress</x:v>
      </x:c>
      <x:c r="K2300" s="12" t="str">
        <x:v>none</x:v>
      </x:c>
      <x:c r="L2300" s="13" t="n">
        <x:f>IF(G2300&lt;=I2300,0,MAX(0,L2299)+IF(E2300="via",MAX(0,G2300-MAX(F2300,I2300)),0))</x:f>
        <x:v>1.8500000000000003</x:v>
      </x:c>
    </x:row>
    <x:row r="2301" ht="42" customHeight="1">
      <x:c r="A2301" s="7" t="str">
        <x:v>DP44-B</x:v>
      </x:c>
      <x:c r="B2301" s="7" t="str">
        <x:v>U10</x:v>
      </x:c>
      <x:c r="C2301" s="7" t="str">
        <x:v>result_display</x:v>
      </x:c>
      <x:c r="D2301" s="7" t="str">
        <x:v>최종 결과 상세 표시</x:v>
      </x:c>
      <x:c r="E2301" s="7" t="str">
        <x:v>via</x:v>
      </x:c>
      <x:c r="F2301" s="14" t="n">
        <x:v>9.85</x:v>
      </x:c>
      <x:c r="G2301" s="14" t="n">
        <x:v>9.889999999999999</x:v>
      </x:c>
      <x:c r="H2301" s="14" t="n">
        <x:v>0.04</x:v>
      </x:c>
      <x:c r="I2301" s="14" t="n">
        <x:v>0</x:v>
      </x:c>
      <x:c r="J2301" s="7" t="str">
        <x:v>agent_result</x:v>
      </x:c>
      <x:c r="K2301" s="7" t="str">
        <x:v>none</x:v>
      </x:c>
      <x:c r="L2301" s="14" t="n">
        <x:f>IF(G2301&lt;=I2301,0,MAX(0,L2300)+IF(E2301="via",MAX(0,G2301-MAX(F2301,I2301)),0))</x:f>
        <x:v>1.8899999999999995</x:v>
      </x:c>
    </x:row>
    <x:row r="2302" ht="42" customHeight="1">
      <x:c r="A2302" s="12" t="str">
        <x:v>DP44-B</x:v>
      </x:c>
      <x:c r="B2302" s="12" t="str">
        <x:v>U10</x:v>
      </x:c>
      <x:c r="C2302" s="12" t="str">
        <x:v>response_audio</x:v>
      </x:c>
      <x:c r="D2302" s="12" t="str">
        <x:v>선택한 응답 음성 생성</x:v>
      </x:c>
      <x:c r="E2302" s="12" t="str">
        <x:v>via</x:v>
      </x:c>
      <x:c r="F2302" s="13" t="n">
        <x:v>9.85</x:v>
      </x:c>
      <x:c r="G2302" s="13" t="n">
        <x:v>11.738</x:v>
      </x:c>
      <x:c r="H2302" s="13" t="n">
        <x:v>1.888</x:v>
      </x:c>
      <x:c r="I2302" s="13" t="n">
        <x:v>0</x:v>
      </x:c>
      <x:c r="J2302" s="12" t="str">
        <x:v>agent_result, adopt, next_speech_selection</x:v>
      </x:c>
      <x:c r="K2302" s="12" t="str">
        <x:v>speech</x:v>
      </x:c>
      <x:c r="L2302" s="13" t="n">
        <x:f>IF(G2302&lt;=I2302,0,MAX(0,L2300,L2297,L2306)+IF(E2302="via",MAX(0,G2302-MAX(F2302,I2302)),0))</x:f>
        <x:v>4.172000000000001</x:v>
      </x:c>
    </x:row>
    <x:row r="2303" ht="42" customHeight="1">
      <x:c r="A2303" s="7" t="str">
        <x:v>DP44-B</x:v>
      </x:c>
      <x:c r="B2303" s="7" t="str">
        <x:v>U10</x:v>
      </x:c>
      <x:c r="C2303" s="7" t="str">
        <x:v>intent_audio</x:v>
      </x:c>
      <x:c r="D2303" s="7" t="str">
        <x:v>채택한 구체적 수행 의도의 짧은 음성</x:v>
      </x:c>
      <x:c r="E2303" s="7" t="str">
        <x:v>via</x:v>
      </x:c>
      <x:c r="F2303" s="14" t="n">
        <x:v>1.8100000000000003</x:v>
      </x:c>
      <x:c r="G2303" s="14" t="n">
        <x:v>2.944</x:v>
      </x:c>
      <x:c r="H2303" s="14" t="n">
        <x:v>1.134</x:v>
      </x:c>
      <x:c r="I2303" s="14" t="n">
        <x:v>0</x:v>
      </x:c>
      <x:c r="J2303" s="7" t="str">
        <x:v>adopt</x:v>
      </x:c>
      <x:c r="K2303" s="7" t="str">
        <x:v>speech</x:v>
      </x:c>
      <x:c r="L2303" s="14" t="n">
        <x:f>IF(G2303&lt;=I2303,0,MAX(0,L2297)+IF(E2303="via",MAX(0,G2303-MAX(F2303,I2303)),0))</x:f>
        <x:v>2.944</x:v>
      </x:c>
    </x:row>
    <x:row r="2304" ht="42" customHeight="1">
      <x:c r="A2304" s="12" t="str">
        <x:v>DP44-B</x:v>
      </x:c>
      <x:c r="B2304" s="12" t="str">
        <x:v>U10</x:v>
      </x:c>
      <x:c r="C2304" s="12" t="str">
        <x:v>first_chunk</x:v>
      </x:c>
      <x:c r="D2304" s="12" t="str">
        <x:v>같은 생성 job의 유효 첫 chunk 관측</x:v>
      </x:c>
      <x:c r="E2304" s="12" t="str">
        <x:v>via</x:v>
      </x:c>
      <x:c r="F2304" s="13" t="n">
        <x:v>1.8100000000000003</x:v>
      </x:c>
      <x:c r="G2304" s="13" t="n">
        <x:v>2.244</x:v>
      </x:c>
      <x:c r="H2304" s="13" t="n">
        <x:v>0.434</x:v>
      </x:c>
      <x:c r="I2304" s="13" t="n">
        <x:v>0</x:v>
      </x:c>
      <x:c r="J2304" s="12" t="str">
        <x:v>adopt</x:v>
      </x:c>
      <x:c r="K2304" s="12" t="str">
        <x:v>none</x:v>
      </x:c>
      <x:c r="L2304" s="13" t="n">
        <x:f>IF(G2304&lt;=I2304,0,MAX(0,L2297)+IF(E2304="via",MAX(0,G2304-MAX(F2304,I2304)),0))</x:f>
        <x:v>2.244</x:v>
      </x:c>
    </x:row>
    <x:row r="2305" ht="42" customHeight="1">
      <x:c r="A2305" s="7" t="str">
        <x:v>DP44-B</x:v>
      </x:c>
      <x:c r="B2305" s="7" t="str">
        <x:v>U10</x:v>
      </x:c>
      <x:c r="C2305" s="7" t="str">
        <x:v>first_audio_output</x:v>
      </x:c>
      <x:c r="D2305" s="7" t="str">
        <x:v>공통 장치의 첫 음성 출력</x:v>
      </x:c>
      <x:c r="E2305" s="7" t="str">
        <x:v>via</x:v>
      </x:c>
      <x:c r="F2305" s="14" t="n">
        <x:v>2.244</x:v>
      </x:c>
      <x:c r="G2305" s="14" t="n">
        <x:v>2.2840000000000003</x:v>
      </x:c>
      <x:c r="H2305" s="14" t="n">
        <x:v>0.04</x:v>
      </x:c>
      <x:c r="I2305" s="14" t="n">
        <x:v>0</x:v>
      </x:c>
      <x:c r="J2305" s="7" t="str">
        <x:v>adopt, first_chunk</x:v>
      </x:c>
      <x:c r="K2305" s="7" t="str">
        <x:v>none</x:v>
      </x:c>
      <x:c r="L2305" s="14" t="n">
        <x:f>IF(G2305&lt;=I2305,0,MAX(0,L2297,L2304)+IF(E2305="via",MAX(0,G2305-MAX(F2305,I2305)),0))</x:f>
        <x:v>2.2840000000000003</x:v>
      </x:c>
    </x:row>
    <x:row r="2306" ht="42" customHeight="1">
      <x:c r="A2306" s="12" t="str">
        <x:v>DP44-B</x:v>
      </x:c>
      <x:c r="B2306" s="12" t="str">
        <x:v>U10</x:v>
      </x:c>
      <x:c r="C2306" s="12" t="str">
        <x:v>next_speech_selection</x:v>
      </x:c>
      <x:c r="D2306" s="12" t="str">
        <x:v>현재 발화 재생 후 다음 응답 선택</x:v>
      </x:c>
      <x:c r="E2306" s="12" t="str">
        <x:v>external</x:v>
      </x:c>
      <x:c r="F2306" s="13" t="n">
        <x:v>2.2840000000000003</x:v>
      </x:c>
      <x:c r="G2306" s="13" t="n">
        <x:v>5.284000000000001</x:v>
      </x:c>
      <x:c r="H2306" s="13" t="n">
        <x:v>3</x:v>
      </x:c>
      <x:c r="I2306" s="13" t="n">
        <x:v>0</x:v>
      </x:c>
      <x:c r="J2306" s="12" t="str">
        <x:v>first_audio_output</x:v>
      </x:c>
      <x:c r="K2306" s="12" t="str">
        <x:v>none</x:v>
      </x:c>
      <x:c r="L2306" s="13" t="n">
        <x:f>IF(G2306&lt;=I2306,0,MAX(0,L2305)+IF(E2306="via",MAX(0,G2306-MAX(F2306,I2306)),0))</x:f>
        <x:v>2.2840000000000003</x:v>
      </x:c>
    </x:row>
    <x:row r="2307" ht="42" customHeight="1">
      <x:c r="A2307" s="7" t="str">
        <x:v>DP44-B</x:v>
      </x:c>
      <x:c r="B2307" s="7" t="str">
        <x:v>U10</x:v>
      </x:c>
      <x:c r="C2307" s="7" t="str">
        <x:v>terminal</x:v>
      </x:c>
      <x:c r="D2307" s="7" t="str">
        <x:v>공통 목표 최종 상태와 전체 음성 준비</x:v>
      </x:c>
      <x:c r="E2307" s="7" t="str">
        <x:v>via</x:v>
      </x:c>
      <x:c r="F2307" s="14" t="n">
        <x:v>11.738</x:v>
      </x:c>
      <x:c r="G2307" s="14" t="n">
        <x:v>11.738</x:v>
      </x:c>
      <x:c r="H2307" s="14" t="n">
        <x:v>0</x:v>
      </x:c>
      <x:c r="I2307" s="14" t="n">
        <x:v>0</x:v>
      </x:c>
      <x:c r="J2307" s="7" t="str">
        <x:v>result_display, response_audio, intent_audio, first_audio_output</x:v>
      </x:c>
      <x:c r="K2307" s="7" t="str">
        <x:v>none</x:v>
      </x:c>
      <x:c r="L2307" s="14" t="n">
        <x:f>IF(G2307&lt;=I2307,0,MAX(0,L2301,L2302,L2303,L2305)+IF(E2307="via",MAX(0,G2307-MAX(F2307,I2307)),0))</x:f>
        <x:v>4.172000000000001</x:v>
      </x:c>
    </x:row>
    <x:row r="2308" ht="42" customHeight="1">
      <x:c r="A2308" s="12" t="str">
        <x:v>DP44-B</x:v>
      </x:c>
      <x:c r="B2308" s="12" t="str">
        <x:v>U11</x:v>
      </x:c>
      <x:c r="C2308" s="12" t="str">
        <x:v>input_end</x:v>
      </x:c>
      <x:c r="D2308" s="12" t="str">
        <x:v>사용자 입력 종료</x:v>
      </x:c>
      <x:c r="E2308" s="12" t="str">
        <x:v>external</x:v>
      </x:c>
      <x:c r="F2308" s="13" t="n">
        <x:v>0</x:v>
      </x:c>
      <x:c r="G2308" s="13" t="n">
        <x:v>0</x:v>
      </x:c>
      <x:c r="H2308" s="13" t="n">
        <x:v>0</x:v>
      </x:c>
      <x:c r="I2308" s="13" t="n">
        <x:v>0</x:v>
      </x:c>
      <x:c r="J2308" s="12" t="str"/>
      <x:c r="K2308" s="12" t="str">
        <x:v>none</x:v>
      </x:c>
      <x:c r="L2308" s="13" t="n">
        <x:f>IF(G2308&lt;=I2308,0,MAX(0)+IF(E2308="via",MAX(0,G2308-MAX(F2308,I2308)),0))</x:f>
        <x:v>0</x:v>
      </x:c>
    </x:row>
    <x:row r="2309" ht="42" customHeight="1">
      <x:c r="A2309" s="7" t="str">
        <x:v>DP44-B</x:v>
      </x:c>
      <x:c r="B2309" s="7" t="str">
        <x:v>U11</x:v>
      </x:c>
      <x:c r="C2309" s="7" t="str">
        <x:v>intake</x:v>
      </x:c>
      <x:c r="D2309" s="7" t="str">
        <x:v>입력 확정</x:v>
      </x:c>
      <x:c r="E2309" s="7" t="str">
        <x:v>via</x:v>
      </x:c>
      <x:c r="F2309" s="14" t="n">
        <x:v>0</x:v>
      </x:c>
      <x:c r="G2309" s="14" t="n">
        <x:v>0.3</x:v>
      </x:c>
      <x:c r="H2309" s="14" t="n">
        <x:v>0.3</x:v>
      </x:c>
      <x:c r="I2309" s="14" t="n">
        <x:v>0</x:v>
      </x:c>
      <x:c r="J2309" s="7" t="str">
        <x:v>input_end</x:v>
      </x:c>
      <x:c r="K2309" s="7" t="str">
        <x:v>none</x:v>
      </x:c>
      <x:c r="L2309" s="14" t="n">
        <x:f>IF(G2309&lt;=I2309,0,MAX(0,L2308)+IF(E2309="via",MAX(0,G2309-MAX(F2309,I2309)),0))</x:f>
        <x:v>0.3</x:v>
      </x:c>
    </x:row>
    <x:row r="2310" ht="42" customHeight="1">
      <x:c r="A2310" s="12" t="str">
        <x:v>DP44-B</x:v>
      </x:c>
      <x:c r="B2310" s="12" t="str">
        <x:v>U11</x:v>
      </x:c>
      <x:c r="C2310" s="12" t="str">
        <x:v>read</x:v>
      </x:c>
      <x:c r="D2310" s="12" t="str">
        <x:v>공통 허용 원본 조회</x:v>
      </x:c>
      <x:c r="E2310" s="12" t="str">
        <x:v>via</x:v>
      </x:c>
      <x:c r="F2310" s="13" t="n">
        <x:v>0.3</x:v>
      </x:c>
      <x:c r="G2310" s="13" t="n">
        <x:v>0.38</x:v>
      </x:c>
      <x:c r="H2310" s="13" t="n">
        <x:v>0.08</x:v>
      </x:c>
      <x:c r="I2310" s="13" t="n">
        <x:v>0</x:v>
      </x:c>
      <x:c r="J2310" s="12" t="str">
        <x:v>intake</x:v>
      </x:c>
      <x:c r="K2310" s="12" t="str">
        <x:v>none</x:v>
      </x:c>
      <x:c r="L2310" s="13" t="n">
        <x:f>IF(G2310&lt;=I2310,0,MAX(0,L2309)+IF(E2310="via",MAX(0,G2310-MAX(F2310,I2310)),0))</x:f>
        <x:v>0.38</x:v>
      </x:c>
    </x:row>
    <x:row r="2311" ht="42" customHeight="1">
      <x:c r="A2311" s="7" t="str">
        <x:v>DP44-B</x:v>
      </x:c>
      <x:c r="B2311" s="7" t="str">
        <x:v>U11</x:v>
      </x:c>
      <x:c r="C2311" s="7" t="str">
        <x:v>meaning</x:v>
      </x:c>
      <x:c r="D2311" s="7" t="str">
        <x:v>최초 요청 의미 채택 packet 생성</x:v>
      </x:c>
      <x:c r="E2311" s="7" t="str">
        <x:v>via</x:v>
      </x:c>
      <x:c r="F2311" s="14" t="n">
        <x:v>0.38</x:v>
      </x:c>
      <x:c r="G2311" s="14" t="n">
        <x:v>2.08</x:v>
      </x:c>
      <x:c r="H2311" s="14" t="n">
        <x:v>1.7</x:v>
      </x:c>
      <x:c r="I2311" s="14" t="n">
        <x:v>0</x:v>
      </x:c>
      <x:c r="J2311" s="7" t="str">
        <x:v>read</x:v>
      </x:c>
      <x:c r="K2311" s="7" t="str">
        <x:v>semantic</x:v>
      </x:c>
      <x:c r="L2311" s="14" t="n">
        <x:f>IF(G2311&lt;=I2311,0,MAX(0,L2310)+IF(E2311="via",MAX(0,G2311-MAX(F2311,I2311)),0))</x:f>
        <x:v>2.08</x:v>
      </x:c>
    </x:row>
    <x:row r="2312" ht="42" customHeight="1">
      <x:c r="A2312" s="12" t="str">
        <x:v>DP44-B</x:v>
      </x:c>
      <x:c r="B2312" s="12" t="str">
        <x:v>U11</x:v>
      </x:c>
      <x:c r="C2312" s="12" t="str">
        <x:v>adopt</x:v>
      </x:c>
      <x:c r="D2312" s="12" t="str">
        <x:v>현재 revision과 권한 검사 및 채택</x:v>
      </x:c>
      <x:c r="E2312" s="12" t="str">
        <x:v>via</x:v>
      </x:c>
      <x:c r="F2312" s="13" t="n">
        <x:v>2.08</x:v>
      </x:c>
      <x:c r="G2312" s="13" t="n">
        <x:v>2.11</x:v>
      </x:c>
      <x:c r="H2312" s="13" t="n">
        <x:v>0.03</x:v>
      </x:c>
      <x:c r="I2312" s="13" t="n">
        <x:v>0</x:v>
      </x:c>
      <x:c r="J2312" s="12" t="str">
        <x:v>meaning</x:v>
      </x:c>
      <x:c r="K2312" s="12" t="str">
        <x:v>none</x:v>
      </x:c>
      <x:c r="L2312" s="13" t="n">
        <x:f>IF(G2312&lt;=I2312,0,MAX(0,L2311)+IF(E2312="via",MAX(0,G2312-MAX(F2312,I2312)),0))</x:f>
        <x:v>2.11</x:v>
      </x:c>
    </x:row>
    <x:row r="2313" ht="42" customHeight="1">
      <x:c r="A2313" s="7" t="str">
        <x:v>DP44-B</x:v>
      </x:c>
      <x:c r="B2313" s="7" t="str">
        <x:v>U11</x:v>
      </x:c>
      <x:c r="C2313" s="7" t="str">
        <x:v>first_display</x:v>
      </x:c>
      <x:c r="D2313" s="7" t="str">
        <x:v>첫 구체적 채택 내용 화면 표시</x:v>
      </x:c>
      <x:c r="E2313" s="7" t="str">
        <x:v>via</x:v>
      </x:c>
      <x:c r="F2313" s="14" t="n">
        <x:v>2.11</x:v>
      </x:c>
      <x:c r="G2313" s="14" t="n">
        <x:v>2.15</x:v>
      </x:c>
      <x:c r="H2313" s="14" t="n">
        <x:v>0.04</x:v>
      </x:c>
      <x:c r="I2313" s="14" t="n">
        <x:v>0</x:v>
      </x:c>
      <x:c r="J2313" s="7" t="str">
        <x:v>adopt</x:v>
      </x:c>
      <x:c r="K2313" s="7" t="str">
        <x:v>none</x:v>
      </x:c>
      <x:c r="L2313" s="14" t="n">
        <x:f>IF(G2313&lt;=I2313,0,MAX(0,L2312)+IF(E2313="via",MAX(0,G2313-MAX(F2313,I2313)),0))</x:f>
        <x:v>2.15</x:v>
      </x:c>
    </x:row>
    <x:row r="2314" ht="42" customHeight="1">
      <x:c r="A2314" s="12" t="str">
        <x:v>DP44-B</x:v>
      </x:c>
      <x:c r="B2314" s="12" t="str">
        <x:v>U11</x:v>
      </x:c>
      <x:c r="C2314" s="12" t="str">
        <x:v>agent_ingress</x:v>
      </x:c>
      <x:c r="D2314" s="12" t="str">
        <x:v>Agent 요청 전송</x:v>
      </x:c>
      <x:c r="E2314" s="12" t="str">
        <x:v>via</x:v>
      </x:c>
      <x:c r="F2314" s="13" t="n">
        <x:v>2.11</x:v>
      </x:c>
      <x:c r="G2314" s="13" t="n">
        <x:v>2.15</x:v>
      </x:c>
      <x:c r="H2314" s="13" t="n">
        <x:v>0.04</x:v>
      </x:c>
      <x:c r="I2314" s="13" t="n">
        <x:v>0</x:v>
      </x:c>
      <x:c r="J2314" s="12" t="str">
        <x:v>adopt</x:v>
      </x:c>
      <x:c r="K2314" s="12" t="str">
        <x:v>none</x:v>
      </x:c>
      <x:c r="L2314" s="13" t="n">
        <x:f>IF(G2314&lt;=I2314,0,MAX(0,L2312)+IF(E2314="via",MAX(0,G2314-MAX(F2314,I2314)),0))</x:f>
        <x:v>2.15</x:v>
      </x:c>
    </x:row>
    <x:row r="2315" ht="42" customHeight="1">
      <x:c r="A2315" s="7" t="str">
        <x:v>DP44-B</x:v>
      </x:c>
      <x:c r="B2315" s="7" t="str">
        <x:v>U11</x:v>
      </x:c>
      <x:c r="C2315" s="7" t="str">
        <x:v>agent_result</x:v>
      </x:c>
      <x:c r="D2315" s="7" t="str">
        <x:v>외부 Agent 업무</x:v>
      </x:c>
      <x:c r="E2315" s="7" t="str">
        <x:v>external</x:v>
      </x:c>
      <x:c r="F2315" s="14" t="n">
        <x:v>2.15</x:v>
      </x:c>
      <x:c r="G2315" s="14" t="n">
        <x:v>10.15</x:v>
      </x:c>
      <x:c r="H2315" s="14" t="n">
        <x:v>8</x:v>
      </x:c>
      <x:c r="I2315" s="14" t="n">
        <x:v>0</x:v>
      </x:c>
      <x:c r="J2315" s="7" t="str">
        <x:v>agent_ingress</x:v>
      </x:c>
      <x:c r="K2315" s="7" t="str">
        <x:v>none</x:v>
      </x:c>
      <x:c r="L2315" s="14" t="n">
        <x:f>IF(G2315&lt;=I2315,0,MAX(0,L2314)+IF(E2315="via",MAX(0,G2315-MAX(F2315,I2315)),0))</x:f>
        <x:v>2.15</x:v>
      </x:c>
    </x:row>
    <x:row r="2316" ht="42" customHeight="1">
      <x:c r="A2316" s="12" t="str">
        <x:v>DP44-B</x:v>
      </x:c>
      <x:c r="B2316" s="12" t="str">
        <x:v>U11</x:v>
      </x:c>
      <x:c r="C2316" s="12" t="str">
        <x:v>result_display</x:v>
      </x:c>
      <x:c r="D2316" s="12" t="str">
        <x:v>최종 결과 상세 표시</x:v>
      </x:c>
      <x:c r="E2316" s="12" t="str">
        <x:v>via</x:v>
      </x:c>
      <x:c r="F2316" s="13" t="n">
        <x:v>10.15</x:v>
      </x:c>
      <x:c r="G2316" s="13" t="n">
        <x:v>10.19</x:v>
      </x:c>
      <x:c r="H2316" s="13" t="n">
        <x:v>0.04</x:v>
      </x:c>
      <x:c r="I2316" s="13" t="n">
        <x:v>0</x:v>
      </x:c>
      <x:c r="J2316" s="12" t="str">
        <x:v>agent_result</x:v>
      </x:c>
      <x:c r="K2316" s="12" t="str">
        <x:v>none</x:v>
      </x:c>
      <x:c r="L2316" s="13" t="n">
        <x:f>IF(G2316&lt;=I2316,0,MAX(0,L2315)+IF(E2316="via",MAX(0,G2316-MAX(F2316,I2316)),0))</x:f>
        <x:v>2.189999999999999</x:v>
      </x:c>
    </x:row>
    <x:row r="2317" ht="42" customHeight="1">
      <x:c r="A2317" s="7" t="str">
        <x:v>DP44-B</x:v>
      </x:c>
      <x:c r="B2317" s="7" t="str">
        <x:v>U11</x:v>
      </x:c>
      <x:c r="C2317" s="7" t="str">
        <x:v>response_audio</x:v>
      </x:c>
      <x:c r="D2317" s="7" t="str">
        <x:v>선택한 응답 음성 생성</x:v>
      </x:c>
      <x:c r="E2317" s="7" t="str">
        <x:v>via</x:v>
      </x:c>
      <x:c r="F2317" s="14" t="n">
        <x:v>10.15</x:v>
      </x:c>
      <x:c r="G2317" s="14" t="n">
        <x:v>12.038</x:v>
      </x:c>
      <x:c r="H2317" s="14" t="n">
        <x:v>1.888</x:v>
      </x:c>
      <x:c r="I2317" s="14" t="n">
        <x:v>0</x:v>
      </x:c>
      <x:c r="J2317" s="7" t="str">
        <x:v>agent_result, adopt, next_speech_selection</x:v>
      </x:c>
      <x:c r="K2317" s="7" t="str">
        <x:v>speech</x:v>
      </x:c>
      <x:c r="L2317" s="14" t="n">
        <x:f>IF(G2317&lt;=I2317,0,MAX(0,L2315,L2312,L2321)+IF(E2317="via",MAX(0,G2317-MAX(F2317,I2317)),0))</x:f>
        <x:v>4.4719999999999995</x:v>
      </x:c>
    </x:row>
    <x:row r="2318" ht="42" customHeight="1">
      <x:c r="A2318" s="12" t="str">
        <x:v>DP44-B</x:v>
      </x:c>
      <x:c r="B2318" s="12" t="str">
        <x:v>U11</x:v>
      </x:c>
      <x:c r="C2318" s="12" t="str">
        <x:v>intent_audio</x:v>
      </x:c>
      <x:c r="D2318" s="12" t="str">
        <x:v>채택한 구체적 수행 의도의 짧은 음성</x:v>
      </x:c>
      <x:c r="E2318" s="12" t="str">
        <x:v>via</x:v>
      </x:c>
      <x:c r="F2318" s="13" t="n">
        <x:v>2.11</x:v>
      </x:c>
      <x:c r="G2318" s="13" t="n">
        <x:v>3.2439999999999998</x:v>
      </x:c>
      <x:c r="H2318" s="13" t="n">
        <x:v>1.134</x:v>
      </x:c>
      <x:c r="I2318" s="13" t="n">
        <x:v>0</x:v>
      </x:c>
      <x:c r="J2318" s="12" t="str">
        <x:v>adopt</x:v>
      </x:c>
      <x:c r="K2318" s="12" t="str">
        <x:v>speech</x:v>
      </x:c>
      <x:c r="L2318" s="13" t="n">
        <x:f>IF(G2318&lt;=I2318,0,MAX(0,L2312)+IF(E2318="via",MAX(0,G2318-MAX(F2318,I2318)),0))</x:f>
        <x:v>3.2439999999999998</x:v>
      </x:c>
    </x:row>
    <x:row r="2319" ht="42" customHeight="1">
      <x:c r="A2319" s="7" t="str">
        <x:v>DP44-B</x:v>
      </x:c>
      <x:c r="B2319" s="7" t="str">
        <x:v>U11</x:v>
      </x:c>
      <x:c r="C2319" s="7" t="str">
        <x:v>first_chunk</x:v>
      </x:c>
      <x:c r="D2319" s="7" t="str">
        <x:v>같은 생성 job의 유효 첫 chunk 관측</x:v>
      </x:c>
      <x:c r="E2319" s="7" t="str">
        <x:v>via</x:v>
      </x:c>
      <x:c r="F2319" s="14" t="n">
        <x:v>2.11</x:v>
      </x:c>
      <x:c r="G2319" s="14" t="n">
        <x:v>2.544</x:v>
      </x:c>
      <x:c r="H2319" s="14" t="n">
        <x:v>0.434</x:v>
      </x:c>
      <x:c r="I2319" s="14" t="n">
        <x:v>0</x:v>
      </x:c>
      <x:c r="J2319" s="7" t="str">
        <x:v>adopt</x:v>
      </x:c>
      <x:c r="K2319" s="7" t="str">
        <x:v>none</x:v>
      </x:c>
      <x:c r="L2319" s="14" t="n">
        <x:f>IF(G2319&lt;=I2319,0,MAX(0,L2312)+IF(E2319="via",MAX(0,G2319-MAX(F2319,I2319)),0))</x:f>
        <x:v>2.544</x:v>
      </x:c>
    </x:row>
    <x:row r="2320" ht="42" customHeight="1">
      <x:c r="A2320" s="12" t="str">
        <x:v>DP44-B</x:v>
      </x:c>
      <x:c r="B2320" s="12" t="str">
        <x:v>U11</x:v>
      </x:c>
      <x:c r="C2320" s="12" t="str">
        <x:v>first_audio_output</x:v>
      </x:c>
      <x:c r="D2320" s="12" t="str">
        <x:v>공통 장치의 첫 음성 출력</x:v>
      </x:c>
      <x:c r="E2320" s="12" t="str">
        <x:v>via</x:v>
      </x:c>
      <x:c r="F2320" s="13" t="n">
        <x:v>2.544</x:v>
      </x:c>
      <x:c r="G2320" s="13" t="n">
        <x:v>2.584</x:v>
      </x:c>
      <x:c r="H2320" s="13" t="n">
        <x:v>0.04</x:v>
      </x:c>
      <x:c r="I2320" s="13" t="n">
        <x:v>0</x:v>
      </x:c>
      <x:c r="J2320" s="12" t="str">
        <x:v>adopt, first_chunk</x:v>
      </x:c>
      <x:c r="K2320" s="12" t="str">
        <x:v>none</x:v>
      </x:c>
      <x:c r="L2320" s="13" t="n">
        <x:f>IF(G2320&lt;=I2320,0,MAX(0,L2312,L2319)+IF(E2320="via",MAX(0,G2320-MAX(F2320,I2320)),0))</x:f>
        <x:v>2.584</x:v>
      </x:c>
    </x:row>
    <x:row r="2321" ht="42" customHeight="1">
      <x:c r="A2321" s="7" t="str">
        <x:v>DP44-B</x:v>
      </x:c>
      <x:c r="B2321" s="7" t="str">
        <x:v>U11</x:v>
      </x:c>
      <x:c r="C2321" s="7" t="str">
        <x:v>next_speech_selection</x:v>
      </x:c>
      <x:c r="D2321" s="7" t="str">
        <x:v>현재 발화 재생 후 다음 응답 선택</x:v>
      </x:c>
      <x:c r="E2321" s="7" t="str">
        <x:v>external</x:v>
      </x:c>
      <x:c r="F2321" s="14" t="n">
        <x:v>2.584</x:v>
      </x:c>
      <x:c r="G2321" s="14" t="n">
        <x:v>5.584</x:v>
      </x:c>
      <x:c r="H2321" s="14" t="n">
        <x:v>3</x:v>
      </x:c>
      <x:c r="I2321" s="14" t="n">
        <x:v>0</x:v>
      </x:c>
      <x:c r="J2321" s="7" t="str">
        <x:v>first_audio_output</x:v>
      </x:c>
      <x:c r="K2321" s="7" t="str">
        <x:v>none</x:v>
      </x:c>
      <x:c r="L2321" s="14" t="n">
        <x:f>IF(G2321&lt;=I2321,0,MAX(0,L2320)+IF(E2321="via",MAX(0,G2321-MAX(F2321,I2321)),0))</x:f>
        <x:v>2.584</x:v>
      </x:c>
    </x:row>
    <x:row r="2322" ht="42" customHeight="1">
      <x:c r="A2322" s="12" t="str">
        <x:v>DP44-B</x:v>
      </x:c>
      <x:c r="B2322" s="12" t="str">
        <x:v>U11</x:v>
      </x:c>
      <x:c r="C2322" s="12" t="str">
        <x:v>terminal</x:v>
      </x:c>
      <x:c r="D2322" s="12" t="str">
        <x:v>공통 목표 최종 상태와 전체 음성 준비</x:v>
      </x:c>
      <x:c r="E2322" s="12" t="str">
        <x:v>via</x:v>
      </x:c>
      <x:c r="F2322" s="13" t="n">
        <x:v>12.038</x:v>
      </x:c>
      <x:c r="G2322" s="13" t="n">
        <x:v>12.038</x:v>
      </x:c>
      <x:c r="H2322" s="13" t="n">
        <x:v>0</x:v>
      </x:c>
      <x:c r="I2322" s="13" t="n">
        <x:v>0</x:v>
      </x:c>
      <x:c r="J2322" s="12" t="str">
        <x:v>result_display, response_audio, intent_audio, first_audio_output</x:v>
      </x:c>
      <x:c r="K2322" s="12" t="str">
        <x:v>none</x:v>
      </x:c>
      <x:c r="L2322" s="13" t="n">
        <x:f>IF(G2322&lt;=I2322,0,MAX(0,L2316,L2317,L2318,L2320)+IF(E2322="via",MAX(0,G2322-MAX(F2322,I2322)),0))</x:f>
        <x:v>4.4719999999999995</x:v>
      </x:c>
    </x:row>
    <x:row r="2323" ht="42" customHeight="1">
      <x:c r="A2323" s="7" t="str">
        <x:v>DP44-B</x:v>
      </x:c>
      <x:c r="B2323" s="7" t="str">
        <x:v>U12</x:v>
      </x:c>
      <x:c r="C2323" s="7" t="str">
        <x:v>input_end</x:v>
      </x:c>
      <x:c r="D2323" s="7" t="str">
        <x:v>사용자 입력 종료</x:v>
      </x:c>
      <x:c r="E2323" s="7" t="str">
        <x:v>external</x:v>
      </x:c>
      <x:c r="F2323" s="14" t="n">
        <x:v>0</x:v>
      </x:c>
      <x:c r="G2323" s="14" t="n">
        <x:v>0</x:v>
      </x:c>
      <x:c r="H2323" s="14" t="n">
        <x:v>0</x:v>
      </x:c>
      <x:c r="I2323" s="14" t="n">
        <x:v>0</x:v>
      </x:c>
      <x:c r="J2323" s="7" t="str"/>
      <x:c r="K2323" s="7" t="str">
        <x:v>none</x:v>
      </x:c>
      <x:c r="L2323" s="14" t="n">
        <x:f>IF(G2323&lt;=I2323,0,MAX(0)+IF(E2323="via",MAX(0,G2323-MAX(F2323,I2323)),0))</x:f>
        <x:v>0</x:v>
      </x:c>
    </x:row>
    <x:row r="2324" ht="42" customHeight="1">
      <x:c r="A2324" s="12" t="str">
        <x:v>DP44-B</x:v>
      </x:c>
      <x:c r="B2324" s="12" t="str">
        <x:v>U12</x:v>
      </x:c>
      <x:c r="C2324" s="12" t="str">
        <x:v>intake</x:v>
      </x:c>
      <x:c r="D2324" s="12" t="str">
        <x:v>입력 확정</x:v>
      </x:c>
      <x:c r="E2324" s="12" t="str">
        <x:v>via</x:v>
      </x:c>
      <x:c r="F2324" s="13" t="n">
        <x:v>0</x:v>
      </x:c>
      <x:c r="G2324" s="13" t="n">
        <x:v>0.3</x:v>
      </x:c>
      <x:c r="H2324" s="13" t="n">
        <x:v>0.3</x:v>
      </x:c>
      <x:c r="I2324" s="13" t="n">
        <x:v>0</x:v>
      </x:c>
      <x:c r="J2324" s="12" t="str">
        <x:v>input_end</x:v>
      </x:c>
      <x:c r="K2324" s="12" t="str">
        <x:v>none</x:v>
      </x:c>
      <x:c r="L2324" s="13" t="n">
        <x:f>IF(G2324&lt;=I2324,0,MAX(0,L2323)+IF(E2324="via",MAX(0,G2324-MAX(F2324,I2324)),0))</x:f>
        <x:v>0.3</x:v>
      </x:c>
    </x:row>
    <x:row r="2325" ht="42" customHeight="1">
      <x:c r="A2325" s="7" t="str">
        <x:v>DP44-B</x:v>
      </x:c>
      <x:c r="B2325" s="7" t="str">
        <x:v>U12</x:v>
      </x:c>
      <x:c r="C2325" s="7" t="str">
        <x:v>read</x:v>
      </x:c>
      <x:c r="D2325" s="7" t="str">
        <x:v>공통 허용 원본 조회</x:v>
      </x:c>
      <x:c r="E2325" s="7" t="str">
        <x:v>via</x:v>
      </x:c>
      <x:c r="F2325" s="14" t="n">
        <x:v>0.3</x:v>
      </x:c>
      <x:c r="G2325" s="14" t="n">
        <x:v>0.38</x:v>
      </x:c>
      <x:c r="H2325" s="14" t="n">
        <x:v>0.08</x:v>
      </x:c>
      <x:c r="I2325" s="14" t="n">
        <x:v>0</x:v>
      </x:c>
      <x:c r="J2325" s="7" t="str">
        <x:v>intake</x:v>
      </x:c>
      <x:c r="K2325" s="7" t="str">
        <x:v>none</x:v>
      </x:c>
      <x:c r="L2325" s="14" t="n">
        <x:f>IF(G2325&lt;=I2325,0,MAX(0,L2324)+IF(E2325="via",MAX(0,G2325-MAX(F2325,I2325)),0))</x:f>
        <x:v>0.38</x:v>
      </x:c>
    </x:row>
    <x:row r="2326" ht="42" customHeight="1">
      <x:c r="A2326" s="12" t="str">
        <x:v>DP44-B</x:v>
      </x:c>
      <x:c r="B2326" s="12" t="str">
        <x:v>U12</x:v>
      </x:c>
      <x:c r="C2326" s="12" t="str">
        <x:v>pre_raw</x:v>
      </x:c>
      <x:c r="D2326" s="12" t="str">
        <x:v>선행 원본 화면 해석</x:v>
      </x:c>
      <x:c r="E2326" s="12" t="str">
        <x:v>via</x:v>
      </x:c>
      <x:c r="F2326" s="13" t="n">
        <x:v>-12</x:v>
      </x:c>
      <x:c r="G2326" s="13" t="n">
        <x:v>-10.6</x:v>
      </x:c>
      <x:c r="H2326" s="13" t="n">
        <x:v>1.4000000000000001</x:v>
      </x:c>
      <x:c r="I2326" s="13" t="n">
        <x:v>0</x:v>
      </x:c>
      <x:c r="J2326" s="12" t="str"/>
      <x:c r="K2326" s="12" t="str">
        <x:v>semantic</x:v>
      </x:c>
      <x:c r="L2326" s="13" t="n">
        <x:f>IF(G2326&lt;=I2326,0,MAX(0)+IF(E2326="via",MAX(0,G2326-MAX(F2326,I2326)),0))</x:f>
        <x:v>0</x:v>
      </x:c>
    </x:row>
    <x:row r="2327" ht="42" customHeight="1">
      <x:c r="A2327" s="7" t="str">
        <x:v>DP44-B</x:v>
      </x:c>
      <x:c r="B2327" s="7" t="str">
        <x:v>U12</x:v>
      </x:c>
      <x:c r="C2327" s="7" t="str">
        <x:v>reuse_screen</x:v>
      </x:c>
      <x:c r="D2327" s="7" t="str">
        <x:v>이미 확정한 화면 대상 재사용</x:v>
      </x:c>
      <x:c r="E2327" s="7" t="str">
        <x:v>via</x:v>
      </x:c>
      <x:c r="F2327" s="14" t="n">
        <x:v>0.38</x:v>
      </x:c>
      <x:c r="G2327" s="14" t="n">
        <x:v>0.46</x:v>
      </x:c>
      <x:c r="H2327" s="14" t="n">
        <x:v>0.08</x:v>
      </x:c>
      <x:c r="I2327" s="14" t="n">
        <x:v>0</x:v>
      </x:c>
      <x:c r="J2327" s="7" t="str">
        <x:v>read, pre_raw</x:v>
      </x:c>
      <x:c r="K2327" s="7" t="str">
        <x:v>none</x:v>
      </x:c>
      <x:c r="L2327" s="14" t="n">
        <x:f>IF(G2327&lt;=I2327,0,MAX(0,L2325,L2326)+IF(E2327="via",MAX(0,G2327-MAX(F2327,I2327)),0))</x:f>
        <x:v>0.46</x:v>
      </x:c>
    </x:row>
    <x:row r="2328" ht="42" customHeight="1">
      <x:c r="A2328" s="12" t="str">
        <x:v>DP44-B</x:v>
      </x:c>
      <x:c r="B2328" s="12" t="str">
        <x:v>U12</x:v>
      </x:c>
      <x:c r="C2328" s="12" t="str">
        <x:v>meaning</x:v>
      </x:c>
      <x:c r="D2328" s="12" t="str">
        <x:v>최초 요청 의미 채택 packet 생성</x:v>
      </x:c>
      <x:c r="E2328" s="12" t="str">
        <x:v>via</x:v>
      </x:c>
      <x:c r="F2328" s="13" t="n">
        <x:v>0.46</x:v>
      </x:c>
      <x:c r="G2328" s="13" t="n">
        <x:v>1.56</x:v>
      </x:c>
      <x:c r="H2328" s="13" t="n">
        <x:v>1.1</x:v>
      </x:c>
      <x:c r="I2328" s="13" t="n">
        <x:v>0</x:v>
      </x:c>
      <x:c r="J2328" s="12" t="str">
        <x:v>reuse_screen</x:v>
      </x:c>
      <x:c r="K2328" s="12" t="str">
        <x:v>semantic</x:v>
      </x:c>
      <x:c r="L2328" s="13" t="n">
        <x:f>IF(G2328&lt;=I2328,0,MAX(0,L2327)+IF(E2328="via",MAX(0,G2328-MAX(F2328,I2328)),0))</x:f>
        <x:v>1.56</x:v>
      </x:c>
    </x:row>
    <x:row r="2329" ht="42" customHeight="1">
      <x:c r="A2329" s="7" t="str">
        <x:v>DP44-B</x:v>
      </x:c>
      <x:c r="B2329" s="7" t="str">
        <x:v>U12</x:v>
      </x:c>
      <x:c r="C2329" s="7" t="str">
        <x:v>adopt</x:v>
      </x:c>
      <x:c r="D2329" s="7" t="str">
        <x:v>현재 revision과 권한 검사 및 채택</x:v>
      </x:c>
      <x:c r="E2329" s="7" t="str">
        <x:v>via</x:v>
      </x:c>
      <x:c r="F2329" s="14" t="n">
        <x:v>1.56</x:v>
      </x:c>
      <x:c r="G2329" s="14" t="n">
        <x:v>1.59</x:v>
      </x:c>
      <x:c r="H2329" s="14" t="n">
        <x:v>0.03</x:v>
      </x:c>
      <x:c r="I2329" s="14" t="n">
        <x:v>0</x:v>
      </x:c>
      <x:c r="J2329" s="7" t="str">
        <x:v>meaning</x:v>
      </x:c>
      <x:c r="K2329" s="7" t="str">
        <x:v>none</x:v>
      </x:c>
      <x:c r="L2329" s="14" t="n">
        <x:f>IF(G2329&lt;=I2329,0,MAX(0,L2328)+IF(E2329="via",MAX(0,G2329-MAX(F2329,I2329)),0))</x:f>
        <x:v>1.59</x:v>
      </x:c>
    </x:row>
    <x:row r="2330" ht="42" customHeight="1">
      <x:c r="A2330" s="12" t="str">
        <x:v>DP44-B</x:v>
      </x:c>
      <x:c r="B2330" s="12" t="str">
        <x:v>U12</x:v>
      </x:c>
      <x:c r="C2330" s="12" t="str">
        <x:v>first_display</x:v>
      </x:c>
      <x:c r="D2330" s="12" t="str">
        <x:v>첫 구체적 채택 내용 화면 표시</x:v>
      </x:c>
      <x:c r="E2330" s="12" t="str">
        <x:v>via</x:v>
      </x:c>
      <x:c r="F2330" s="13" t="n">
        <x:v>1.59</x:v>
      </x:c>
      <x:c r="G2330" s="13" t="n">
        <x:v>1.6300000000000001</x:v>
      </x:c>
      <x:c r="H2330" s="13" t="n">
        <x:v>0.04</x:v>
      </x:c>
      <x:c r="I2330" s="13" t="n">
        <x:v>0</x:v>
      </x:c>
      <x:c r="J2330" s="12" t="str">
        <x:v>adopt</x:v>
      </x:c>
      <x:c r="K2330" s="12" t="str">
        <x:v>none</x:v>
      </x:c>
      <x:c r="L2330" s="13" t="n">
        <x:f>IF(G2330&lt;=I2330,0,MAX(0,L2329)+IF(E2330="via",MAX(0,G2330-MAX(F2330,I2330)),0))</x:f>
        <x:v>1.6300000000000001</x:v>
      </x:c>
    </x:row>
    <x:row r="2331" ht="42" customHeight="1">
      <x:c r="A2331" s="7" t="str">
        <x:v>DP44-B</x:v>
      </x:c>
      <x:c r="B2331" s="7" t="str">
        <x:v>U12</x:v>
      </x:c>
      <x:c r="C2331" s="7" t="str">
        <x:v>agent_ingress</x:v>
      </x:c>
      <x:c r="D2331" s="7" t="str">
        <x:v>Agent 요청 전송</x:v>
      </x:c>
      <x:c r="E2331" s="7" t="str">
        <x:v>via</x:v>
      </x:c>
      <x:c r="F2331" s="14" t="n">
        <x:v>1.59</x:v>
      </x:c>
      <x:c r="G2331" s="14" t="n">
        <x:v>1.6300000000000001</x:v>
      </x:c>
      <x:c r="H2331" s="14" t="n">
        <x:v>0.04</x:v>
      </x:c>
      <x:c r="I2331" s="14" t="n">
        <x:v>0</x:v>
      </x:c>
      <x:c r="J2331" s="7" t="str">
        <x:v>adopt</x:v>
      </x:c>
      <x:c r="K2331" s="7" t="str">
        <x:v>none</x:v>
      </x:c>
      <x:c r="L2331" s="14" t="n">
        <x:f>IF(G2331&lt;=I2331,0,MAX(0,L2329)+IF(E2331="via",MAX(0,G2331-MAX(F2331,I2331)),0))</x:f>
        <x:v>1.6300000000000001</x:v>
      </x:c>
    </x:row>
    <x:row r="2332" ht="42" customHeight="1">
      <x:c r="A2332" s="12" t="str">
        <x:v>DP44-B</x:v>
      </x:c>
      <x:c r="B2332" s="12" t="str">
        <x:v>U12</x:v>
      </x:c>
      <x:c r="C2332" s="12" t="str">
        <x:v>agent_result</x:v>
      </x:c>
      <x:c r="D2332" s="12" t="str">
        <x:v>외부 Agent 업무</x:v>
      </x:c>
      <x:c r="E2332" s="12" t="str">
        <x:v>external</x:v>
      </x:c>
      <x:c r="F2332" s="13" t="n">
        <x:v>1.6300000000000001</x:v>
      </x:c>
      <x:c r="G2332" s="13" t="n">
        <x:v>9.63</x:v>
      </x:c>
      <x:c r="H2332" s="13" t="n">
        <x:v>8</x:v>
      </x:c>
      <x:c r="I2332" s="13" t="n">
        <x:v>0</x:v>
      </x:c>
      <x:c r="J2332" s="12" t="str">
        <x:v>agent_ingress</x:v>
      </x:c>
      <x:c r="K2332" s="12" t="str">
        <x:v>none</x:v>
      </x:c>
      <x:c r="L2332" s="13" t="n">
        <x:f>IF(G2332&lt;=I2332,0,MAX(0,L2331)+IF(E2332="via",MAX(0,G2332-MAX(F2332,I2332)),0))</x:f>
        <x:v>1.6300000000000001</x:v>
      </x:c>
    </x:row>
    <x:row r="2333" ht="42" customHeight="1">
      <x:c r="A2333" s="7" t="str">
        <x:v>DP44-B</x:v>
      </x:c>
      <x:c r="B2333" s="7" t="str">
        <x:v>U12</x:v>
      </x:c>
      <x:c r="C2333" s="7" t="str">
        <x:v>result_display</x:v>
      </x:c>
      <x:c r="D2333" s="7" t="str">
        <x:v>최종 결과 상세 표시</x:v>
      </x:c>
      <x:c r="E2333" s="7" t="str">
        <x:v>via</x:v>
      </x:c>
      <x:c r="F2333" s="14" t="n">
        <x:v>9.63</x:v>
      </x:c>
      <x:c r="G2333" s="14" t="n">
        <x:v>9.67</x:v>
      </x:c>
      <x:c r="H2333" s="14" t="n">
        <x:v>0.04</x:v>
      </x:c>
      <x:c r="I2333" s="14" t="n">
        <x:v>0</x:v>
      </x:c>
      <x:c r="J2333" s="7" t="str">
        <x:v>agent_result</x:v>
      </x:c>
      <x:c r="K2333" s="7" t="str">
        <x:v>none</x:v>
      </x:c>
      <x:c r="L2333" s="14" t="n">
        <x:f>IF(G2333&lt;=I2333,0,MAX(0,L2332)+IF(E2333="via",MAX(0,G2333-MAX(F2333,I2333)),0))</x:f>
        <x:v>1.6699999999999993</x:v>
      </x:c>
    </x:row>
    <x:row r="2334" ht="42" customHeight="1">
      <x:c r="A2334" s="12" t="str">
        <x:v>DP44-B</x:v>
      </x:c>
      <x:c r="B2334" s="12" t="str">
        <x:v>U12</x:v>
      </x:c>
      <x:c r="C2334" s="12" t="str">
        <x:v>response_audio</x:v>
      </x:c>
      <x:c r="D2334" s="12" t="str">
        <x:v>선택한 응답 음성 생성</x:v>
      </x:c>
      <x:c r="E2334" s="12" t="str">
        <x:v>via</x:v>
      </x:c>
      <x:c r="F2334" s="13" t="n">
        <x:v>9.63</x:v>
      </x:c>
      <x:c r="G2334" s="13" t="n">
        <x:v>11.518</x:v>
      </x:c>
      <x:c r="H2334" s="13" t="n">
        <x:v>1.888</x:v>
      </x:c>
      <x:c r="I2334" s="13" t="n">
        <x:v>0</x:v>
      </x:c>
      <x:c r="J2334" s="12" t="str">
        <x:v>agent_result, adopt, next_speech_selection</x:v>
      </x:c>
      <x:c r="K2334" s="12" t="str">
        <x:v>speech</x:v>
      </x:c>
      <x:c r="L2334" s="13" t="n">
        <x:f>IF(G2334&lt;=I2334,0,MAX(0,L2332,L2329,L2338)+IF(E2334="via",MAX(0,G2334-MAX(F2334,I2334)),0))</x:f>
        <x:v>3.952</x:v>
      </x:c>
    </x:row>
    <x:row r="2335" ht="42" customHeight="1">
      <x:c r="A2335" s="7" t="str">
        <x:v>DP44-B</x:v>
      </x:c>
      <x:c r="B2335" s="7" t="str">
        <x:v>U12</x:v>
      </x:c>
      <x:c r="C2335" s="7" t="str">
        <x:v>intent_audio</x:v>
      </x:c>
      <x:c r="D2335" s="7" t="str">
        <x:v>채택한 구체적 수행 의도의 짧은 음성</x:v>
      </x:c>
      <x:c r="E2335" s="7" t="str">
        <x:v>via</x:v>
      </x:c>
      <x:c r="F2335" s="14" t="n">
        <x:v>1.59</x:v>
      </x:c>
      <x:c r="G2335" s="14" t="n">
        <x:v>2.724</x:v>
      </x:c>
      <x:c r="H2335" s="14" t="n">
        <x:v>1.134</x:v>
      </x:c>
      <x:c r="I2335" s="14" t="n">
        <x:v>0</x:v>
      </x:c>
      <x:c r="J2335" s="7" t="str">
        <x:v>adopt</x:v>
      </x:c>
      <x:c r="K2335" s="7" t="str">
        <x:v>speech</x:v>
      </x:c>
      <x:c r="L2335" s="14" t="n">
        <x:f>IF(G2335&lt;=I2335,0,MAX(0,L2329)+IF(E2335="via",MAX(0,G2335-MAX(F2335,I2335)),0))</x:f>
        <x:v>2.724</x:v>
      </x:c>
    </x:row>
    <x:row r="2336" ht="42" customHeight="1">
      <x:c r="A2336" s="12" t="str">
        <x:v>DP44-B</x:v>
      </x:c>
      <x:c r="B2336" s="12" t="str">
        <x:v>U12</x:v>
      </x:c>
      <x:c r="C2336" s="12" t="str">
        <x:v>first_chunk</x:v>
      </x:c>
      <x:c r="D2336" s="12" t="str">
        <x:v>같은 생성 job의 유효 첫 chunk 관측</x:v>
      </x:c>
      <x:c r="E2336" s="12" t="str">
        <x:v>via</x:v>
      </x:c>
      <x:c r="F2336" s="13" t="n">
        <x:v>1.59</x:v>
      </x:c>
      <x:c r="G2336" s="13" t="n">
        <x:v>2.024</x:v>
      </x:c>
      <x:c r="H2336" s="13" t="n">
        <x:v>0.434</x:v>
      </x:c>
      <x:c r="I2336" s="13" t="n">
        <x:v>0</x:v>
      </x:c>
      <x:c r="J2336" s="12" t="str">
        <x:v>adopt</x:v>
      </x:c>
      <x:c r="K2336" s="12" t="str">
        <x:v>none</x:v>
      </x:c>
      <x:c r="L2336" s="13" t="n">
        <x:f>IF(G2336&lt;=I2336,0,MAX(0,L2329)+IF(E2336="via",MAX(0,G2336-MAX(F2336,I2336)),0))</x:f>
        <x:v>2.024</x:v>
      </x:c>
    </x:row>
    <x:row r="2337" ht="42" customHeight="1">
      <x:c r="A2337" s="7" t="str">
        <x:v>DP44-B</x:v>
      </x:c>
      <x:c r="B2337" s="7" t="str">
        <x:v>U12</x:v>
      </x:c>
      <x:c r="C2337" s="7" t="str">
        <x:v>first_audio_output</x:v>
      </x:c>
      <x:c r="D2337" s="7" t="str">
        <x:v>공통 장치의 첫 음성 출력</x:v>
      </x:c>
      <x:c r="E2337" s="7" t="str">
        <x:v>via</x:v>
      </x:c>
      <x:c r="F2337" s="14" t="n">
        <x:v>2.024</x:v>
      </x:c>
      <x:c r="G2337" s="14" t="n">
        <x:v>2.064</x:v>
      </x:c>
      <x:c r="H2337" s="14" t="n">
        <x:v>0.04</x:v>
      </x:c>
      <x:c r="I2337" s="14" t="n">
        <x:v>0</x:v>
      </x:c>
      <x:c r="J2337" s="7" t="str">
        <x:v>adopt, first_chunk</x:v>
      </x:c>
      <x:c r="K2337" s="7" t="str">
        <x:v>none</x:v>
      </x:c>
      <x:c r="L2337" s="14" t="n">
        <x:f>IF(G2337&lt;=I2337,0,MAX(0,L2329,L2336)+IF(E2337="via",MAX(0,G2337-MAX(F2337,I2337)),0))</x:f>
        <x:v>2.064</x:v>
      </x:c>
    </x:row>
    <x:row r="2338" ht="42" customHeight="1">
      <x:c r="A2338" s="12" t="str">
        <x:v>DP44-B</x:v>
      </x:c>
      <x:c r="B2338" s="12" t="str">
        <x:v>U12</x:v>
      </x:c>
      <x:c r="C2338" s="12" t="str">
        <x:v>next_speech_selection</x:v>
      </x:c>
      <x:c r="D2338" s="12" t="str">
        <x:v>현재 발화 재생 후 다음 응답 선택</x:v>
      </x:c>
      <x:c r="E2338" s="12" t="str">
        <x:v>external</x:v>
      </x:c>
      <x:c r="F2338" s="13" t="n">
        <x:v>2.064</x:v>
      </x:c>
      <x:c r="G2338" s="13" t="n">
        <x:v>5.064</x:v>
      </x:c>
      <x:c r="H2338" s="13" t="n">
        <x:v>3</x:v>
      </x:c>
      <x:c r="I2338" s="13" t="n">
        <x:v>0</x:v>
      </x:c>
      <x:c r="J2338" s="12" t="str">
        <x:v>first_audio_output</x:v>
      </x:c>
      <x:c r="K2338" s="12" t="str">
        <x:v>none</x:v>
      </x:c>
      <x:c r="L2338" s="13" t="n">
        <x:f>IF(G2338&lt;=I2338,0,MAX(0,L2337)+IF(E2338="via",MAX(0,G2338-MAX(F2338,I2338)),0))</x:f>
        <x:v>2.064</x:v>
      </x:c>
    </x:row>
    <x:row r="2339" ht="42" customHeight="1">
      <x:c r="A2339" s="7" t="str">
        <x:v>DP44-B</x:v>
      </x:c>
      <x:c r="B2339" s="7" t="str">
        <x:v>U12</x:v>
      </x:c>
      <x:c r="C2339" s="7" t="str">
        <x:v>terminal</x:v>
      </x:c>
      <x:c r="D2339" s="7" t="str">
        <x:v>공통 목표 최종 상태와 전체 음성 준비</x:v>
      </x:c>
      <x:c r="E2339" s="7" t="str">
        <x:v>via</x:v>
      </x:c>
      <x:c r="F2339" s="14" t="n">
        <x:v>11.518</x:v>
      </x:c>
      <x:c r="G2339" s="14" t="n">
        <x:v>11.518</x:v>
      </x:c>
      <x:c r="H2339" s="14" t="n">
        <x:v>0</x:v>
      </x:c>
      <x:c r="I2339" s="14" t="n">
        <x:v>0</x:v>
      </x:c>
      <x:c r="J2339" s="7" t="str">
        <x:v>result_display, response_audio, intent_audio, first_audio_output</x:v>
      </x:c>
      <x:c r="K2339" s="7" t="str">
        <x:v>none</x:v>
      </x:c>
      <x:c r="L2339" s="14" t="n">
        <x:f>IF(G2339&lt;=I2339,0,MAX(0,L2333,L2334,L2335,L2337)+IF(E2339="via",MAX(0,G2339-MAX(F2339,I2339)),0))</x:f>
        <x:v>3.952</x:v>
      </x:c>
    </x:row>
    <x:row r="2340" ht="42" customHeight="1">
      <x:c r="A2340" s="12" t="str">
        <x:v>DP44-B</x:v>
      </x:c>
      <x:c r="B2340" s="12" t="str">
        <x:v>U13</x:v>
      </x:c>
      <x:c r="C2340" s="12" t="str">
        <x:v>input_end</x:v>
      </x:c>
      <x:c r="D2340" s="12" t="str">
        <x:v>사용자 입력 종료</x:v>
      </x:c>
      <x:c r="E2340" s="12" t="str">
        <x:v>external</x:v>
      </x:c>
      <x:c r="F2340" s="13" t="n">
        <x:v>0</x:v>
      </x:c>
      <x:c r="G2340" s="13" t="n">
        <x:v>0</x:v>
      </x:c>
      <x:c r="H2340" s="13" t="n">
        <x:v>0</x:v>
      </x:c>
      <x:c r="I2340" s="13" t="n">
        <x:v>0</x:v>
      </x:c>
      <x:c r="J2340" s="12" t="str"/>
      <x:c r="K2340" s="12" t="str">
        <x:v>none</x:v>
      </x:c>
      <x:c r="L2340" s="13" t="n">
        <x:f>IF(G2340&lt;=I2340,0,MAX(0)+IF(E2340="via",MAX(0,G2340-MAX(F2340,I2340)),0))</x:f>
        <x:v>0</x:v>
      </x:c>
    </x:row>
    <x:row r="2341" ht="42" customHeight="1">
      <x:c r="A2341" s="7" t="str">
        <x:v>DP44-B</x:v>
      </x:c>
      <x:c r="B2341" s="7" t="str">
        <x:v>U13</x:v>
      </x:c>
      <x:c r="C2341" s="7" t="str">
        <x:v>intake</x:v>
      </x:c>
      <x:c r="D2341" s="7" t="str">
        <x:v>입력 확정</x:v>
      </x:c>
      <x:c r="E2341" s="7" t="str">
        <x:v>via</x:v>
      </x:c>
      <x:c r="F2341" s="14" t="n">
        <x:v>0</x:v>
      </x:c>
      <x:c r="G2341" s="14" t="n">
        <x:v>0.06</x:v>
      </x:c>
      <x:c r="H2341" s="14" t="n">
        <x:v>0.06</x:v>
      </x:c>
      <x:c r="I2341" s="14" t="n">
        <x:v>0</x:v>
      </x:c>
      <x:c r="J2341" s="7" t="str">
        <x:v>input_end</x:v>
      </x:c>
      <x:c r="K2341" s="7" t="str">
        <x:v>none</x:v>
      </x:c>
      <x:c r="L2341" s="14" t="n">
        <x:f>IF(G2341&lt;=I2341,0,MAX(0,L2340)+IF(E2341="via",MAX(0,G2341-MAX(F2341,I2341)),0))</x:f>
        <x:v>0.06</x:v>
      </x:c>
    </x:row>
    <x:row r="2342" ht="42" customHeight="1">
      <x:c r="A2342" s="12" t="str">
        <x:v>DP44-B</x:v>
      </x:c>
      <x:c r="B2342" s="12" t="str">
        <x:v>U13</x:v>
      </x:c>
      <x:c r="C2342" s="12" t="str">
        <x:v>read</x:v>
      </x:c>
      <x:c r="D2342" s="12" t="str">
        <x:v>공통 허용 원본 조회</x:v>
      </x:c>
      <x:c r="E2342" s="12" t="str">
        <x:v>via</x:v>
      </x:c>
      <x:c r="F2342" s="13" t="n">
        <x:v>0.06</x:v>
      </x:c>
      <x:c r="G2342" s="13" t="n">
        <x:v>0.14</x:v>
      </x:c>
      <x:c r="H2342" s="13" t="n">
        <x:v>0.08</x:v>
      </x:c>
      <x:c r="I2342" s="13" t="n">
        <x:v>0</x:v>
      </x:c>
      <x:c r="J2342" s="12" t="str">
        <x:v>intake</x:v>
      </x:c>
      <x:c r="K2342" s="12" t="str">
        <x:v>none</x:v>
      </x:c>
      <x:c r="L2342" s="13" t="n">
        <x:f>IF(G2342&lt;=I2342,0,MAX(0,L2341)+IF(E2342="via",MAX(0,G2342-MAX(F2342,I2342)),0))</x:f>
        <x:v>0.14</x:v>
      </x:c>
    </x:row>
    <x:row r="2343" ht="42" customHeight="1">
      <x:c r="A2343" s="7" t="str">
        <x:v>DP44-B</x:v>
      </x:c>
      <x:c r="B2343" s="7" t="str">
        <x:v>U13</x:v>
      </x:c>
      <x:c r="C2343" s="7" t="str">
        <x:v>meaning</x:v>
      </x:c>
      <x:c r="D2343" s="7" t="str">
        <x:v>최초 요청 의미 채택 packet 생성</x:v>
      </x:c>
      <x:c r="E2343" s="7" t="str">
        <x:v>via</x:v>
      </x:c>
      <x:c r="F2343" s="14" t="n">
        <x:v>0.14</x:v>
      </x:c>
      <x:c r="G2343" s="14" t="n">
        <x:v>1.2400000000000002</x:v>
      </x:c>
      <x:c r="H2343" s="14" t="n">
        <x:v>1.1</x:v>
      </x:c>
      <x:c r="I2343" s="14" t="n">
        <x:v>0</x:v>
      </x:c>
      <x:c r="J2343" s="7" t="str">
        <x:v>read</x:v>
      </x:c>
      <x:c r="K2343" s="7" t="str">
        <x:v>semantic</x:v>
      </x:c>
      <x:c r="L2343" s="14" t="n">
        <x:f>IF(G2343&lt;=I2343,0,MAX(0,L2342)+IF(E2343="via",MAX(0,G2343-MAX(F2343,I2343)),0))</x:f>
        <x:v>1.2400000000000002</x:v>
      </x:c>
    </x:row>
    <x:row r="2344" ht="42" customHeight="1">
      <x:c r="A2344" s="12" t="str">
        <x:v>DP44-B</x:v>
      </x:c>
      <x:c r="B2344" s="12" t="str">
        <x:v>U13</x:v>
      </x:c>
      <x:c r="C2344" s="12" t="str">
        <x:v>adopt</x:v>
      </x:c>
      <x:c r="D2344" s="12" t="str">
        <x:v>현재 revision과 권한 검사 및 채택</x:v>
      </x:c>
      <x:c r="E2344" s="12" t="str">
        <x:v>via</x:v>
      </x:c>
      <x:c r="F2344" s="13" t="n">
        <x:v>1.2400000000000002</x:v>
      </x:c>
      <x:c r="G2344" s="13" t="n">
        <x:v>1.2700000000000002</x:v>
      </x:c>
      <x:c r="H2344" s="13" t="n">
        <x:v>0.03</x:v>
      </x:c>
      <x:c r="I2344" s="13" t="n">
        <x:v>0</x:v>
      </x:c>
      <x:c r="J2344" s="12" t="str">
        <x:v>meaning</x:v>
      </x:c>
      <x:c r="K2344" s="12" t="str">
        <x:v>none</x:v>
      </x:c>
      <x:c r="L2344" s="13" t="n">
        <x:f>IF(G2344&lt;=I2344,0,MAX(0,L2343)+IF(E2344="via",MAX(0,G2344-MAX(F2344,I2344)),0))</x:f>
        <x:v>1.2700000000000002</x:v>
      </x:c>
    </x:row>
    <x:row r="2345" ht="42" customHeight="1">
      <x:c r="A2345" s="7" t="str">
        <x:v>DP44-B</x:v>
      </x:c>
      <x:c r="B2345" s="7" t="str">
        <x:v>U13</x:v>
      </x:c>
      <x:c r="C2345" s="7" t="str">
        <x:v>first_display</x:v>
      </x:c>
      <x:c r="D2345" s="7" t="str">
        <x:v>첫 구체적 채택 내용 화면 표시</x:v>
      </x:c>
      <x:c r="E2345" s="7" t="str">
        <x:v>via</x:v>
      </x:c>
      <x:c r="F2345" s="14" t="n">
        <x:v>1.2700000000000002</x:v>
      </x:c>
      <x:c r="G2345" s="14" t="n">
        <x:v>1.3100000000000003</x:v>
      </x:c>
      <x:c r="H2345" s="14" t="n">
        <x:v>0.04</x:v>
      </x:c>
      <x:c r="I2345" s="14" t="n">
        <x:v>0</x:v>
      </x:c>
      <x:c r="J2345" s="7" t="str">
        <x:v>adopt</x:v>
      </x:c>
      <x:c r="K2345" s="7" t="str">
        <x:v>none</x:v>
      </x:c>
      <x:c r="L2345" s="14" t="n">
        <x:f>IF(G2345&lt;=I2345,0,MAX(0,L2344)+IF(E2345="via",MAX(0,G2345-MAX(F2345,I2345)),0))</x:f>
        <x:v>1.3100000000000003</x:v>
      </x:c>
    </x:row>
    <x:row r="2346" ht="42" customHeight="1">
      <x:c r="A2346" s="12" t="str">
        <x:v>DP44-B</x:v>
      </x:c>
      <x:c r="B2346" s="12" t="str">
        <x:v>U13</x:v>
      </x:c>
      <x:c r="C2346" s="12" t="str">
        <x:v>agent_ingress</x:v>
      </x:c>
      <x:c r="D2346" s="12" t="str">
        <x:v>Agent 요청 전송</x:v>
      </x:c>
      <x:c r="E2346" s="12" t="str">
        <x:v>via</x:v>
      </x:c>
      <x:c r="F2346" s="13" t="n">
        <x:v>1.2700000000000002</x:v>
      </x:c>
      <x:c r="G2346" s="13" t="n">
        <x:v>1.3100000000000003</x:v>
      </x:c>
      <x:c r="H2346" s="13" t="n">
        <x:v>0.04</x:v>
      </x:c>
      <x:c r="I2346" s="13" t="n">
        <x:v>0</x:v>
      </x:c>
      <x:c r="J2346" s="12" t="str">
        <x:v>adopt</x:v>
      </x:c>
      <x:c r="K2346" s="12" t="str">
        <x:v>none</x:v>
      </x:c>
      <x:c r="L2346" s="13" t="n">
        <x:f>IF(G2346&lt;=I2346,0,MAX(0,L2344)+IF(E2346="via",MAX(0,G2346-MAX(F2346,I2346)),0))</x:f>
        <x:v>1.3100000000000003</x:v>
      </x:c>
    </x:row>
    <x:row r="2347" ht="42" customHeight="1">
      <x:c r="A2347" s="7" t="str">
        <x:v>DP44-B</x:v>
      </x:c>
      <x:c r="B2347" s="7" t="str">
        <x:v>U13</x:v>
      </x:c>
      <x:c r="C2347" s="7" t="str">
        <x:v>agent_result</x:v>
      </x:c>
      <x:c r="D2347" s="7" t="str">
        <x:v>외부 Agent 업무</x:v>
      </x:c>
      <x:c r="E2347" s="7" t="str">
        <x:v>external</x:v>
      </x:c>
      <x:c r="F2347" s="14" t="n">
        <x:v>1.3100000000000003</x:v>
      </x:c>
      <x:c r="G2347" s="14" t="n">
        <x:v>9.31</x:v>
      </x:c>
      <x:c r="H2347" s="14" t="n">
        <x:v>8</x:v>
      </x:c>
      <x:c r="I2347" s="14" t="n">
        <x:v>0</x:v>
      </x:c>
      <x:c r="J2347" s="7" t="str">
        <x:v>agent_ingress</x:v>
      </x:c>
      <x:c r="K2347" s="7" t="str">
        <x:v>none</x:v>
      </x:c>
      <x:c r="L2347" s="14" t="n">
        <x:f>IF(G2347&lt;=I2347,0,MAX(0,L2346)+IF(E2347="via",MAX(0,G2347-MAX(F2347,I2347)),0))</x:f>
        <x:v>1.3100000000000003</x:v>
      </x:c>
    </x:row>
    <x:row r="2348" ht="42" customHeight="1">
      <x:c r="A2348" s="12" t="str">
        <x:v>DP44-B</x:v>
      </x:c>
      <x:c r="B2348" s="12" t="str">
        <x:v>U13</x:v>
      </x:c>
      <x:c r="C2348" s="12" t="str">
        <x:v>result_display</x:v>
      </x:c>
      <x:c r="D2348" s="12" t="str">
        <x:v>최종 결과 상세 표시</x:v>
      </x:c>
      <x:c r="E2348" s="12" t="str">
        <x:v>via</x:v>
      </x:c>
      <x:c r="F2348" s="13" t="n">
        <x:v>9.31</x:v>
      </x:c>
      <x:c r="G2348" s="13" t="n">
        <x:v>9.35</x:v>
      </x:c>
      <x:c r="H2348" s="13" t="n">
        <x:v>0.04</x:v>
      </x:c>
      <x:c r="I2348" s="13" t="n">
        <x:v>0</x:v>
      </x:c>
      <x:c r="J2348" s="12" t="str">
        <x:v>agent_result</x:v>
      </x:c>
      <x:c r="K2348" s="12" t="str">
        <x:v>none</x:v>
      </x:c>
      <x:c r="L2348" s="13" t="n">
        <x:f>IF(G2348&lt;=I2348,0,MAX(0,L2347)+IF(E2348="via",MAX(0,G2348-MAX(F2348,I2348)),0))</x:f>
        <x:v>1.3499999999999994</x:v>
      </x:c>
    </x:row>
    <x:row r="2349" ht="42" customHeight="1">
      <x:c r="A2349" s="7" t="str">
        <x:v>DP44-B</x:v>
      </x:c>
      <x:c r="B2349" s="7" t="str">
        <x:v>U13</x:v>
      </x:c>
      <x:c r="C2349" s="7" t="str">
        <x:v>response_audio</x:v>
      </x:c>
      <x:c r="D2349" s="7" t="str">
        <x:v>선택한 응답 음성 생성</x:v>
      </x:c>
      <x:c r="E2349" s="7" t="str">
        <x:v>via</x:v>
      </x:c>
      <x:c r="F2349" s="14" t="n">
        <x:v>9.31</x:v>
      </x:c>
      <x:c r="G2349" s="14" t="n">
        <x:v>11.198</x:v>
      </x:c>
      <x:c r="H2349" s="14" t="n">
        <x:v>1.888</x:v>
      </x:c>
      <x:c r="I2349" s="14" t="n">
        <x:v>0</x:v>
      </x:c>
      <x:c r="J2349" s="7" t="str">
        <x:v>agent_result, adopt, next_speech_selection</x:v>
      </x:c>
      <x:c r="K2349" s="7" t="str">
        <x:v>speech</x:v>
      </x:c>
      <x:c r="L2349" s="14" t="n">
        <x:f>IF(G2349&lt;=I2349,0,MAX(0,L2347,L2344,L2353)+IF(E2349="via",MAX(0,G2349-MAX(F2349,I2349)),0))</x:f>
        <x:v>3.632</x:v>
      </x:c>
    </x:row>
    <x:row r="2350" ht="42" customHeight="1">
      <x:c r="A2350" s="12" t="str">
        <x:v>DP44-B</x:v>
      </x:c>
      <x:c r="B2350" s="12" t="str">
        <x:v>U13</x:v>
      </x:c>
      <x:c r="C2350" s="12" t="str">
        <x:v>intent_audio</x:v>
      </x:c>
      <x:c r="D2350" s="12" t="str">
        <x:v>채택한 구체적 수행 의도의 짧은 음성</x:v>
      </x:c>
      <x:c r="E2350" s="12" t="str">
        <x:v>via</x:v>
      </x:c>
      <x:c r="F2350" s="13" t="n">
        <x:v>1.2700000000000002</x:v>
      </x:c>
      <x:c r="G2350" s="13" t="n">
        <x:v>2.404</x:v>
      </x:c>
      <x:c r="H2350" s="13" t="n">
        <x:v>1.134</x:v>
      </x:c>
      <x:c r="I2350" s="13" t="n">
        <x:v>0</x:v>
      </x:c>
      <x:c r="J2350" s="12" t="str">
        <x:v>adopt</x:v>
      </x:c>
      <x:c r="K2350" s="12" t="str">
        <x:v>speech</x:v>
      </x:c>
      <x:c r="L2350" s="13" t="n">
        <x:f>IF(G2350&lt;=I2350,0,MAX(0,L2344)+IF(E2350="via",MAX(0,G2350-MAX(F2350,I2350)),0))</x:f>
        <x:v>2.404</x:v>
      </x:c>
    </x:row>
    <x:row r="2351" ht="42" customHeight="1">
      <x:c r="A2351" s="7" t="str">
        <x:v>DP44-B</x:v>
      </x:c>
      <x:c r="B2351" s="7" t="str">
        <x:v>U13</x:v>
      </x:c>
      <x:c r="C2351" s="7" t="str">
        <x:v>first_chunk</x:v>
      </x:c>
      <x:c r="D2351" s="7" t="str">
        <x:v>같은 생성 job의 유효 첫 chunk 관측</x:v>
      </x:c>
      <x:c r="E2351" s="7" t="str">
        <x:v>via</x:v>
      </x:c>
      <x:c r="F2351" s="14" t="n">
        <x:v>1.2700000000000002</x:v>
      </x:c>
      <x:c r="G2351" s="14" t="n">
        <x:v>1.7040000000000002</x:v>
      </x:c>
      <x:c r="H2351" s="14" t="n">
        <x:v>0.434</x:v>
      </x:c>
      <x:c r="I2351" s="14" t="n">
        <x:v>0</x:v>
      </x:c>
      <x:c r="J2351" s="7" t="str">
        <x:v>adopt</x:v>
      </x:c>
      <x:c r="K2351" s="7" t="str">
        <x:v>none</x:v>
      </x:c>
      <x:c r="L2351" s="14" t="n">
        <x:f>IF(G2351&lt;=I2351,0,MAX(0,L2344)+IF(E2351="via",MAX(0,G2351-MAX(F2351,I2351)),0))</x:f>
        <x:v>1.7040000000000002</x:v>
      </x:c>
    </x:row>
    <x:row r="2352" ht="42" customHeight="1">
      <x:c r="A2352" s="12" t="str">
        <x:v>DP44-B</x:v>
      </x:c>
      <x:c r="B2352" s="12" t="str">
        <x:v>U13</x:v>
      </x:c>
      <x:c r="C2352" s="12" t="str">
        <x:v>first_audio_output</x:v>
      </x:c>
      <x:c r="D2352" s="12" t="str">
        <x:v>공통 장치의 첫 음성 출력</x:v>
      </x:c>
      <x:c r="E2352" s="12" t="str">
        <x:v>via</x:v>
      </x:c>
      <x:c r="F2352" s="13" t="n">
        <x:v>1.7040000000000002</x:v>
      </x:c>
      <x:c r="G2352" s="13" t="n">
        <x:v>1.7440000000000002</x:v>
      </x:c>
      <x:c r="H2352" s="13" t="n">
        <x:v>0.04</x:v>
      </x:c>
      <x:c r="I2352" s="13" t="n">
        <x:v>0</x:v>
      </x:c>
      <x:c r="J2352" s="12" t="str">
        <x:v>adopt, first_chunk</x:v>
      </x:c>
      <x:c r="K2352" s="12" t="str">
        <x:v>none</x:v>
      </x:c>
      <x:c r="L2352" s="13" t="n">
        <x:f>IF(G2352&lt;=I2352,0,MAX(0,L2344,L2351)+IF(E2352="via",MAX(0,G2352-MAX(F2352,I2352)),0))</x:f>
        <x:v>1.7440000000000002</x:v>
      </x:c>
    </x:row>
    <x:row r="2353" ht="42" customHeight="1">
      <x:c r="A2353" s="7" t="str">
        <x:v>DP44-B</x:v>
      </x:c>
      <x:c r="B2353" s="7" t="str">
        <x:v>U13</x:v>
      </x:c>
      <x:c r="C2353" s="7" t="str">
        <x:v>next_speech_selection</x:v>
      </x:c>
      <x:c r="D2353" s="7" t="str">
        <x:v>현재 발화 재생 후 다음 응답 선택</x:v>
      </x:c>
      <x:c r="E2353" s="7" t="str">
        <x:v>external</x:v>
      </x:c>
      <x:c r="F2353" s="14" t="n">
        <x:v>1.7440000000000002</x:v>
      </x:c>
      <x:c r="G2353" s="14" t="n">
        <x:v>4.744</x:v>
      </x:c>
      <x:c r="H2353" s="14" t="n">
        <x:v>3</x:v>
      </x:c>
      <x:c r="I2353" s="14" t="n">
        <x:v>0</x:v>
      </x:c>
      <x:c r="J2353" s="7" t="str">
        <x:v>first_audio_output</x:v>
      </x:c>
      <x:c r="K2353" s="7" t="str">
        <x:v>none</x:v>
      </x:c>
      <x:c r="L2353" s="14" t="n">
        <x:f>IF(G2353&lt;=I2353,0,MAX(0,L2352)+IF(E2353="via",MAX(0,G2353-MAX(F2353,I2353)),0))</x:f>
        <x:v>1.7440000000000002</x:v>
      </x:c>
    </x:row>
    <x:row r="2354" ht="42" customHeight="1">
      <x:c r="A2354" s="12" t="str">
        <x:v>DP44-B</x:v>
      </x:c>
      <x:c r="B2354" s="12" t="str">
        <x:v>U13</x:v>
      </x:c>
      <x:c r="C2354" s="12" t="str">
        <x:v>terminal</x:v>
      </x:c>
      <x:c r="D2354" s="12" t="str">
        <x:v>공통 목표 최종 상태와 전체 음성 준비</x:v>
      </x:c>
      <x:c r="E2354" s="12" t="str">
        <x:v>via</x:v>
      </x:c>
      <x:c r="F2354" s="13" t="n">
        <x:v>11.198</x:v>
      </x:c>
      <x:c r="G2354" s="13" t="n">
        <x:v>11.198</x:v>
      </x:c>
      <x:c r="H2354" s="13" t="n">
        <x:v>0</x:v>
      </x:c>
      <x:c r="I2354" s="13" t="n">
        <x:v>0</x:v>
      </x:c>
      <x:c r="J2354" s="12" t="str">
        <x:v>result_display, response_audio, intent_audio, first_audio_output</x:v>
      </x:c>
      <x:c r="K2354" s="12" t="str">
        <x:v>none</x:v>
      </x:c>
      <x:c r="L2354" s="13" t="n">
        <x:f>IF(G2354&lt;=I2354,0,MAX(0,L2348,L2349,L2350,L2352)+IF(E2354="via",MAX(0,G2354-MAX(F2354,I2354)),0))</x:f>
        <x:v>3.632</x:v>
      </x:c>
    </x:row>
    <x:row r="2355" ht="42" customHeight="1">
      <x:c r="A2355" s="7" t="str">
        <x:v>DP44-B</x:v>
      </x:c>
      <x:c r="B2355" s="7" t="str">
        <x:v>U14</x:v>
      </x:c>
      <x:c r="C2355" s="7" t="str">
        <x:v>input_end</x:v>
      </x:c>
      <x:c r="D2355" s="7" t="str">
        <x:v>사용자 입력 종료</x:v>
      </x:c>
      <x:c r="E2355" s="7" t="str">
        <x:v>external</x:v>
      </x:c>
      <x:c r="F2355" s="14" t="n">
        <x:v>0</x:v>
      </x:c>
      <x:c r="G2355" s="14" t="n">
        <x:v>0</x:v>
      </x:c>
      <x:c r="H2355" s="14" t="n">
        <x:v>0</x:v>
      </x:c>
      <x:c r="I2355" s="14" t="n">
        <x:v>0</x:v>
      </x:c>
      <x:c r="J2355" s="7" t="str"/>
      <x:c r="K2355" s="7" t="str">
        <x:v>none</x:v>
      </x:c>
      <x:c r="L2355" s="14" t="n">
        <x:f>IF(G2355&lt;=I2355,0,MAX(0)+IF(E2355="via",MAX(0,G2355-MAX(F2355,I2355)),0))</x:f>
        <x:v>0</x:v>
      </x:c>
    </x:row>
    <x:row r="2356" ht="42" customHeight="1">
      <x:c r="A2356" s="12" t="str">
        <x:v>DP44-B</x:v>
      </x:c>
      <x:c r="B2356" s="12" t="str">
        <x:v>U14</x:v>
      </x:c>
      <x:c r="C2356" s="12" t="str">
        <x:v>intake</x:v>
      </x:c>
      <x:c r="D2356" s="12" t="str">
        <x:v>입력 확정</x:v>
      </x:c>
      <x:c r="E2356" s="12" t="str">
        <x:v>via</x:v>
      </x:c>
      <x:c r="F2356" s="13" t="n">
        <x:v>0</x:v>
      </x:c>
      <x:c r="G2356" s="13" t="n">
        <x:v>0.3</x:v>
      </x:c>
      <x:c r="H2356" s="13" t="n">
        <x:v>0.3</x:v>
      </x:c>
      <x:c r="I2356" s="13" t="n">
        <x:v>0</x:v>
      </x:c>
      <x:c r="J2356" s="12" t="str">
        <x:v>input_end</x:v>
      </x:c>
      <x:c r="K2356" s="12" t="str">
        <x:v>none</x:v>
      </x:c>
      <x:c r="L2356" s="13" t="n">
        <x:f>IF(G2356&lt;=I2356,0,MAX(0,L2355)+IF(E2356="via",MAX(0,G2356-MAX(F2356,I2356)),0))</x:f>
        <x:v>0.3</x:v>
      </x:c>
    </x:row>
    <x:row r="2357" ht="42" customHeight="1">
      <x:c r="A2357" s="7" t="str">
        <x:v>DP44-B</x:v>
      </x:c>
      <x:c r="B2357" s="7" t="str">
        <x:v>U14</x:v>
      </x:c>
      <x:c r="C2357" s="7" t="str">
        <x:v>read</x:v>
      </x:c>
      <x:c r="D2357" s="7" t="str">
        <x:v>공통 허용 원본 조회</x:v>
      </x:c>
      <x:c r="E2357" s="7" t="str">
        <x:v>via</x:v>
      </x:c>
      <x:c r="F2357" s="14" t="n">
        <x:v>0.3</x:v>
      </x:c>
      <x:c r="G2357" s="14" t="n">
        <x:v>0.38</x:v>
      </x:c>
      <x:c r="H2357" s="14" t="n">
        <x:v>0.08</x:v>
      </x:c>
      <x:c r="I2357" s="14" t="n">
        <x:v>0</x:v>
      </x:c>
      <x:c r="J2357" s="7" t="str">
        <x:v>intake</x:v>
      </x:c>
      <x:c r="K2357" s="7" t="str">
        <x:v>none</x:v>
      </x:c>
      <x:c r="L2357" s="14" t="n">
        <x:f>IF(G2357&lt;=I2357,0,MAX(0,L2356)+IF(E2357="via",MAX(0,G2357-MAX(F2357,I2357)),0))</x:f>
        <x:v>0.38</x:v>
      </x:c>
    </x:row>
    <x:row r="2358" ht="42" customHeight="1">
      <x:c r="A2358" s="12" t="str">
        <x:v>DP44-B</x:v>
      </x:c>
      <x:c r="B2358" s="12" t="str">
        <x:v>U14</x:v>
      </x:c>
      <x:c r="C2358" s="12" t="str">
        <x:v>meaning</x:v>
      </x:c>
      <x:c r="D2358" s="12" t="str">
        <x:v>최초 요청 의미 채택 packet 생성</x:v>
      </x:c>
      <x:c r="E2358" s="12" t="str">
        <x:v>via</x:v>
      </x:c>
      <x:c r="F2358" s="13" t="n">
        <x:v>0.38</x:v>
      </x:c>
      <x:c r="G2358" s="13" t="n">
        <x:v>1.88</x:v>
      </x:c>
      <x:c r="H2358" s="13" t="n">
        <x:v>1.5</x:v>
      </x:c>
      <x:c r="I2358" s="13" t="n">
        <x:v>0</x:v>
      </x:c>
      <x:c r="J2358" s="12" t="str">
        <x:v>read</x:v>
      </x:c>
      <x:c r="K2358" s="12" t="str">
        <x:v>semantic</x:v>
      </x:c>
      <x:c r="L2358" s="13" t="n">
        <x:f>IF(G2358&lt;=I2358,0,MAX(0,L2357)+IF(E2358="via",MAX(0,G2358-MAX(F2358,I2358)),0))</x:f>
        <x:v>1.88</x:v>
      </x:c>
    </x:row>
    <x:row r="2359" ht="42" customHeight="1">
      <x:c r="A2359" s="7" t="str">
        <x:v>DP44-B</x:v>
      </x:c>
      <x:c r="B2359" s="7" t="str">
        <x:v>U14</x:v>
      </x:c>
      <x:c r="C2359" s="7" t="str">
        <x:v>adopt</x:v>
      </x:c>
      <x:c r="D2359" s="7" t="str">
        <x:v>현재 revision과 권한 검사 및 채택</x:v>
      </x:c>
      <x:c r="E2359" s="7" t="str">
        <x:v>via</x:v>
      </x:c>
      <x:c r="F2359" s="14" t="n">
        <x:v>1.88</x:v>
      </x:c>
      <x:c r="G2359" s="14" t="n">
        <x:v>1.91</x:v>
      </x:c>
      <x:c r="H2359" s="14" t="n">
        <x:v>0.03</x:v>
      </x:c>
      <x:c r="I2359" s="14" t="n">
        <x:v>0</x:v>
      </x:c>
      <x:c r="J2359" s="7" t="str">
        <x:v>meaning</x:v>
      </x:c>
      <x:c r="K2359" s="7" t="str">
        <x:v>none</x:v>
      </x:c>
      <x:c r="L2359" s="14" t="n">
        <x:f>IF(G2359&lt;=I2359,0,MAX(0,L2358)+IF(E2359="via",MAX(0,G2359-MAX(F2359,I2359)),0))</x:f>
        <x:v>1.91</x:v>
      </x:c>
    </x:row>
    <x:row r="2360" ht="42" customHeight="1">
      <x:c r="A2360" s="12" t="str">
        <x:v>DP44-B</x:v>
      </x:c>
      <x:c r="B2360" s="12" t="str">
        <x:v>U14</x:v>
      </x:c>
      <x:c r="C2360" s="12" t="str">
        <x:v>first_display</x:v>
      </x:c>
      <x:c r="D2360" s="12" t="str">
        <x:v>첫 구체적 채택 내용 화면 표시</x:v>
      </x:c>
      <x:c r="E2360" s="12" t="str">
        <x:v>via</x:v>
      </x:c>
      <x:c r="F2360" s="13" t="n">
        <x:v>1.91</x:v>
      </x:c>
      <x:c r="G2360" s="13" t="n">
        <x:v>1.95</x:v>
      </x:c>
      <x:c r="H2360" s="13" t="n">
        <x:v>0.04</x:v>
      </x:c>
      <x:c r="I2360" s="13" t="n">
        <x:v>0</x:v>
      </x:c>
      <x:c r="J2360" s="12" t="str">
        <x:v>adopt</x:v>
      </x:c>
      <x:c r="K2360" s="12" t="str">
        <x:v>none</x:v>
      </x:c>
      <x:c r="L2360" s="13" t="n">
        <x:f>IF(G2360&lt;=I2360,0,MAX(0,L2359)+IF(E2360="via",MAX(0,G2360-MAX(F2360,I2360)),0))</x:f>
        <x:v>1.95</x:v>
      </x:c>
    </x:row>
    <x:row r="2361" ht="42" customHeight="1">
      <x:c r="A2361" s="7" t="str">
        <x:v>DP44-B</x:v>
      </x:c>
      <x:c r="B2361" s="7" t="str">
        <x:v>U14</x:v>
      </x:c>
      <x:c r="C2361" s="7" t="str">
        <x:v>agent_ingress</x:v>
      </x:c>
      <x:c r="D2361" s="7" t="str">
        <x:v>Agent 요청 전송</x:v>
      </x:c>
      <x:c r="E2361" s="7" t="str">
        <x:v>via</x:v>
      </x:c>
      <x:c r="F2361" s="14" t="n">
        <x:v>1.91</x:v>
      </x:c>
      <x:c r="G2361" s="14" t="n">
        <x:v>1.95</x:v>
      </x:c>
      <x:c r="H2361" s="14" t="n">
        <x:v>0.04</x:v>
      </x:c>
      <x:c r="I2361" s="14" t="n">
        <x:v>0</x:v>
      </x:c>
      <x:c r="J2361" s="7" t="str">
        <x:v>adopt</x:v>
      </x:c>
      <x:c r="K2361" s="7" t="str">
        <x:v>none</x:v>
      </x:c>
      <x:c r="L2361" s="14" t="n">
        <x:f>IF(G2361&lt;=I2361,0,MAX(0,L2359)+IF(E2361="via",MAX(0,G2361-MAX(F2361,I2361)),0))</x:f>
        <x:v>1.95</x:v>
      </x:c>
    </x:row>
    <x:row r="2362" ht="42" customHeight="1">
      <x:c r="A2362" s="12" t="str">
        <x:v>DP44-B</x:v>
      </x:c>
      <x:c r="B2362" s="12" t="str">
        <x:v>U14</x:v>
      </x:c>
      <x:c r="C2362" s="12" t="str">
        <x:v>agent_result</x:v>
      </x:c>
      <x:c r="D2362" s="12" t="str">
        <x:v>외부 Agent 업무</x:v>
      </x:c>
      <x:c r="E2362" s="12" t="str">
        <x:v>external</x:v>
      </x:c>
      <x:c r="F2362" s="13" t="n">
        <x:v>1.95</x:v>
      </x:c>
      <x:c r="G2362" s="13" t="n">
        <x:v>9.95</x:v>
      </x:c>
      <x:c r="H2362" s="13" t="n">
        <x:v>8</x:v>
      </x:c>
      <x:c r="I2362" s="13" t="n">
        <x:v>0</x:v>
      </x:c>
      <x:c r="J2362" s="12" t="str">
        <x:v>agent_ingress</x:v>
      </x:c>
      <x:c r="K2362" s="12" t="str">
        <x:v>none</x:v>
      </x:c>
      <x:c r="L2362" s="13" t="n">
        <x:f>IF(G2362&lt;=I2362,0,MAX(0,L2361)+IF(E2362="via",MAX(0,G2362-MAX(F2362,I2362)),0))</x:f>
        <x:v>1.95</x:v>
      </x:c>
    </x:row>
    <x:row r="2363" ht="42" customHeight="1">
      <x:c r="A2363" s="7" t="str">
        <x:v>DP44-B</x:v>
      </x:c>
      <x:c r="B2363" s="7" t="str">
        <x:v>U14</x:v>
      </x:c>
      <x:c r="C2363" s="7" t="str">
        <x:v>result_display</x:v>
      </x:c>
      <x:c r="D2363" s="7" t="str">
        <x:v>최종 결과 상세 표시</x:v>
      </x:c>
      <x:c r="E2363" s="7" t="str">
        <x:v>via</x:v>
      </x:c>
      <x:c r="F2363" s="14" t="n">
        <x:v>9.95</x:v>
      </x:c>
      <x:c r="G2363" s="14" t="n">
        <x:v>9.989999999999998</x:v>
      </x:c>
      <x:c r="H2363" s="14" t="n">
        <x:v>0.04</x:v>
      </x:c>
      <x:c r="I2363" s="14" t="n">
        <x:v>0</x:v>
      </x:c>
      <x:c r="J2363" s="7" t="str">
        <x:v>agent_result</x:v>
      </x:c>
      <x:c r="K2363" s="7" t="str">
        <x:v>none</x:v>
      </x:c>
      <x:c r="L2363" s="14" t="n">
        <x:f>IF(G2363&lt;=I2363,0,MAX(0,L2362)+IF(E2363="via",MAX(0,G2363-MAX(F2363,I2363)),0))</x:f>
        <x:v>1.989999999999999</x:v>
      </x:c>
    </x:row>
    <x:row r="2364" ht="42" customHeight="1">
      <x:c r="A2364" s="12" t="str">
        <x:v>DP44-B</x:v>
      </x:c>
      <x:c r="B2364" s="12" t="str">
        <x:v>U14</x:v>
      </x:c>
      <x:c r="C2364" s="12" t="str">
        <x:v>response_audio</x:v>
      </x:c>
      <x:c r="D2364" s="12" t="str">
        <x:v>선택한 응답 음성 생성</x:v>
      </x:c>
      <x:c r="E2364" s="12" t="str">
        <x:v>via</x:v>
      </x:c>
      <x:c r="F2364" s="13" t="n">
        <x:v>9.95</x:v>
      </x:c>
      <x:c r="G2364" s="13" t="n">
        <x:v>11.838</x:v>
      </x:c>
      <x:c r="H2364" s="13" t="n">
        <x:v>1.888</x:v>
      </x:c>
      <x:c r="I2364" s="13" t="n">
        <x:v>0</x:v>
      </x:c>
      <x:c r="J2364" s="12" t="str">
        <x:v>agent_result, adopt, next_speech_selection</x:v>
      </x:c>
      <x:c r="K2364" s="12" t="str">
        <x:v>speech</x:v>
      </x:c>
      <x:c r="L2364" s="13" t="n">
        <x:f>IF(G2364&lt;=I2364,0,MAX(0,L2362,L2359,L2368)+IF(E2364="via",MAX(0,G2364-MAX(F2364,I2364)),0))</x:f>
        <x:v>4.272</x:v>
      </x:c>
    </x:row>
    <x:row r="2365" ht="42" customHeight="1">
      <x:c r="A2365" s="7" t="str">
        <x:v>DP44-B</x:v>
      </x:c>
      <x:c r="B2365" s="7" t="str">
        <x:v>U14</x:v>
      </x:c>
      <x:c r="C2365" s="7" t="str">
        <x:v>intent_audio</x:v>
      </x:c>
      <x:c r="D2365" s="7" t="str">
        <x:v>채택한 구체적 수행 의도의 짧은 음성</x:v>
      </x:c>
      <x:c r="E2365" s="7" t="str">
        <x:v>via</x:v>
      </x:c>
      <x:c r="F2365" s="14" t="n">
        <x:v>1.91</x:v>
      </x:c>
      <x:c r="G2365" s="14" t="n">
        <x:v>3.0439999999999996</x:v>
      </x:c>
      <x:c r="H2365" s="14" t="n">
        <x:v>1.134</x:v>
      </x:c>
      <x:c r="I2365" s="14" t="n">
        <x:v>0</x:v>
      </x:c>
      <x:c r="J2365" s="7" t="str">
        <x:v>adopt</x:v>
      </x:c>
      <x:c r="K2365" s="7" t="str">
        <x:v>speech</x:v>
      </x:c>
      <x:c r="L2365" s="14" t="n">
        <x:f>IF(G2365&lt;=I2365,0,MAX(0,L2359)+IF(E2365="via",MAX(0,G2365-MAX(F2365,I2365)),0))</x:f>
        <x:v>3.0439999999999996</x:v>
      </x:c>
    </x:row>
    <x:row r="2366" ht="42" customHeight="1">
      <x:c r="A2366" s="12" t="str">
        <x:v>DP44-B</x:v>
      </x:c>
      <x:c r="B2366" s="12" t="str">
        <x:v>U14</x:v>
      </x:c>
      <x:c r="C2366" s="12" t="str">
        <x:v>first_chunk</x:v>
      </x:c>
      <x:c r="D2366" s="12" t="str">
        <x:v>같은 생성 job의 유효 첫 chunk 관측</x:v>
      </x:c>
      <x:c r="E2366" s="12" t="str">
        <x:v>via</x:v>
      </x:c>
      <x:c r="F2366" s="13" t="n">
        <x:v>1.91</x:v>
      </x:c>
      <x:c r="G2366" s="13" t="n">
        <x:v>2.344</x:v>
      </x:c>
      <x:c r="H2366" s="13" t="n">
        <x:v>0.434</x:v>
      </x:c>
      <x:c r="I2366" s="13" t="n">
        <x:v>0</x:v>
      </x:c>
      <x:c r="J2366" s="12" t="str">
        <x:v>adopt</x:v>
      </x:c>
      <x:c r="K2366" s="12" t="str">
        <x:v>none</x:v>
      </x:c>
      <x:c r="L2366" s="13" t="n">
        <x:f>IF(G2366&lt;=I2366,0,MAX(0,L2359)+IF(E2366="via",MAX(0,G2366-MAX(F2366,I2366)),0))</x:f>
        <x:v>2.344</x:v>
      </x:c>
    </x:row>
    <x:row r="2367" ht="42" customHeight="1">
      <x:c r="A2367" s="7" t="str">
        <x:v>DP44-B</x:v>
      </x:c>
      <x:c r="B2367" s="7" t="str">
        <x:v>U14</x:v>
      </x:c>
      <x:c r="C2367" s="7" t="str">
        <x:v>first_audio_output</x:v>
      </x:c>
      <x:c r="D2367" s="7" t="str">
        <x:v>공통 장치의 첫 음성 출력</x:v>
      </x:c>
      <x:c r="E2367" s="7" t="str">
        <x:v>via</x:v>
      </x:c>
      <x:c r="F2367" s="14" t="n">
        <x:v>2.344</x:v>
      </x:c>
      <x:c r="G2367" s="14" t="n">
        <x:v>2.384</x:v>
      </x:c>
      <x:c r="H2367" s="14" t="n">
        <x:v>0.04</x:v>
      </x:c>
      <x:c r="I2367" s="14" t="n">
        <x:v>0</x:v>
      </x:c>
      <x:c r="J2367" s="7" t="str">
        <x:v>adopt, first_chunk</x:v>
      </x:c>
      <x:c r="K2367" s="7" t="str">
        <x:v>none</x:v>
      </x:c>
      <x:c r="L2367" s="14" t="n">
        <x:f>IF(G2367&lt;=I2367,0,MAX(0,L2359,L2366)+IF(E2367="via",MAX(0,G2367-MAX(F2367,I2367)),0))</x:f>
        <x:v>2.384</x:v>
      </x:c>
    </x:row>
    <x:row r="2368" ht="42" customHeight="1">
      <x:c r="A2368" s="12" t="str">
        <x:v>DP44-B</x:v>
      </x:c>
      <x:c r="B2368" s="12" t="str">
        <x:v>U14</x:v>
      </x:c>
      <x:c r="C2368" s="12" t="str">
        <x:v>next_speech_selection</x:v>
      </x:c>
      <x:c r="D2368" s="12" t="str">
        <x:v>현재 발화 재생 후 다음 응답 선택</x:v>
      </x:c>
      <x:c r="E2368" s="12" t="str">
        <x:v>external</x:v>
      </x:c>
      <x:c r="F2368" s="13" t="n">
        <x:v>2.384</x:v>
      </x:c>
      <x:c r="G2368" s="13" t="n">
        <x:v>5.384</x:v>
      </x:c>
      <x:c r="H2368" s="13" t="n">
        <x:v>3</x:v>
      </x:c>
      <x:c r="I2368" s="13" t="n">
        <x:v>0</x:v>
      </x:c>
      <x:c r="J2368" s="12" t="str">
        <x:v>first_audio_output</x:v>
      </x:c>
      <x:c r="K2368" s="12" t="str">
        <x:v>none</x:v>
      </x:c>
      <x:c r="L2368" s="13" t="n">
        <x:f>IF(G2368&lt;=I2368,0,MAX(0,L2367)+IF(E2368="via",MAX(0,G2368-MAX(F2368,I2368)),0))</x:f>
        <x:v>2.384</x:v>
      </x:c>
    </x:row>
    <x:row r="2369" ht="42" customHeight="1">
      <x:c r="A2369" s="7" t="str">
        <x:v>DP44-B</x:v>
      </x:c>
      <x:c r="B2369" s="7" t="str">
        <x:v>U14</x:v>
      </x:c>
      <x:c r="C2369" s="7" t="str">
        <x:v>terminal</x:v>
      </x:c>
      <x:c r="D2369" s="7" t="str">
        <x:v>공통 목표 최종 상태와 전체 음성 준비</x:v>
      </x:c>
      <x:c r="E2369" s="7" t="str">
        <x:v>via</x:v>
      </x:c>
      <x:c r="F2369" s="14" t="n">
        <x:v>11.838</x:v>
      </x:c>
      <x:c r="G2369" s="14" t="n">
        <x:v>11.838</x:v>
      </x:c>
      <x:c r="H2369" s="14" t="n">
        <x:v>0</x:v>
      </x:c>
      <x:c r="I2369" s="14" t="n">
        <x:v>0</x:v>
      </x:c>
      <x:c r="J2369" s="7" t="str">
        <x:v>result_display, response_audio, intent_audio, first_audio_output</x:v>
      </x:c>
      <x:c r="K2369" s="7" t="str">
        <x:v>none</x:v>
      </x:c>
      <x:c r="L2369" s="14" t="n">
        <x:f>IF(G2369&lt;=I2369,0,MAX(0,L2363,L2364,L2365,L2367)+IF(E2369="via",MAX(0,G2369-MAX(F2369,I2369)),0))</x:f>
        <x:v>4.272</x:v>
      </x:c>
    </x:row>
    <x:row r="2370" ht="42" customHeight="1">
      <x:c r="A2370" s="12" t="str">
        <x:v>DP44-B</x:v>
      </x:c>
      <x:c r="B2370" s="12" t="str">
        <x:v>U15</x:v>
      </x:c>
      <x:c r="C2370" s="12" t="str">
        <x:v>input_end</x:v>
      </x:c>
      <x:c r="D2370" s="12" t="str">
        <x:v>사용자 입력 종료</x:v>
      </x:c>
      <x:c r="E2370" s="12" t="str">
        <x:v>external</x:v>
      </x:c>
      <x:c r="F2370" s="13" t="n">
        <x:v>0</x:v>
      </x:c>
      <x:c r="G2370" s="13" t="n">
        <x:v>0</x:v>
      </x:c>
      <x:c r="H2370" s="13" t="n">
        <x:v>0</x:v>
      </x:c>
      <x:c r="I2370" s="13" t="n">
        <x:v>0</x:v>
      </x:c>
      <x:c r="J2370" s="12" t="str"/>
      <x:c r="K2370" s="12" t="str">
        <x:v>none</x:v>
      </x:c>
      <x:c r="L2370" s="13" t="n">
        <x:f>IF(G2370&lt;=I2370,0,MAX(0)+IF(E2370="via",MAX(0,G2370-MAX(F2370,I2370)),0))</x:f>
        <x:v>0</x:v>
      </x:c>
    </x:row>
    <x:row r="2371" ht="42" customHeight="1">
      <x:c r="A2371" s="7" t="str">
        <x:v>DP44-B</x:v>
      </x:c>
      <x:c r="B2371" s="7" t="str">
        <x:v>U15</x:v>
      </x:c>
      <x:c r="C2371" s="7" t="str">
        <x:v>intake</x:v>
      </x:c>
      <x:c r="D2371" s="7" t="str">
        <x:v>입력 확정</x:v>
      </x:c>
      <x:c r="E2371" s="7" t="str">
        <x:v>via</x:v>
      </x:c>
      <x:c r="F2371" s="14" t="n">
        <x:v>0</x:v>
      </x:c>
      <x:c r="G2371" s="14" t="n">
        <x:v>0.06</x:v>
      </x:c>
      <x:c r="H2371" s="14" t="n">
        <x:v>0.06</x:v>
      </x:c>
      <x:c r="I2371" s="14" t="n">
        <x:v>0</x:v>
      </x:c>
      <x:c r="J2371" s="7" t="str">
        <x:v>input_end</x:v>
      </x:c>
      <x:c r="K2371" s="7" t="str">
        <x:v>none</x:v>
      </x:c>
      <x:c r="L2371" s="14" t="n">
        <x:f>IF(G2371&lt;=I2371,0,MAX(0,L2370)+IF(E2371="via",MAX(0,G2371-MAX(F2371,I2371)),0))</x:f>
        <x:v>0.06</x:v>
      </x:c>
    </x:row>
    <x:row r="2372" ht="42" customHeight="1">
      <x:c r="A2372" s="12" t="str">
        <x:v>DP44-B</x:v>
      </x:c>
      <x:c r="B2372" s="12" t="str">
        <x:v>U15</x:v>
      </x:c>
      <x:c r="C2372" s="12" t="str">
        <x:v>read</x:v>
      </x:c>
      <x:c r="D2372" s="12" t="str">
        <x:v>공통 허용 원본 조회</x:v>
      </x:c>
      <x:c r="E2372" s="12" t="str">
        <x:v>via</x:v>
      </x:c>
      <x:c r="F2372" s="13" t="n">
        <x:v>0.06</x:v>
      </x:c>
      <x:c r="G2372" s="13" t="n">
        <x:v>0.14</x:v>
      </x:c>
      <x:c r="H2372" s="13" t="n">
        <x:v>0.08</x:v>
      </x:c>
      <x:c r="I2372" s="13" t="n">
        <x:v>0</x:v>
      </x:c>
      <x:c r="J2372" s="12" t="str">
        <x:v>intake</x:v>
      </x:c>
      <x:c r="K2372" s="12" t="str">
        <x:v>none</x:v>
      </x:c>
      <x:c r="L2372" s="13" t="n">
        <x:f>IF(G2372&lt;=I2372,0,MAX(0,L2371)+IF(E2372="via",MAX(0,G2372-MAX(F2372,I2372)),0))</x:f>
        <x:v>0.14</x:v>
      </x:c>
    </x:row>
    <x:row r="2373" ht="42" customHeight="1">
      <x:c r="A2373" s="7" t="str">
        <x:v>DP44-B</x:v>
      </x:c>
      <x:c r="B2373" s="7" t="str">
        <x:v>U15</x:v>
      </x:c>
      <x:c r="C2373" s="7" t="str">
        <x:v>meaning</x:v>
      </x:c>
      <x:c r="D2373" s="7" t="str">
        <x:v>최초 요청 의미 채택 packet 생성</x:v>
      </x:c>
      <x:c r="E2373" s="7" t="str">
        <x:v>via</x:v>
      </x:c>
      <x:c r="F2373" s="14" t="n">
        <x:v>0.14</x:v>
      </x:c>
      <x:c r="G2373" s="14" t="n">
        <x:v>1.2400000000000002</x:v>
      </x:c>
      <x:c r="H2373" s="14" t="n">
        <x:v>1.1</x:v>
      </x:c>
      <x:c r="I2373" s="14" t="n">
        <x:v>0</x:v>
      </x:c>
      <x:c r="J2373" s="7" t="str">
        <x:v>read</x:v>
      </x:c>
      <x:c r="K2373" s="7" t="str">
        <x:v>semantic</x:v>
      </x:c>
      <x:c r="L2373" s="14" t="n">
        <x:f>IF(G2373&lt;=I2373,0,MAX(0,L2372)+IF(E2373="via",MAX(0,G2373-MAX(F2373,I2373)),0))</x:f>
        <x:v>1.2400000000000002</x:v>
      </x:c>
    </x:row>
    <x:row r="2374" ht="42" customHeight="1">
      <x:c r="A2374" s="12" t="str">
        <x:v>DP44-B</x:v>
      </x:c>
      <x:c r="B2374" s="12" t="str">
        <x:v>U15</x:v>
      </x:c>
      <x:c r="C2374" s="12" t="str">
        <x:v>adopt</x:v>
      </x:c>
      <x:c r="D2374" s="12" t="str">
        <x:v>현재 revision과 권한 검사 및 채택</x:v>
      </x:c>
      <x:c r="E2374" s="12" t="str">
        <x:v>via</x:v>
      </x:c>
      <x:c r="F2374" s="13" t="n">
        <x:v>1.2400000000000002</x:v>
      </x:c>
      <x:c r="G2374" s="13" t="n">
        <x:v>1.2700000000000002</x:v>
      </x:c>
      <x:c r="H2374" s="13" t="n">
        <x:v>0.03</x:v>
      </x:c>
      <x:c r="I2374" s="13" t="n">
        <x:v>0</x:v>
      </x:c>
      <x:c r="J2374" s="12" t="str">
        <x:v>meaning</x:v>
      </x:c>
      <x:c r="K2374" s="12" t="str">
        <x:v>none</x:v>
      </x:c>
      <x:c r="L2374" s="13" t="n">
        <x:f>IF(G2374&lt;=I2374,0,MAX(0,L2373)+IF(E2374="via",MAX(0,G2374-MAX(F2374,I2374)),0))</x:f>
        <x:v>1.2700000000000002</x:v>
      </x:c>
    </x:row>
    <x:row r="2375" ht="42" customHeight="1">
      <x:c r="A2375" s="7" t="str">
        <x:v>DP44-B</x:v>
      </x:c>
      <x:c r="B2375" s="7" t="str">
        <x:v>U15</x:v>
      </x:c>
      <x:c r="C2375" s="7" t="str">
        <x:v>first_display</x:v>
      </x:c>
      <x:c r="D2375" s="7" t="str">
        <x:v>첫 구체적 채택 내용 화면 표시</x:v>
      </x:c>
      <x:c r="E2375" s="7" t="str">
        <x:v>via</x:v>
      </x:c>
      <x:c r="F2375" s="14" t="n">
        <x:v>1.2700000000000002</x:v>
      </x:c>
      <x:c r="G2375" s="14" t="n">
        <x:v>1.3100000000000003</x:v>
      </x:c>
      <x:c r="H2375" s="14" t="n">
        <x:v>0.04</x:v>
      </x:c>
      <x:c r="I2375" s="14" t="n">
        <x:v>0</x:v>
      </x:c>
      <x:c r="J2375" s="7" t="str">
        <x:v>adopt</x:v>
      </x:c>
      <x:c r="K2375" s="7" t="str">
        <x:v>none</x:v>
      </x:c>
      <x:c r="L2375" s="14" t="n">
        <x:f>IF(G2375&lt;=I2375,0,MAX(0,L2374)+IF(E2375="via",MAX(0,G2375-MAX(F2375,I2375)),0))</x:f>
        <x:v>1.3100000000000003</x:v>
      </x:c>
    </x:row>
    <x:row r="2376" ht="42" customHeight="1">
      <x:c r="A2376" s="12" t="str">
        <x:v>DP44-B</x:v>
      </x:c>
      <x:c r="B2376" s="12" t="str">
        <x:v>U15</x:v>
      </x:c>
      <x:c r="C2376" s="12" t="str">
        <x:v>agent_ingress</x:v>
      </x:c>
      <x:c r="D2376" s="12" t="str">
        <x:v>Agent 요청 전송</x:v>
      </x:c>
      <x:c r="E2376" s="12" t="str">
        <x:v>via</x:v>
      </x:c>
      <x:c r="F2376" s="13" t="n">
        <x:v>1.2700000000000002</x:v>
      </x:c>
      <x:c r="G2376" s="13" t="n">
        <x:v>1.3100000000000003</x:v>
      </x:c>
      <x:c r="H2376" s="13" t="n">
        <x:v>0.04</x:v>
      </x:c>
      <x:c r="I2376" s="13" t="n">
        <x:v>0</x:v>
      </x:c>
      <x:c r="J2376" s="12" t="str">
        <x:v>adopt</x:v>
      </x:c>
      <x:c r="K2376" s="12" t="str">
        <x:v>none</x:v>
      </x:c>
      <x:c r="L2376" s="13" t="n">
        <x:f>IF(G2376&lt;=I2376,0,MAX(0,L2374)+IF(E2376="via",MAX(0,G2376-MAX(F2376,I2376)),0))</x:f>
        <x:v>1.3100000000000003</x:v>
      </x:c>
    </x:row>
    <x:row r="2377" ht="42" customHeight="1">
      <x:c r="A2377" s="7" t="str">
        <x:v>DP44-B</x:v>
      </x:c>
      <x:c r="B2377" s="7" t="str">
        <x:v>U15</x:v>
      </x:c>
      <x:c r="C2377" s="7" t="str">
        <x:v>agent_result</x:v>
      </x:c>
      <x:c r="D2377" s="7" t="str">
        <x:v>외부 Agent 업무</x:v>
      </x:c>
      <x:c r="E2377" s="7" t="str">
        <x:v>external</x:v>
      </x:c>
      <x:c r="F2377" s="14" t="n">
        <x:v>1.3100000000000003</x:v>
      </x:c>
      <x:c r="G2377" s="14" t="n">
        <x:v>9.31</x:v>
      </x:c>
      <x:c r="H2377" s="14" t="n">
        <x:v>8</x:v>
      </x:c>
      <x:c r="I2377" s="14" t="n">
        <x:v>0</x:v>
      </x:c>
      <x:c r="J2377" s="7" t="str">
        <x:v>agent_ingress</x:v>
      </x:c>
      <x:c r="K2377" s="7" t="str">
        <x:v>none</x:v>
      </x:c>
      <x:c r="L2377" s="14" t="n">
        <x:f>IF(G2377&lt;=I2377,0,MAX(0,L2376)+IF(E2377="via",MAX(0,G2377-MAX(F2377,I2377)),0))</x:f>
        <x:v>1.3100000000000003</x:v>
      </x:c>
    </x:row>
    <x:row r="2378" ht="42" customHeight="1">
      <x:c r="A2378" s="12" t="str">
        <x:v>DP44-B</x:v>
      </x:c>
      <x:c r="B2378" s="12" t="str">
        <x:v>U15</x:v>
      </x:c>
      <x:c r="C2378" s="12" t="str">
        <x:v>result_display</x:v>
      </x:c>
      <x:c r="D2378" s="12" t="str">
        <x:v>최종 결과 상세 표시</x:v>
      </x:c>
      <x:c r="E2378" s="12" t="str">
        <x:v>via</x:v>
      </x:c>
      <x:c r="F2378" s="13" t="n">
        <x:v>9.31</x:v>
      </x:c>
      <x:c r="G2378" s="13" t="n">
        <x:v>9.35</x:v>
      </x:c>
      <x:c r="H2378" s="13" t="n">
        <x:v>0.04</x:v>
      </x:c>
      <x:c r="I2378" s="13" t="n">
        <x:v>0</x:v>
      </x:c>
      <x:c r="J2378" s="12" t="str">
        <x:v>agent_result</x:v>
      </x:c>
      <x:c r="K2378" s="12" t="str">
        <x:v>none</x:v>
      </x:c>
      <x:c r="L2378" s="13" t="n">
        <x:f>IF(G2378&lt;=I2378,0,MAX(0,L2377)+IF(E2378="via",MAX(0,G2378-MAX(F2378,I2378)),0))</x:f>
        <x:v>1.3499999999999994</x:v>
      </x:c>
    </x:row>
    <x:row r="2379" ht="42" customHeight="1">
      <x:c r="A2379" s="7" t="str">
        <x:v>DP44-B</x:v>
      </x:c>
      <x:c r="B2379" s="7" t="str">
        <x:v>U15</x:v>
      </x:c>
      <x:c r="C2379" s="7" t="str">
        <x:v>response_audio</x:v>
      </x:c>
      <x:c r="D2379" s="7" t="str">
        <x:v>선택한 응답 음성 생성</x:v>
      </x:c>
      <x:c r="E2379" s="7" t="str">
        <x:v>via</x:v>
      </x:c>
      <x:c r="F2379" s="14" t="n">
        <x:v>9.31</x:v>
      </x:c>
      <x:c r="G2379" s="14" t="n">
        <x:v>11.198</x:v>
      </x:c>
      <x:c r="H2379" s="14" t="n">
        <x:v>1.888</x:v>
      </x:c>
      <x:c r="I2379" s="14" t="n">
        <x:v>0</x:v>
      </x:c>
      <x:c r="J2379" s="7" t="str">
        <x:v>agent_result, adopt, next_speech_selection</x:v>
      </x:c>
      <x:c r="K2379" s="7" t="str">
        <x:v>speech</x:v>
      </x:c>
      <x:c r="L2379" s="14" t="n">
        <x:f>IF(G2379&lt;=I2379,0,MAX(0,L2377,L2374,L2383)+IF(E2379="via",MAX(0,G2379-MAX(F2379,I2379)),0))</x:f>
        <x:v>3.632</x:v>
      </x:c>
    </x:row>
    <x:row r="2380" ht="42" customHeight="1">
      <x:c r="A2380" s="12" t="str">
        <x:v>DP44-B</x:v>
      </x:c>
      <x:c r="B2380" s="12" t="str">
        <x:v>U15</x:v>
      </x:c>
      <x:c r="C2380" s="12" t="str">
        <x:v>intent_audio</x:v>
      </x:c>
      <x:c r="D2380" s="12" t="str">
        <x:v>채택한 구체적 수행 의도의 짧은 음성</x:v>
      </x:c>
      <x:c r="E2380" s="12" t="str">
        <x:v>via</x:v>
      </x:c>
      <x:c r="F2380" s="13" t="n">
        <x:v>1.2700000000000002</x:v>
      </x:c>
      <x:c r="G2380" s="13" t="n">
        <x:v>2.404</x:v>
      </x:c>
      <x:c r="H2380" s="13" t="n">
        <x:v>1.134</x:v>
      </x:c>
      <x:c r="I2380" s="13" t="n">
        <x:v>0</x:v>
      </x:c>
      <x:c r="J2380" s="12" t="str">
        <x:v>adopt</x:v>
      </x:c>
      <x:c r="K2380" s="12" t="str">
        <x:v>speech</x:v>
      </x:c>
      <x:c r="L2380" s="13" t="n">
        <x:f>IF(G2380&lt;=I2380,0,MAX(0,L2374)+IF(E2380="via",MAX(0,G2380-MAX(F2380,I2380)),0))</x:f>
        <x:v>2.404</x:v>
      </x:c>
    </x:row>
    <x:row r="2381" ht="42" customHeight="1">
      <x:c r="A2381" s="7" t="str">
        <x:v>DP44-B</x:v>
      </x:c>
      <x:c r="B2381" s="7" t="str">
        <x:v>U15</x:v>
      </x:c>
      <x:c r="C2381" s="7" t="str">
        <x:v>first_chunk</x:v>
      </x:c>
      <x:c r="D2381" s="7" t="str">
        <x:v>같은 생성 job의 유효 첫 chunk 관측</x:v>
      </x:c>
      <x:c r="E2381" s="7" t="str">
        <x:v>via</x:v>
      </x:c>
      <x:c r="F2381" s="14" t="n">
        <x:v>1.2700000000000002</x:v>
      </x:c>
      <x:c r="G2381" s="14" t="n">
        <x:v>1.7040000000000002</x:v>
      </x:c>
      <x:c r="H2381" s="14" t="n">
        <x:v>0.434</x:v>
      </x:c>
      <x:c r="I2381" s="14" t="n">
        <x:v>0</x:v>
      </x:c>
      <x:c r="J2381" s="7" t="str">
        <x:v>adopt</x:v>
      </x:c>
      <x:c r="K2381" s="7" t="str">
        <x:v>none</x:v>
      </x:c>
      <x:c r="L2381" s="14" t="n">
        <x:f>IF(G2381&lt;=I2381,0,MAX(0,L2374)+IF(E2381="via",MAX(0,G2381-MAX(F2381,I2381)),0))</x:f>
        <x:v>1.7040000000000002</x:v>
      </x:c>
    </x:row>
    <x:row r="2382" ht="42" customHeight="1">
      <x:c r="A2382" s="12" t="str">
        <x:v>DP44-B</x:v>
      </x:c>
      <x:c r="B2382" s="12" t="str">
        <x:v>U15</x:v>
      </x:c>
      <x:c r="C2382" s="12" t="str">
        <x:v>first_audio_output</x:v>
      </x:c>
      <x:c r="D2382" s="12" t="str">
        <x:v>공통 장치의 첫 음성 출력</x:v>
      </x:c>
      <x:c r="E2382" s="12" t="str">
        <x:v>via</x:v>
      </x:c>
      <x:c r="F2382" s="13" t="n">
        <x:v>1.7040000000000002</x:v>
      </x:c>
      <x:c r="G2382" s="13" t="n">
        <x:v>1.7440000000000002</x:v>
      </x:c>
      <x:c r="H2382" s="13" t="n">
        <x:v>0.04</x:v>
      </x:c>
      <x:c r="I2382" s="13" t="n">
        <x:v>0</x:v>
      </x:c>
      <x:c r="J2382" s="12" t="str">
        <x:v>adopt, first_chunk</x:v>
      </x:c>
      <x:c r="K2382" s="12" t="str">
        <x:v>none</x:v>
      </x:c>
      <x:c r="L2382" s="13" t="n">
        <x:f>IF(G2382&lt;=I2382,0,MAX(0,L2374,L2381)+IF(E2382="via",MAX(0,G2382-MAX(F2382,I2382)),0))</x:f>
        <x:v>1.7440000000000002</x:v>
      </x:c>
    </x:row>
    <x:row r="2383" ht="42" customHeight="1">
      <x:c r="A2383" s="7" t="str">
        <x:v>DP44-B</x:v>
      </x:c>
      <x:c r="B2383" s="7" t="str">
        <x:v>U15</x:v>
      </x:c>
      <x:c r="C2383" s="7" t="str">
        <x:v>next_speech_selection</x:v>
      </x:c>
      <x:c r="D2383" s="7" t="str">
        <x:v>현재 발화 재생 후 다음 응답 선택</x:v>
      </x:c>
      <x:c r="E2383" s="7" t="str">
        <x:v>external</x:v>
      </x:c>
      <x:c r="F2383" s="14" t="n">
        <x:v>1.7440000000000002</x:v>
      </x:c>
      <x:c r="G2383" s="14" t="n">
        <x:v>4.744</x:v>
      </x:c>
      <x:c r="H2383" s="14" t="n">
        <x:v>3</x:v>
      </x:c>
      <x:c r="I2383" s="14" t="n">
        <x:v>0</x:v>
      </x:c>
      <x:c r="J2383" s="7" t="str">
        <x:v>first_audio_output</x:v>
      </x:c>
      <x:c r="K2383" s="7" t="str">
        <x:v>none</x:v>
      </x:c>
      <x:c r="L2383" s="14" t="n">
        <x:f>IF(G2383&lt;=I2383,0,MAX(0,L2382)+IF(E2383="via",MAX(0,G2383-MAX(F2383,I2383)),0))</x:f>
        <x:v>1.7440000000000002</x:v>
      </x:c>
    </x:row>
    <x:row r="2384" ht="42" customHeight="1">
      <x:c r="A2384" s="12" t="str">
        <x:v>DP44-B</x:v>
      </x:c>
      <x:c r="B2384" s="12" t="str">
        <x:v>U15</x:v>
      </x:c>
      <x:c r="C2384" s="12" t="str">
        <x:v>terminal</x:v>
      </x:c>
      <x:c r="D2384" s="12" t="str">
        <x:v>공통 목표 최종 상태와 전체 음성 준비</x:v>
      </x:c>
      <x:c r="E2384" s="12" t="str">
        <x:v>via</x:v>
      </x:c>
      <x:c r="F2384" s="13" t="n">
        <x:v>11.198</x:v>
      </x:c>
      <x:c r="G2384" s="13" t="n">
        <x:v>11.198</x:v>
      </x:c>
      <x:c r="H2384" s="13" t="n">
        <x:v>0</x:v>
      </x:c>
      <x:c r="I2384" s="13" t="n">
        <x:v>0</x:v>
      </x:c>
      <x:c r="J2384" s="12" t="str">
        <x:v>result_display, response_audio, intent_audio, first_audio_output</x:v>
      </x:c>
      <x:c r="K2384" s="12" t="str">
        <x:v>none</x:v>
      </x:c>
      <x:c r="L2384" s="13" t="n">
        <x:f>IF(G2384&lt;=I2384,0,MAX(0,L2378,L2379,L2380,L2382)+IF(E2384="via",MAX(0,G2384-MAX(F2384,I2384)),0))</x:f>
        <x:v>3.632</x:v>
      </x:c>
    </x:row>
    <x:row r="2385" ht="42" customHeight="1">
      <x:c r="A2385" s="7" t="str">
        <x:v>DP44-B</x:v>
      </x:c>
      <x:c r="B2385" s="7" t="str">
        <x:v>U16</x:v>
      </x:c>
      <x:c r="C2385" s="7" t="str">
        <x:v>original_work</x:v>
      </x:c>
      <x:c r="D2385" s="7" t="str">
        <x:v>원래 목표의 최초 VIA 처리</x:v>
      </x:c>
      <x:c r="E2385" s="7" t="str">
        <x:v>via</x:v>
      </x:c>
      <x:c r="F2385" s="14" t="n">
        <x:v>-6</x:v>
      </x:c>
      <x:c r="G2385" s="14" t="n">
        <x:v>-4</x:v>
      </x:c>
      <x:c r="H2385" s="14" t="n">
        <x:v>2</x:v>
      </x:c>
      <x:c r="I2385" s="14" t="n">
        <x:v>-6</x:v>
      </x:c>
      <x:c r="J2385" s="7" t="str"/>
      <x:c r="K2385" s="7" t="str">
        <x:v>none</x:v>
      </x:c>
      <x:c r="L2385" s="14" t="n">
        <x:f>IF(G2385&lt;=I2385,0,MAX(0)+IF(E2385="via",MAX(0,G2385-MAX(F2385,I2385)),0))</x:f>
        <x:v>2</x:v>
      </x:c>
    </x:row>
    <x:row r="2386" ht="42" customHeight="1">
      <x:c r="A2386" s="12" t="str">
        <x:v>DP44-B</x:v>
      </x:c>
      <x:c r="B2386" s="12" t="str">
        <x:v>U16</x:v>
      </x:c>
      <x:c r="C2386" s="12" t="str">
        <x:v>input_end</x:v>
      </x:c>
      <x:c r="D2386" s="12" t="str">
        <x:v>사용자 입력 종료</x:v>
      </x:c>
      <x:c r="E2386" s="12" t="str">
        <x:v>external</x:v>
      </x:c>
      <x:c r="F2386" s="13" t="n">
        <x:v>0</x:v>
      </x:c>
      <x:c r="G2386" s="13" t="n">
        <x:v>0</x:v>
      </x:c>
      <x:c r="H2386" s="13" t="n">
        <x:v>0</x:v>
      </x:c>
      <x:c r="I2386" s="13" t="n">
        <x:v>-6</x:v>
      </x:c>
      <x:c r="J2386" s="12" t="str">
        <x:v>original_work</x:v>
      </x:c>
      <x:c r="K2386" s="12" t="str">
        <x:v>none</x:v>
      </x:c>
      <x:c r="L2386" s="13" t="n">
        <x:f>IF(G2386&lt;=I2386,0,MAX(0,L2385)+IF(E2386="via",MAX(0,G2386-MAX(F2386,I2386)),0))</x:f>
        <x:v>2</x:v>
      </x:c>
    </x:row>
    <x:row r="2387" ht="42" customHeight="1">
      <x:c r="A2387" s="7" t="str">
        <x:v>DP44-B</x:v>
      </x:c>
      <x:c r="B2387" s="7" t="str">
        <x:v>U16</x:v>
      </x:c>
      <x:c r="C2387" s="7" t="str">
        <x:v>intake</x:v>
      </x:c>
      <x:c r="D2387" s="7" t="str">
        <x:v>입력 확정</x:v>
      </x:c>
      <x:c r="E2387" s="7" t="str">
        <x:v>via</x:v>
      </x:c>
      <x:c r="F2387" s="14" t="n">
        <x:v>0</x:v>
      </x:c>
      <x:c r="G2387" s="14" t="n">
        <x:v>0.3</x:v>
      </x:c>
      <x:c r="H2387" s="14" t="n">
        <x:v>0.3</x:v>
      </x:c>
      <x:c r="I2387" s="14" t="n">
        <x:v>-6</x:v>
      </x:c>
      <x:c r="J2387" s="7" t="str">
        <x:v>input_end</x:v>
      </x:c>
      <x:c r="K2387" s="7" t="str">
        <x:v>none</x:v>
      </x:c>
      <x:c r="L2387" s="14" t="n">
        <x:f>IF(G2387&lt;=I2387,0,MAX(0,L2386)+IF(E2387="via",MAX(0,G2387-MAX(F2387,I2387)),0))</x:f>
        <x:v>2.3</x:v>
      </x:c>
    </x:row>
    <x:row r="2388" ht="42" customHeight="1">
      <x:c r="A2388" s="12" t="str">
        <x:v>DP44-B</x:v>
      </x:c>
      <x:c r="B2388" s="12" t="str">
        <x:v>U16</x:v>
      </x:c>
      <x:c r="C2388" s="12" t="str">
        <x:v>read</x:v>
      </x:c>
      <x:c r="D2388" s="12" t="str">
        <x:v>공통 허용 원본 조회</x:v>
      </x:c>
      <x:c r="E2388" s="12" t="str">
        <x:v>via</x:v>
      </x:c>
      <x:c r="F2388" s="13" t="n">
        <x:v>0.3</x:v>
      </x:c>
      <x:c r="G2388" s="13" t="n">
        <x:v>0.38</x:v>
      </x:c>
      <x:c r="H2388" s="13" t="n">
        <x:v>0.08</x:v>
      </x:c>
      <x:c r="I2388" s="13" t="n">
        <x:v>-6</x:v>
      </x:c>
      <x:c r="J2388" s="12" t="str">
        <x:v>intake</x:v>
      </x:c>
      <x:c r="K2388" s="12" t="str">
        <x:v>none</x:v>
      </x:c>
      <x:c r="L2388" s="13" t="n">
        <x:f>IF(G2388&lt;=I2388,0,MAX(0,L2387)+IF(E2388="via",MAX(0,G2388-MAX(F2388,I2388)),0))</x:f>
        <x:v>2.38</x:v>
      </x:c>
    </x:row>
    <x:row r="2389" ht="42" customHeight="1">
      <x:c r="A2389" s="7" t="str">
        <x:v>DP44-B</x:v>
      </x:c>
      <x:c r="B2389" s="7" t="str">
        <x:v>U16</x:v>
      </x:c>
      <x:c r="C2389" s="7" t="str">
        <x:v>meaning</x:v>
      </x:c>
      <x:c r="D2389" s="7" t="str">
        <x:v>최초 요청 의미 채택 packet 생성</x:v>
      </x:c>
      <x:c r="E2389" s="7" t="str">
        <x:v>via</x:v>
      </x:c>
      <x:c r="F2389" s="14" t="n">
        <x:v>0.38</x:v>
      </x:c>
      <x:c r="G2389" s="14" t="n">
        <x:v>1.88</x:v>
      </x:c>
      <x:c r="H2389" s="14" t="n">
        <x:v>1.5</x:v>
      </x:c>
      <x:c r="I2389" s="14" t="n">
        <x:v>-6</x:v>
      </x:c>
      <x:c r="J2389" s="7" t="str">
        <x:v>read</x:v>
      </x:c>
      <x:c r="K2389" s="7" t="str">
        <x:v>semantic</x:v>
      </x:c>
      <x:c r="L2389" s="14" t="n">
        <x:f>IF(G2389&lt;=I2389,0,MAX(0,L2388)+IF(E2389="via",MAX(0,G2389-MAX(F2389,I2389)),0))</x:f>
        <x:v>3.88</x:v>
      </x:c>
    </x:row>
    <x:row r="2390" ht="42" customHeight="1">
      <x:c r="A2390" s="12" t="str">
        <x:v>DP44-B</x:v>
      </x:c>
      <x:c r="B2390" s="12" t="str">
        <x:v>U16</x:v>
      </x:c>
      <x:c r="C2390" s="12" t="str">
        <x:v>adopt</x:v>
      </x:c>
      <x:c r="D2390" s="12" t="str">
        <x:v>현재 revision과 권한 검사 및 채택</x:v>
      </x:c>
      <x:c r="E2390" s="12" t="str">
        <x:v>via</x:v>
      </x:c>
      <x:c r="F2390" s="13" t="n">
        <x:v>1.88</x:v>
      </x:c>
      <x:c r="G2390" s="13" t="n">
        <x:v>1.91</x:v>
      </x:c>
      <x:c r="H2390" s="13" t="n">
        <x:v>0.03</x:v>
      </x:c>
      <x:c r="I2390" s="13" t="n">
        <x:v>-6</x:v>
      </x:c>
      <x:c r="J2390" s="12" t="str">
        <x:v>meaning</x:v>
      </x:c>
      <x:c r="K2390" s="12" t="str">
        <x:v>none</x:v>
      </x:c>
      <x:c r="L2390" s="13" t="n">
        <x:f>IF(G2390&lt;=I2390,0,MAX(0,L2389)+IF(E2390="via",MAX(0,G2390-MAX(F2390,I2390)),0))</x:f>
        <x:v>3.91</x:v>
      </x:c>
    </x:row>
    <x:row r="2391" ht="42" customHeight="1">
      <x:c r="A2391" s="7" t="str">
        <x:v>DP44-B</x:v>
      </x:c>
      <x:c r="B2391" s="7" t="str">
        <x:v>U16</x:v>
      </x:c>
      <x:c r="C2391" s="7" t="str">
        <x:v>first_display</x:v>
      </x:c>
      <x:c r="D2391" s="7" t="str">
        <x:v>첫 구체적 채택 내용 화면 표시</x:v>
      </x:c>
      <x:c r="E2391" s="7" t="str">
        <x:v>via</x:v>
      </x:c>
      <x:c r="F2391" s="14" t="n">
        <x:v>1.91</x:v>
      </x:c>
      <x:c r="G2391" s="14" t="n">
        <x:v>1.95</x:v>
      </x:c>
      <x:c r="H2391" s="14" t="n">
        <x:v>0.04</x:v>
      </x:c>
      <x:c r="I2391" s="14" t="n">
        <x:v>-6</x:v>
      </x:c>
      <x:c r="J2391" s="7" t="str">
        <x:v>adopt</x:v>
      </x:c>
      <x:c r="K2391" s="7" t="str">
        <x:v>none</x:v>
      </x:c>
      <x:c r="L2391" s="14" t="n">
        <x:f>IF(G2391&lt;=I2391,0,MAX(0,L2390)+IF(E2391="via",MAX(0,G2391-MAX(F2391,I2391)),0))</x:f>
        <x:v>3.95</x:v>
      </x:c>
    </x:row>
    <x:row r="2392" ht="42" customHeight="1">
      <x:c r="A2392" s="12" t="str">
        <x:v>DP44-B</x:v>
      </x:c>
      <x:c r="B2392" s="12" t="str">
        <x:v>U16</x:v>
      </x:c>
      <x:c r="C2392" s="12" t="str">
        <x:v>agent_ingress</x:v>
      </x:c>
      <x:c r="D2392" s="12" t="str">
        <x:v>Agent 요청 전송</x:v>
      </x:c>
      <x:c r="E2392" s="12" t="str">
        <x:v>via</x:v>
      </x:c>
      <x:c r="F2392" s="13" t="n">
        <x:v>1.91</x:v>
      </x:c>
      <x:c r="G2392" s="13" t="n">
        <x:v>1.95</x:v>
      </x:c>
      <x:c r="H2392" s="13" t="n">
        <x:v>0.04</x:v>
      </x:c>
      <x:c r="I2392" s="13" t="n">
        <x:v>-6</x:v>
      </x:c>
      <x:c r="J2392" s="12" t="str">
        <x:v>adopt</x:v>
      </x:c>
      <x:c r="K2392" s="12" t="str">
        <x:v>none</x:v>
      </x:c>
      <x:c r="L2392" s="13" t="n">
        <x:f>IF(G2392&lt;=I2392,0,MAX(0,L2390)+IF(E2392="via",MAX(0,G2392-MAX(F2392,I2392)),0))</x:f>
        <x:v>3.95</x:v>
      </x:c>
    </x:row>
    <x:row r="2393" ht="42" customHeight="1">
      <x:c r="A2393" s="7" t="str">
        <x:v>DP44-B</x:v>
      </x:c>
      <x:c r="B2393" s="7" t="str">
        <x:v>U16</x:v>
      </x:c>
      <x:c r="C2393" s="7" t="str">
        <x:v>agent_result</x:v>
      </x:c>
      <x:c r="D2393" s="7" t="str">
        <x:v>외부 Agent 업무</x:v>
      </x:c>
      <x:c r="E2393" s="7" t="str">
        <x:v>external</x:v>
      </x:c>
      <x:c r="F2393" s="14" t="n">
        <x:v>1.95</x:v>
      </x:c>
      <x:c r="G2393" s="14" t="n">
        <x:v>9.95</x:v>
      </x:c>
      <x:c r="H2393" s="14" t="n">
        <x:v>8</x:v>
      </x:c>
      <x:c r="I2393" s="14" t="n">
        <x:v>-6</x:v>
      </x:c>
      <x:c r="J2393" s="7" t="str">
        <x:v>agent_ingress</x:v>
      </x:c>
      <x:c r="K2393" s="7" t="str">
        <x:v>none</x:v>
      </x:c>
      <x:c r="L2393" s="14" t="n">
        <x:f>IF(G2393&lt;=I2393,0,MAX(0,L2392)+IF(E2393="via",MAX(0,G2393-MAX(F2393,I2393)),0))</x:f>
        <x:v>3.95</x:v>
      </x:c>
    </x:row>
    <x:row r="2394" ht="42" customHeight="1">
      <x:c r="A2394" s="12" t="str">
        <x:v>DP44-B</x:v>
      </x:c>
      <x:c r="B2394" s="12" t="str">
        <x:v>U16</x:v>
      </x:c>
      <x:c r="C2394" s="12" t="str">
        <x:v>result_display</x:v>
      </x:c>
      <x:c r="D2394" s="12" t="str">
        <x:v>최종 결과 상세 표시</x:v>
      </x:c>
      <x:c r="E2394" s="12" t="str">
        <x:v>via</x:v>
      </x:c>
      <x:c r="F2394" s="13" t="n">
        <x:v>9.95</x:v>
      </x:c>
      <x:c r="G2394" s="13" t="n">
        <x:v>9.989999999999998</x:v>
      </x:c>
      <x:c r="H2394" s="13" t="n">
        <x:v>0.04</x:v>
      </x:c>
      <x:c r="I2394" s="13" t="n">
        <x:v>-6</x:v>
      </x:c>
      <x:c r="J2394" s="12" t="str">
        <x:v>agent_result</x:v>
      </x:c>
      <x:c r="K2394" s="12" t="str">
        <x:v>none</x:v>
      </x:c>
      <x:c r="L2394" s="13" t="n">
        <x:f>IF(G2394&lt;=I2394,0,MAX(0,L2393)+IF(E2394="via",MAX(0,G2394-MAX(F2394,I2394)),0))</x:f>
        <x:v>3.9899999999999993</x:v>
      </x:c>
    </x:row>
    <x:row r="2395" ht="42" customHeight="1">
      <x:c r="A2395" s="7" t="str">
        <x:v>DP44-B</x:v>
      </x:c>
      <x:c r="B2395" s="7" t="str">
        <x:v>U16</x:v>
      </x:c>
      <x:c r="C2395" s="7" t="str">
        <x:v>response_audio</x:v>
      </x:c>
      <x:c r="D2395" s="7" t="str">
        <x:v>선택한 응답 음성 생성</x:v>
      </x:c>
      <x:c r="E2395" s="7" t="str">
        <x:v>via</x:v>
      </x:c>
      <x:c r="F2395" s="14" t="n">
        <x:v>9.95</x:v>
      </x:c>
      <x:c r="G2395" s="14" t="n">
        <x:v>11.838</x:v>
      </x:c>
      <x:c r="H2395" s="14" t="n">
        <x:v>1.888</x:v>
      </x:c>
      <x:c r="I2395" s="14" t="n">
        <x:v>-6</x:v>
      </x:c>
      <x:c r="J2395" s="7" t="str">
        <x:v>agent_result, adopt, next_speech_selection</x:v>
      </x:c>
      <x:c r="K2395" s="7" t="str">
        <x:v>speech</x:v>
      </x:c>
      <x:c r="L2395" s="14" t="n">
        <x:f>IF(G2395&lt;=I2395,0,MAX(0,L2393,L2390,L2399)+IF(E2395="via",MAX(0,G2395-MAX(F2395,I2395)),0))</x:f>
        <x:v>6.272</x:v>
      </x:c>
    </x:row>
    <x:row r="2396" ht="42" customHeight="1">
      <x:c r="A2396" s="12" t="str">
        <x:v>DP44-B</x:v>
      </x:c>
      <x:c r="B2396" s="12" t="str">
        <x:v>U16</x:v>
      </x:c>
      <x:c r="C2396" s="12" t="str">
        <x:v>intent_audio</x:v>
      </x:c>
      <x:c r="D2396" s="12" t="str">
        <x:v>채택한 구체적 수행 의도의 짧은 음성</x:v>
      </x:c>
      <x:c r="E2396" s="12" t="str">
        <x:v>via</x:v>
      </x:c>
      <x:c r="F2396" s="13" t="n">
        <x:v>1.91</x:v>
      </x:c>
      <x:c r="G2396" s="13" t="n">
        <x:v>3.0439999999999996</x:v>
      </x:c>
      <x:c r="H2396" s="13" t="n">
        <x:v>1.134</x:v>
      </x:c>
      <x:c r="I2396" s="13" t="n">
        <x:v>-6</x:v>
      </x:c>
      <x:c r="J2396" s="12" t="str">
        <x:v>adopt</x:v>
      </x:c>
      <x:c r="K2396" s="12" t="str">
        <x:v>speech</x:v>
      </x:c>
      <x:c r="L2396" s="13" t="n">
        <x:f>IF(G2396&lt;=I2396,0,MAX(0,L2390)+IF(E2396="via",MAX(0,G2396-MAX(F2396,I2396)),0))</x:f>
        <x:v>5.044</x:v>
      </x:c>
    </x:row>
    <x:row r="2397" ht="42" customHeight="1">
      <x:c r="A2397" s="7" t="str">
        <x:v>DP44-B</x:v>
      </x:c>
      <x:c r="B2397" s="7" t="str">
        <x:v>U16</x:v>
      </x:c>
      <x:c r="C2397" s="7" t="str">
        <x:v>first_chunk</x:v>
      </x:c>
      <x:c r="D2397" s="7" t="str">
        <x:v>같은 생성 job의 유효 첫 chunk 관측</x:v>
      </x:c>
      <x:c r="E2397" s="7" t="str">
        <x:v>via</x:v>
      </x:c>
      <x:c r="F2397" s="14" t="n">
        <x:v>1.91</x:v>
      </x:c>
      <x:c r="G2397" s="14" t="n">
        <x:v>2.344</x:v>
      </x:c>
      <x:c r="H2397" s="14" t="n">
        <x:v>0.434</x:v>
      </x:c>
      <x:c r="I2397" s="14" t="n">
        <x:v>-6</x:v>
      </x:c>
      <x:c r="J2397" s="7" t="str">
        <x:v>adopt</x:v>
      </x:c>
      <x:c r="K2397" s="7" t="str">
        <x:v>none</x:v>
      </x:c>
      <x:c r="L2397" s="14" t="n">
        <x:f>IF(G2397&lt;=I2397,0,MAX(0,L2390)+IF(E2397="via",MAX(0,G2397-MAX(F2397,I2397)),0))</x:f>
        <x:v>4.344</x:v>
      </x:c>
    </x:row>
    <x:row r="2398" ht="42" customHeight="1">
      <x:c r="A2398" s="12" t="str">
        <x:v>DP44-B</x:v>
      </x:c>
      <x:c r="B2398" s="12" t="str">
        <x:v>U16</x:v>
      </x:c>
      <x:c r="C2398" s="12" t="str">
        <x:v>first_audio_output</x:v>
      </x:c>
      <x:c r="D2398" s="12" t="str">
        <x:v>공통 장치의 첫 음성 출력</x:v>
      </x:c>
      <x:c r="E2398" s="12" t="str">
        <x:v>via</x:v>
      </x:c>
      <x:c r="F2398" s="13" t="n">
        <x:v>2.344</x:v>
      </x:c>
      <x:c r="G2398" s="13" t="n">
        <x:v>2.384</x:v>
      </x:c>
      <x:c r="H2398" s="13" t="n">
        <x:v>0.04</x:v>
      </x:c>
      <x:c r="I2398" s="13" t="n">
        <x:v>-6</x:v>
      </x:c>
      <x:c r="J2398" s="12" t="str">
        <x:v>adopt, first_chunk</x:v>
      </x:c>
      <x:c r="K2398" s="12" t="str">
        <x:v>none</x:v>
      </x:c>
      <x:c r="L2398" s="13" t="n">
        <x:f>IF(G2398&lt;=I2398,0,MAX(0,L2390,L2397)+IF(E2398="via",MAX(0,G2398-MAX(F2398,I2398)),0))</x:f>
        <x:v>4.384</x:v>
      </x:c>
    </x:row>
    <x:row r="2399" ht="42" customHeight="1">
      <x:c r="A2399" s="7" t="str">
        <x:v>DP44-B</x:v>
      </x:c>
      <x:c r="B2399" s="7" t="str">
        <x:v>U16</x:v>
      </x:c>
      <x:c r="C2399" s="7" t="str">
        <x:v>next_speech_selection</x:v>
      </x:c>
      <x:c r="D2399" s="7" t="str">
        <x:v>현재 발화 재생 후 다음 응답 선택</x:v>
      </x:c>
      <x:c r="E2399" s="7" t="str">
        <x:v>external</x:v>
      </x:c>
      <x:c r="F2399" s="14" t="n">
        <x:v>2.384</x:v>
      </x:c>
      <x:c r="G2399" s="14" t="n">
        <x:v>5.384</x:v>
      </x:c>
      <x:c r="H2399" s="14" t="n">
        <x:v>3</x:v>
      </x:c>
      <x:c r="I2399" s="14" t="n">
        <x:v>-6</x:v>
      </x:c>
      <x:c r="J2399" s="7" t="str">
        <x:v>first_audio_output</x:v>
      </x:c>
      <x:c r="K2399" s="7" t="str">
        <x:v>none</x:v>
      </x:c>
      <x:c r="L2399" s="14" t="n">
        <x:f>IF(G2399&lt;=I2399,0,MAX(0,L2398)+IF(E2399="via",MAX(0,G2399-MAX(F2399,I2399)),0))</x:f>
        <x:v>4.384</x:v>
      </x:c>
    </x:row>
    <x:row r="2400" ht="42" customHeight="1">
      <x:c r="A2400" s="12" t="str">
        <x:v>DP44-B</x:v>
      </x:c>
      <x:c r="B2400" s="12" t="str">
        <x:v>U16</x:v>
      </x:c>
      <x:c r="C2400" s="12" t="str">
        <x:v>terminal</x:v>
      </x:c>
      <x:c r="D2400" s="12" t="str">
        <x:v>공통 목표 최종 상태와 전체 음성 준비</x:v>
      </x:c>
      <x:c r="E2400" s="12" t="str">
        <x:v>via</x:v>
      </x:c>
      <x:c r="F2400" s="13" t="n">
        <x:v>11.838</x:v>
      </x:c>
      <x:c r="G2400" s="13" t="n">
        <x:v>11.838</x:v>
      </x:c>
      <x:c r="H2400" s="13" t="n">
        <x:v>0</x:v>
      </x:c>
      <x:c r="I2400" s="13" t="n">
        <x:v>-6</x:v>
      </x:c>
      <x:c r="J2400" s="12" t="str">
        <x:v>result_display, response_audio, intent_audio, first_audio_output</x:v>
      </x:c>
      <x:c r="K2400" s="12" t="str">
        <x:v>none</x:v>
      </x:c>
      <x:c r="L2400" s="13" t="n">
        <x:f>IF(G2400&lt;=I2400,0,MAX(0,L2394,L2395,L2396,L2398)+IF(E2400="via",MAX(0,G2400-MAX(F2400,I2400)),0))</x:f>
        <x:v>6.272</x:v>
      </x:c>
    </x:row>
    <x:row r="2401" ht="42" customHeight="1">
      <x:c r="A2401" s="7" t="str">
        <x:v>DP44-B</x:v>
      </x:c>
      <x:c r="B2401" s="7" t="str">
        <x:v>U17</x:v>
      </x:c>
      <x:c r="C2401" s="7" t="str">
        <x:v>input_end</x:v>
      </x:c>
      <x:c r="D2401" s="7" t="str">
        <x:v>사용자 입력 종료</x:v>
      </x:c>
      <x:c r="E2401" s="7" t="str">
        <x:v>external</x:v>
      </x:c>
      <x:c r="F2401" s="14" t="n">
        <x:v>0</x:v>
      </x:c>
      <x:c r="G2401" s="14" t="n">
        <x:v>0</x:v>
      </x:c>
      <x:c r="H2401" s="14" t="n">
        <x:v>0</x:v>
      </x:c>
      <x:c r="I2401" s="14" t="n">
        <x:v>0</x:v>
      </x:c>
      <x:c r="J2401" s="7" t="str"/>
      <x:c r="K2401" s="7" t="str">
        <x:v>none</x:v>
      </x:c>
      <x:c r="L2401" s="14" t="n">
        <x:f>IF(G2401&lt;=I2401,0,MAX(0)+IF(E2401="via",MAX(0,G2401-MAX(F2401,I2401)),0))</x:f>
        <x:v>0</x:v>
      </x:c>
    </x:row>
    <x:row r="2402" ht="42" customHeight="1">
      <x:c r="A2402" s="12" t="str">
        <x:v>DP44-B</x:v>
      </x:c>
      <x:c r="B2402" s="12" t="str">
        <x:v>U17</x:v>
      </x:c>
      <x:c r="C2402" s="12" t="str">
        <x:v>intake</x:v>
      </x:c>
      <x:c r="D2402" s="12" t="str">
        <x:v>입력 확정</x:v>
      </x:c>
      <x:c r="E2402" s="12" t="str">
        <x:v>via</x:v>
      </x:c>
      <x:c r="F2402" s="13" t="n">
        <x:v>0</x:v>
      </x:c>
      <x:c r="G2402" s="13" t="n">
        <x:v>0.3</x:v>
      </x:c>
      <x:c r="H2402" s="13" t="n">
        <x:v>0.3</x:v>
      </x:c>
      <x:c r="I2402" s="13" t="n">
        <x:v>0</x:v>
      </x:c>
      <x:c r="J2402" s="12" t="str">
        <x:v>input_end</x:v>
      </x:c>
      <x:c r="K2402" s="12" t="str">
        <x:v>none</x:v>
      </x:c>
      <x:c r="L2402" s="13" t="n">
        <x:f>IF(G2402&lt;=I2402,0,MAX(0,L2401)+IF(E2402="via",MAX(0,G2402-MAX(F2402,I2402)),0))</x:f>
        <x:v>0.3</x:v>
      </x:c>
    </x:row>
    <x:row r="2403" ht="42" customHeight="1">
      <x:c r="A2403" s="7" t="str">
        <x:v>DP44-B</x:v>
      </x:c>
      <x:c r="B2403" s="7" t="str">
        <x:v>U17</x:v>
      </x:c>
      <x:c r="C2403" s="7" t="str">
        <x:v>read</x:v>
      </x:c>
      <x:c r="D2403" s="7" t="str">
        <x:v>공통 허용 원본 조회</x:v>
      </x:c>
      <x:c r="E2403" s="7" t="str">
        <x:v>via</x:v>
      </x:c>
      <x:c r="F2403" s="14" t="n">
        <x:v>0.3</x:v>
      </x:c>
      <x:c r="G2403" s="14" t="n">
        <x:v>0.38</x:v>
      </x:c>
      <x:c r="H2403" s="14" t="n">
        <x:v>0.08</x:v>
      </x:c>
      <x:c r="I2403" s="14" t="n">
        <x:v>0</x:v>
      </x:c>
      <x:c r="J2403" s="7" t="str">
        <x:v>intake</x:v>
      </x:c>
      <x:c r="K2403" s="7" t="str">
        <x:v>none</x:v>
      </x:c>
      <x:c r="L2403" s="14" t="n">
        <x:f>IF(G2403&lt;=I2403,0,MAX(0,L2402)+IF(E2403="via",MAX(0,G2403-MAX(F2403,I2403)),0))</x:f>
        <x:v>0.38</x:v>
      </x:c>
    </x:row>
    <x:row r="2404" ht="42" customHeight="1">
      <x:c r="A2404" s="12" t="str">
        <x:v>DP44-B</x:v>
      </x:c>
      <x:c r="B2404" s="12" t="str">
        <x:v>U17</x:v>
      </x:c>
      <x:c r="C2404" s="12" t="str">
        <x:v>meaning</x:v>
      </x:c>
      <x:c r="D2404" s="12" t="str">
        <x:v>최초 요청 의미 채택 packet 생성</x:v>
      </x:c>
      <x:c r="E2404" s="12" t="str">
        <x:v>via</x:v>
      </x:c>
      <x:c r="F2404" s="13" t="n">
        <x:v>0.38</x:v>
      </x:c>
      <x:c r="G2404" s="13" t="n">
        <x:v>1.48</x:v>
      </x:c>
      <x:c r="H2404" s="13" t="n">
        <x:v>1.1</x:v>
      </x:c>
      <x:c r="I2404" s="13" t="n">
        <x:v>0</x:v>
      </x:c>
      <x:c r="J2404" s="12" t="str">
        <x:v>read</x:v>
      </x:c>
      <x:c r="K2404" s="12" t="str">
        <x:v>semantic</x:v>
      </x:c>
      <x:c r="L2404" s="13" t="n">
        <x:f>IF(G2404&lt;=I2404,0,MAX(0,L2403)+IF(E2404="via",MAX(0,G2404-MAX(F2404,I2404)),0))</x:f>
        <x:v>1.48</x:v>
      </x:c>
    </x:row>
    <x:row r="2405" ht="42" customHeight="1">
      <x:c r="A2405" s="7" t="str">
        <x:v>DP44-B</x:v>
      </x:c>
      <x:c r="B2405" s="7" t="str">
        <x:v>U17</x:v>
      </x:c>
      <x:c r="C2405" s="7" t="str">
        <x:v>adopt</x:v>
      </x:c>
      <x:c r="D2405" s="7" t="str">
        <x:v>현재 revision과 권한 검사 및 채택</x:v>
      </x:c>
      <x:c r="E2405" s="7" t="str">
        <x:v>via</x:v>
      </x:c>
      <x:c r="F2405" s="14" t="n">
        <x:v>1.48</x:v>
      </x:c>
      <x:c r="G2405" s="14" t="n">
        <x:v>1.51</x:v>
      </x:c>
      <x:c r="H2405" s="14" t="n">
        <x:v>0.03</x:v>
      </x:c>
      <x:c r="I2405" s="14" t="n">
        <x:v>0</x:v>
      </x:c>
      <x:c r="J2405" s="7" t="str">
        <x:v>meaning</x:v>
      </x:c>
      <x:c r="K2405" s="7" t="str">
        <x:v>none</x:v>
      </x:c>
      <x:c r="L2405" s="14" t="n">
        <x:f>IF(G2405&lt;=I2405,0,MAX(0,L2404)+IF(E2405="via",MAX(0,G2405-MAX(F2405,I2405)),0))</x:f>
        <x:v>1.51</x:v>
      </x:c>
    </x:row>
    <x:row r="2406" ht="42" customHeight="1">
      <x:c r="A2406" s="12" t="str">
        <x:v>DP44-B</x:v>
      </x:c>
      <x:c r="B2406" s="12" t="str">
        <x:v>U17</x:v>
      </x:c>
      <x:c r="C2406" s="12" t="str">
        <x:v>first_display</x:v>
      </x:c>
      <x:c r="D2406" s="12" t="str">
        <x:v>첫 구체적 채택 내용 화면 표시</x:v>
      </x:c>
      <x:c r="E2406" s="12" t="str">
        <x:v>via</x:v>
      </x:c>
      <x:c r="F2406" s="13" t="n">
        <x:v>1.51</x:v>
      </x:c>
      <x:c r="G2406" s="13" t="n">
        <x:v>1.55</x:v>
      </x:c>
      <x:c r="H2406" s="13" t="n">
        <x:v>0.04</x:v>
      </x:c>
      <x:c r="I2406" s="13" t="n">
        <x:v>0</x:v>
      </x:c>
      <x:c r="J2406" s="12" t="str">
        <x:v>adopt</x:v>
      </x:c>
      <x:c r="K2406" s="12" t="str">
        <x:v>none</x:v>
      </x:c>
      <x:c r="L2406" s="13" t="n">
        <x:f>IF(G2406&lt;=I2406,0,MAX(0,L2405)+IF(E2406="via",MAX(0,G2406-MAX(F2406,I2406)),0))</x:f>
        <x:v>1.55</x:v>
      </x:c>
    </x:row>
    <x:row r="2407" ht="42" customHeight="1">
      <x:c r="A2407" s="7" t="str">
        <x:v>DP44-B</x:v>
      </x:c>
      <x:c r="B2407" s="7" t="str">
        <x:v>U17</x:v>
      </x:c>
      <x:c r="C2407" s="7" t="str">
        <x:v>question_arrival</x:v>
      </x:c>
      <x:c r="D2407" s="7" t="str">
        <x:v>Agent 질문 텍스트 도착</x:v>
      </x:c>
      <x:c r="E2407" s="7" t="str">
        <x:v>external</x:v>
      </x:c>
      <x:c r="F2407" s="14" t="n">
        <x:v>-2</x:v>
      </x:c>
      <x:c r="G2407" s="14" t="n">
        <x:v>-2</x:v>
      </x:c>
      <x:c r="H2407" s="14" t="n">
        <x:v>0</x:v>
      </x:c>
      <x:c r="I2407" s="14" t="n">
        <x:v>0</x:v>
      </x:c>
      <x:c r="J2407" s="7" t="str"/>
      <x:c r="K2407" s="7" t="str">
        <x:v>none</x:v>
      </x:c>
      <x:c r="L2407" s="14" t="n">
        <x:f>IF(G2407&lt;=I2407,0,MAX(0)+IF(E2407="via",MAX(0,G2407-MAX(F2407,I2407)),0))</x:f>
        <x:v>0</x:v>
      </x:c>
    </x:row>
    <x:row r="2408" ht="42" customHeight="1">
      <x:c r="A2408" s="12" t="str">
        <x:v>DP44-B</x:v>
      </x:c>
      <x:c r="B2408" s="12" t="str">
        <x:v>U17</x:v>
      </x:c>
      <x:c r="C2408" s="12" t="str">
        <x:v>question_audio</x:v>
      </x:c>
      <x:c r="D2408" s="12" t="str">
        <x:v>선택한 응답 음성 생성</x:v>
      </x:c>
      <x:c r="E2408" s="12" t="str">
        <x:v>via</x:v>
      </x:c>
      <x:c r="F2408" s="13" t="n">
        <x:v>1.51</x:v>
      </x:c>
      <x:c r="G2408" s="13" t="n">
        <x:v>3.900666666666667</x:v>
      </x:c>
      <x:c r="H2408" s="13" t="n">
        <x:v>2.3906666666666667</x:v>
      </x:c>
      <x:c r="I2408" s="13" t="n">
        <x:v>0</x:v>
      </x:c>
      <x:c r="J2408" s="12" t="str">
        <x:v>question_arrival, adopt</x:v>
      </x:c>
      <x:c r="K2408" s="12" t="str">
        <x:v>speech</x:v>
      </x:c>
      <x:c r="L2408" s="13" t="n">
        <x:f>IF(G2408&lt;=I2408,0,MAX(0,L2407,L2405)+IF(E2408="via",MAX(0,G2408-MAX(F2408,I2408)),0))</x:f>
        <x:v>3.900666666666667</x:v>
      </x:c>
    </x:row>
    <x:row r="2409" ht="42" customHeight="1">
      <x:c r="A2409" s="7" t="str">
        <x:v>DP44-B</x:v>
      </x:c>
      <x:c r="B2409" s="7" t="str">
        <x:v>U17</x:v>
      </x:c>
      <x:c r="C2409" s="7" t="str">
        <x:v>first_chunk</x:v>
      </x:c>
      <x:c r="D2409" s="7" t="str">
        <x:v>같은 생성 job의 유효 첫 chunk 관측</x:v>
      </x:c>
      <x:c r="E2409" s="7" t="str">
        <x:v>via</x:v>
      </x:c>
      <x:c r="F2409" s="14" t="n">
        <x:v>1.51</x:v>
      </x:c>
      <x:c r="G2409" s="14" t="n">
        <x:v>1.9506666666666668</x:v>
      </x:c>
      <x:c r="H2409" s="14" t="n">
        <x:v>0.44066666666666665</x:v>
      </x:c>
      <x:c r="I2409" s="14" t="n">
        <x:v>0</x:v>
      </x:c>
      <x:c r="J2409" s="7" t="str">
        <x:v>question_arrival, adopt</x:v>
      </x:c>
      <x:c r="K2409" s="7" t="str">
        <x:v>none</x:v>
      </x:c>
      <x:c r="L2409" s="14" t="n">
        <x:f>IF(G2409&lt;=I2409,0,MAX(0,L2407,L2405)+IF(E2409="via",MAX(0,G2409-MAX(F2409,I2409)),0))</x:f>
        <x:v>1.9506666666666668</x:v>
      </x:c>
    </x:row>
    <x:row r="2410" ht="42" customHeight="1">
      <x:c r="A2410" s="12" t="str">
        <x:v>DP44-B</x:v>
      </x:c>
      <x:c r="B2410" s="12" t="str">
        <x:v>U17</x:v>
      </x:c>
      <x:c r="C2410" s="12" t="str">
        <x:v>first_audio_output</x:v>
      </x:c>
      <x:c r="D2410" s="12" t="str">
        <x:v>공통 장치의 첫 음성 출력</x:v>
      </x:c>
      <x:c r="E2410" s="12" t="str">
        <x:v>via</x:v>
      </x:c>
      <x:c r="F2410" s="13" t="n">
        <x:v>1.9506666666666668</x:v>
      </x:c>
      <x:c r="G2410" s="13" t="n">
        <x:v>1.9906666666666668</x:v>
      </x:c>
      <x:c r="H2410" s="13" t="n">
        <x:v>0.04</x:v>
      </x:c>
      <x:c r="I2410" s="13" t="n">
        <x:v>0</x:v>
      </x:c>
      <x:c r="J2410" s="12" t="str">
        <x:v>adopt, first_chunk</x:v>
      </x:c>
      <x:c r="K2410" s="12" t="str">
        <x:v>none</x:v>
      </x:c>
      <x:c r="L2410" s="13" t="n">
        <x:f>IF(G2410&lt;=I2410,0,MAX(0,L2405,L2409)+IF(E2410="via",MAX(0,G2410-MAX(F2410,I2410)),0))</x:f>
        <x:v>1.9906666666666668</x:v>
      </x:c>
    </x:row>
    <x:row r="2411" ht="42" customHeight="1">
      <x:c r="A2411" s="7" t="str">
        <x:v>DP44-B</x:v>
      </x:c>
      <x:c r="B2411" s="7" t="str">
        <x:v>U17</x:v>
      </x:c>
      <x:c r="C2411" s="7" t="str">
        <x:v>terminal</x:v>
      </x:c>
      <x:c r="D2411" s="7" t="str">
        <x:v>공통 목표 최종 상태와 전체 음성 준비</x:v>
      </x:c>
      <x:c r="E2411" s="7" t="str">
        <x:v>via</x:v>
      </x:c>
      <x:c r="F2411" s="14" t="n">
        <x:v>3.900666666666667</x:v>
      </x:c>
      <x:c r="G2411" s="14" t="n">
        <x:v>3.900666666666667</x:v>
      </x:c>
      <x:c r="H2411" s="14" t="n">
        <x:v>0</x:v>
      </x:c>
      <x:c r="I2411" s="14" t="n">
        <x:v>0</x:v>
      </x:c>
      <x:c r="J2411" s="7" t="str">
        <x:v>first_display, question_audio, first_audio_output</x:v>
      </x:c>
      <x:c r="K2411" s="7" t="str">
        <x:v>none</x:v>
      </x:c>
      <x:c r="L2411" s="14" t="n">
        <x:f>IF(G2411&lt;=I2411,0,MAX(0,L2406,L2408,L2410)+IF(E2411="via",MAX(0,G2411-MAX(F2411,I2411)),0))</x:f>
        <x:v>3.900666666666667</x:v>
      </x:c>
    </x:row>
    <x:row r="2412" ht="42" customHeight="1">
      <x:c r="A2412" s="12" t="str">
        <x:v>DP44-B</x:v>
      </x:c>
      <x:c r="B2412" s="12" t="str">
        <x:v>U18</x:v>
      </x:c>
      <x:c r="C2412" s="12" t="str">
        <x:v>input_end</x:v>
      </x:c>
      <x:c r="D2412" s="12" t="str">
        <x:v>사용자 입력 종료</x:v>
      </x:c>
      <x:c r="E2412" s="12" t="str">
        <x:v>external</x:v>
      </x:c>
      <x:c r="F2412" s="13" t="n">
        <x:v>0</x:v>
      </x:c>
      <x:c r="G2412" s="13" t="n">
        <x:v>0</x:v>
      </x:c>
      <x:c r="H2412" s="13" t="n">
        <x:v>0</x:v>
      </x:c>
      <x:c r="I2412" s="13" t="n">
        <x:v>0</x:v>
      </x:c>
      <x:c r="J2412" s="12" t="str"/>
      <x:c r="K2412" s="12" t="str">
        <x:v>none</x:v>
      </x:c>
      <x:c r="L2412" s="13" t="n">
        <x:f>IF(G2412&lt;=I2412,0,MAX(0)+IF(E2412="via",MAX(0,G2412-MAX(F2412,I2412)),0))</x:f>
        <x:v>0</x:v>
      </x:c>
    </x:row>
    <x:row r="2413" ht="42" customHeight="1">
      <x:c r="A2413" s="7" t="str">
        <x:v>DP44-B</x:v>
      </x:c>
      <x:c r="B2413" s="7" t="str">
        <x:v>U18</x:v>
      </x:c>
      <x:c r="C2413" s="7" t="str">
        <x:v>intake</x:v>
      </x:c>
      <x:c r="D2413" s="7" t="str">
        <x:v>입력 확정</x:v>
      </x:c>
      <x:c r="E2413" s="7" t="str">
        <x:v>via</x:v>
      </x:c>
      <x:c r="F2413" s="14" t="n">
        <x:v>0</x:v>
      </x:c>
      <x:c r="G2413" s="14" t="n">
        <x:v>0.3</x:v>
      </x:c>
      <x:c r="H2413" s="14" t="n">
        <x:v>0.3</x:v>
      </x:c>
      <x:c r="I2413" s="14" t="n">
        <x:v>0</x:v>
      </x:c>
      <x:c r="J2413" s="7" t="str">
        <x:v>input_end</x:v>
      </x:c>
      <x:c r="K2413" s="7" t="str">
        <x:v>none</x:v>
      </x:c>
      <x:c r="L2413" s="14" t="n">
        <x:f>IF(G2413&lt;=I2413,0,MAX(0,L2412)+IF(E2413="via",MAX(0,G2413-MAX(F2413,I2413)),0))</x:f>
        <x:v>0.3</x:v>
      </x:c>
    </x:row>
    <x:row r="2414" ht="42" customHeight="1">
      <x:c r="A2414" s="12" t="str">
        <x:v>DP44-B</x:v>
      </x:c>
      <x:c r="B2414" s="12" t="str">
        <x:v>U18</x:v>
      </x:c>
      <x:c r="C2414" s="12" t="str">
        <x:v>read</x:v>
      </x:c>
      <x:c r="D2414" s="12" t="str">
        <x:v>공통 허용 원본 조회</x:v>
      </x:c>
      <x:c r="E2414" s="12" t="str">
        <x:v>via</x:v>
      </x:c>
      <x:c r="F2414" s="13" t="n">
        <x:v>0.3</x:v>
      </x:c>
      <x:c r="G2414" s="13" t="n">
        <x:v>0.38</x:v>
      </x:c>
      <x:c r="H2414" s="13" t="n">
        <x:v>0.08</x:v>
      </x:c>
      <x:c r="I2414" s="13" t="n">
        <x:v>0</x:v>
      </x:c>
      <x:c r="J2414" s="12" t="str">
        <x:v>intake</x:v>
      </x:c>
      <x:c r="K2414" s="12" t="str">
        <x:v>none</x:v>
      </x:c>
      <x:c r="L2414" s="13" t="n">
        <x:f>IF(G2414&lt;=I2414,0,MAX(0,L2413)+IF(E2414="via",MAX(0,G2414-MAX(F2414,I2414)),0))</x:f>
        <x:v>0.38</x:v>
      </x:c>
    </x:row>
    <x:row r="2415" ht="42" customHeight="1">
      <x:c r="A2415" s="7" t="str">
        <x:v>DP44-B</x:v>
      </x:c>
      <x:c r="B2415" s="7" t="str">
        <x:v>U18</x:v>
      </x:c>
      <x:c r="C2415" s="7" t="str">
        <x:v>meaning</x:v>
      </x:c>
      <x:c r="D2415" s="7" t="str">
        <x:v>최초 요청 의미 채택 packet 생성</x:v>
      </x:c>
      <x:c r="E2415" s="7" t="str">
        <x:v>via</x:v>
      </x:c>
      <x:c r="F2415" s="14" t="n">
        <x:v>0.38</x:v>
      </x:c>
      <x:c r="G2415" s="14" t="n">
        <x:v>1.48</x:v>
      </x:c>
      <x:c r="H2415" s="14" t="n">
        <x:v>1.1</x:v>
      </x:c>
      <x:c r="I2415" s="14" t="n">
        <x:v>0</x:v>
      </x:c>
      <x:c r="J2415" s="7" t="str">
        <x:v>read</x:v>
      </x:c>
      <x:c r="K2415" s="7" t="str">
        <x:v>semantic</x:v>
      </x:c>
      <x:c r="L2415" s="14" t="n">
        <x:f>IF(G2415&lt;=I2415,0,MAX(0,L2414)+IF(E2415="via",MAX(0,G2415-MAX(F2415,I2415)),0))</x:f>
        <x:v>1.48</x:v>
      </x:c>
    </x:row>
    <x:row r="2416" ht="42" customHeight="1">
      <x:c r="A2416" s="12" t="str">
        <x:v>DP44-B</x:v>
      </x:c>
      <x:c r="B2416" s="12" t="str">
        <x:v>U18</x:v>
      </x:c>
      <x:c r="C2416" s="12" t="str">
        <x:v>adopt</x:v>
      </x:c>
      <x:c r="D2416" s="12" t="str">
        <x:v>현재 revision과 권한 검사 및 채택</x:v>
      </x:c>
      <x:c r="E2416" s="12" t="str">
        <x:v>via</x:v>
      </x:c>
      <x:c r="F2416" s="13" t="n">
        <x:v>1.48</x:v>
      </x:c>
      <x:c r="G2416" s="13" t="n">
        <x:v>1.51</x:v>
      </x:c>
      <x:c r="H2416" s="13" t="n">
        <x:v>0.03</x:v>
      </x:c>
      <x:c r="I2416" s="13" t="n">
        <x:v>0</x:v>
      </x:c>
      <x:c r="J2416" s="12" t="str">
        <x:v>meaning</x:v>
      </x:c>
      <x:c r="K2416" s="12" t="str">
        <x:v>none</x:v>
      </x:c>
      <x:c r="L2416" s="13" t="n">
        <x:f>IF(G2416&lt;=I2416,0,MAX(0,L2415)+IF(E2416="via",MAX(0,G2416-MAX(F2416,I2416)),0))</x:f>
        <x:v>1.51</x:v>
      </x:c>
    </x:row>
    <x:row r="2417" ht="42" customHeight="1">
      <x:c r="A2417" s="7" t="str">
        <x:v>DP44-B</x:v>
      </x:c>
      <x:c r="B2417" s="7" t="str">
        <x:v>U18</x:v>
      </x:c>
      <x:c r="C2417" s="7" t="str">
        <x:v>first_display</x:v>
      </x:c>
      <x:c r="D2417" s="7" t="str">
        <x:v>첫 구체적 채택 내용 화면 표시</x:v>
      </x:c>
      <x:c r="E2417" s="7" t="str">
        <x:v>via</x:v>
      </x:c>
      <x:c r="F2417" s="14" t="n">
        <x:v>1.51</x:v>
      </x:c>
      <x:c r="G2417" s="14" t="n">
        <x:v>1.55</x:v>
      </x:c>
      <x:c r="H2417" s="14" t="n">
        <x:v>0.04</x:v>
      </x:c>
      <x:c r="I2417" s="14" t="n">
        <x:v>0</x:v>
      </x:c>
      <x:c r="J2417" s="7" t="str">
        <x:v>adopt</x:v>
      </x:c>
      <x:c r="K2417" s="7" t="str">
        <x:v>none</x:v>
      </x:c>
      <x:c r="L2417" s="14" t="n">
        <x:f>IF(G2417&lt;=I2417,0,MAX(0,L2416)+IF(E2417="via",MAX(0,G2417-MAX(F2417,I2417)),0))</x:f>
        <x:v>1.55</x:v>
      </x:c>
    </x:row>
    <x:row r="2418" ht="42" customHeight="1">
      <x:c r="A2418" s="12" t="str">
        <x:v>DP44-B</x:v>
      </x:c>
      <x:c r="B2418" s="12" t="str">
        <x:v>U18</x:v>
      </x:c>
      <x:c r="C2418" s="12" t="str">
        <x:v>question_arrival</x:v>
      </x:c>
      <x:c r="D2418" s="12" t="str">
        <x:v>Agent 질문 텍스트 도착</x:v>
      </x:c>
      <x:c r="E2418" s="12" t="str">
        <x:v>external</x:v>
      </x:c>
      <x:c r="F2418" s="13" t="n">
        <x:v>-2</x:v>
      </x:c>
      <x:c r="G2418" s="13" t="n">
        <x:v>-2</x:v>
      </x:c>
      <x:c r="H2418" s="13" t="n">
        <x:v>0</x:v>
      </x:c>
      <x:c r="I2418" s="13" t="n">
        <x:v>0</x:v>
      </x:c>
      <x:c r="J2418" s="12" t="str"/>
      <x:c r="K2418" s="12" t="str">
        <x:v>none</x:v>
      </x:c>
      <x:c r="L2418" s="13" t="n">
        <x:f>IF(G2418&lt;=I2418,0,MAX(0)+IF(E2418="via",MAX(0,G2418-MAX(F2418,I2418)),0))</x:f>
        <x:v>0</x:v>
      </x:c>
    </x:row>
    <x:row r="2419" ht="42" customHeight="1">
      <x:c r="A2419" s="7" t="str">
        <x:v>DP44-B</x:v>
      </x:c>
      <x:c r="B2419" s="7" t="str">
        <x:v>U18</x:v>
      </x:c>
      <x:c r="C2419" s="7" t="str">
        <x:v>question_audio</x:v>
      </x:c>
      <x:c r="D2419" s="7" t="str">
        <x:v>선택한 응답 음성 생성</x:v>
      </x:c>
      <x:c r="E2419" s="7" t="str">
        <x:v>via</x:v>
      </x:c>
      <x:c r="F2419" s="14" t="n">
        <x:v>1.51</x:v>
      </x:c>
      <x:c r="G2419" s="14" t="n">
        <x:v>3.900666666666667</x:v>
      </x:c>
      <x:c r="H2419" s="14" t="n">
        <x:v>2.3906666666666667</x:v>
      </x:c>
      <x:c r="I2419" s="14" t="n">
        <x:v>0</x:v>
      </x:c>
      <x:c r="J2419" s="7" t="str">
        <x:v>question_arrival, adopt</x:v>
      </x:c>
      <x:c r="K2419" s="7" t="str">
        <x:v>speech</x:v>
      </x:c>
      <x:c r="L2419" s="14" t="n">
        <x:f>IF(G2419&lt;=I2419,0,MAX(0,L2418,L2416)+IF(E2419="via",MAX(0,G2419-MAX(F2419,I2419)),0))</x:f>
        <x:v>3.900666666666667</x:v>
      </x:c>
    </x:row>
    <x:row r="2420" ht="42" customHeight="1">
      <x:c r="A2420" s="12" t="str">
        <x:v>DP44-B</x:v>
      </x:c>
      <x:c r="B2420" s="12" t="str">
        <x:v>U18</x:v>
      </x:c>
      <x:c r="C2420" s="12" t="str">
        <x:v>first_chunk</x:v>
      </x:c>
      <x:c r="D2420" s="12" t="str">
        <x:v>같은 생성 job의 유효 첫 chunk 관측</x:v>
      </x:c>
      <x:c r="E2420" s="12" t="str">
        <x:v>via</x:v>
      </x:c>
      <x:c r="F2420" s="13" t="n">
        <x:v>1.51</x:v>
      </x:c>
      <x:c r="G2420" s="13" t="n">
        <x:v>1.9506666666666668</x:v>
      </x:c>
      <x:c r="H2420" s="13" t="n">
        <x:v>0.44066666666666665</x:v>
      </x:c>
      <x:c r="I2420" s="13" t="n">
        <x:v>0</x:v>
      </x:c>
      <x:c r="J2420" s="12" t="str">
        <x:v>question_arrival, adopt</x:v>
      </x:c>
      <x:c r="K2420" s="12" t="str">
        <x:v>none</x:v>
      </x:c>
      <x:c r="L2420" s="13" t="n">
        <x:f>IF(G2420&lt;=I2420,0,MAX(0,L2418,L2416)+IF(E2420="via",MAX(0,G2420-MAX(F2420,I2420)),0))</x:f>
        <x:v>1.9506666666666668</x:v>
      </x:c>
    </x:row>
    <x:row r="2421" ht="42" customHeight="1">
      <x:c r="A2421" s="7" t="str">
        <x:v>DP44-B</x:v>
      </x:c>
      <x:c r="B2421" s="7" t="str">
        <x:v>U18</x:v>
      </x:c>
      <x:c r="C2421" s="7" t="str">
        <x:v>first_audio_output</x:v>
      </x:c>
      <x:c r="D2421" s="7" t="str">
        <x:v>공통 장치의 첫 음성 출력</x:v>
      </x:c>
      <x:c r="E2421" s="7" t="str">
        <x:v>via</x:v>
      </x:c>
      <x:c r="F2421" s="14" t="n">
        <x:v>1.9506666666666668</x:v>
      </x:c>
      <x:c r="G2421" s="14" t="n">
        <x:v>1.9906666666666668</x:v>
      </x:c>
      <x:c r="H2421" s="14" t="n">
        <x:v>0.04</x:v>
      </x:c>
      <x:c r="I2421" s="14" t="n">
        <x:v>0</x:v>
      </x:c>
      <x:c r="J2421" s="7" t="str">
        <x:v>adopt, first_chunk</x:v>
      </x:c>
      <x:c r="K2421" s="7" t="str">
        <x:v>none</x:v>
      </x:c>
      <x:c r="L2421" s="14" t="n">
        <x:f>IF(G2421&lt;=I2421,0,MAX(0,L2416,L2420)+IF(E2421="via",MAX(0,G2421-MAX(F2421,I2421)),0))</x:f>
        <x:v>1.9906666666666668</x:v>
      </x:c>
    </x:row>
    <x:row r="2422" ht="42" customHeight="1">
      <x:c r="A2422" s="12" t="str">
        <x:v>DP44-B</x:v>
      </x:c>
      <x:c r="B2422" s="12" t="str">
        <x:v>U18</x:v>
      </x:c>
      <x:c r="C2422" s="12" t="str">
        <x:v>terminal</x:v>
      </x:c>
      <x:c r="D2422" s="12" t="str">
        <x:v>공통 목표 최종 상태와 전체 음성 준비</x:v>
      </x:c>
      <x:c r="E2422" s="12" t="str">
        <x:v>via</x:v>
      </x:c>
      <x:c r="F2422" s="13" t="n">
        <x:v>3.900666666666667</x:v>
      </x:c>
      <x:c r="G2422" s="13" t="n">
        <x:v>3.900666666666667</x:v>
      </x:c>
      <x:c r="H2422" s="13" t="n">
        <x:v>0</x:v>
      </x:c>
      <x:c r="I2422" s="13" t="n">
        <x:v>0</x:v>
      </x:c>
      <x:c r="J2422" s="12" t="str">
        <x:v>first_display, question_audio, first_audio_output</x:v>
      </x:c>
      <x:c r="K2422" s="12" t="str">
        <x:v>none</x:v>
      </x:c>
      <x:c r="L2422" s="13" t="n">
        <x:f>IF(G2422&lt;=I2422,0,MAX(0,L2417,L2419,L2421)+IF(E2422="via",MAX(0,G2422-MAX(F2422,I2422)),0))</x:f>
        <x:v>3.900666666666667</x:v>
      </x:c>
    </x:row>
    <x:row r="2423" ht="42" customHeight="1">
      <x:c r="A2423" s="7" t="str">
        <x:v>DP44-B</x:v>
      </x:c>
      <x:c r="B2423" s="7" t="str">
        <x:v>U19</x:v>
      </x:c>
      <x:c r="C2423" s="7" t="str">
        <x:v>input_end</x:v>
      </x:c>
      <x:c r="D2423" s="7" t="str">
        <x:v>사용자 입력 종료</x:v>
      </x:c>
      <x:c r="E2423" s="7" t="str">
        <x:v>external</x:v>
      </x:c>
      <x:c r="F2423" s="14" t="n">
        <x:v>0</x:v>
      </x:c>
      <x:c r="G2423" s="14" t="n">
        <x:v>0</x:v>
      </x:c>
      <x:c r="H2423" s="14" t="n">
        <x:v>0</x:v>
      </x:c>
      <x:c r="I2423" s="14" t="n">
        <x:v>0</x:v>
      </x:c>
      <x:c r="J2423" s="7" t="str"/>
      <x:c r="K2423" s="7" t="str">
        <x:v>none</x:v>
      </x:c>
      <x:c r="L2423" s="14" t="n">
        <x:f>IF(G2423&lt;=I2423,0,MAX(0)+IF(E2423="via",MAX(0,G2423-MAX(F2423,I2423)),0))</x:f>
        <x:v>0</x:v>
      </x:c>
    </x:row>
    <x:row r="2424" ht="42" customHeight="1">
      <x:c r="A2424" s="12" t="str">
        <x:v>DP44-B</x:v>
      </x:c>
      <x:c r="B2424" s="12" t="str">
        <x:v>U19</x:v>
      </x:c>
      <x:c r="C2424" s="12" t="str">
        <x:v>intake</x:v>
      </x:c>
      <x:c r="D2424" s="12" t="str">
        <x:v>입력 확정</x:v>
      </x:c>
      <x:c r="E2424" s="12" t="str">
        <x:v>via</x:v>
      </x:c>
      <x:c r="F2424" s="13" t="n">
        <x:v>0</x:v>
      </x:c>
      <x:c r="G2424" s="13" t="n">
        <x:v>0.3</x:v>
      </x:c>
      <x:c r="H2424" s="13" t="n">
        <x:v>0.3</x:v>
      </x:c>
      <x:c r="I2424" s="13" t="n">
        <x:v>0</x:v>
      </x:c>
      <x:c r="J2424" s="12" t="str">
        <x:v>input_end</x:v>
      </x:c>
      <x:c r="K2424" s="12" t="str">
        <x:v>none</x:v>
      </x:c>
      <x:c r="L2424" s="13" t="n">
        <x:f>IF(G2424&lt;=I2424,0,MAX(0,L2423)+IF(E2424="via",MAX(0,G2424-MAX(F2424,I2424)),0))</x:f>
        <x:v>0.3</x:v>
      </x:c>
    </x:row>
    <x:row r="2425" ht="42" customHeight="1">
      <x:c r="A2425" s="7" t="str">
        <x:v>DP44-B</x:v>
      </x:c>
      <x:c r="B2425" s="7" t="str">
        <x:v>U19</x:v>
      </x:c>
      <x:c r="C2425" s="7" t="str">
        <x:v>read</x:v>
      </x:c>
      <x:c r="D2425" s="7" t="str">
        <x:v>공통 허용 원본 조회</x:v>
      </x:c>
      <x:c r="E2425" s="7" t="str">
        <x:v>via</x:v>
      </x:c>
      <x:c r="F2425" s="14" t="n">
        <x:v>0.3</x:v>
      </x:c>
      <x:c r="G2425" s="14" t="n">
        <x:v>0.38</x:v>
      </x:c>
      <x:c r="H2425" s="14" t="n">
        <x:v>0.08</x:v>
      </x:c>
      <x:c r="I2425" s="14" t="n">
        <x:v>0</x:v>
      </x:c>
      <x:c r="J2425" s="7" t="str">
        <x:v>intake</x:v>
      </x:c>
      <x:c r="K2425" s="7" t="str">
        <x:v>none</x:v>
      </x:c>
      <x:c r="L2425" s="14" t="n">
        <x:f>IF(G2425&lt;=I2425,0,MAX(0,L2424)+IF(E2425="via",MAX(0,G2425-MAX(F2425,I2425)),0))</x:f>
        <x:v>0.38</x:v>
      </x:c>
    </x:row>
    <x:row r="2426" ht="42" customHeight="1">
      <x:c r="A2426" s="12" t="str">
        <x:v>DP44-B</x:v>
      </x:c>
      <x:c r="B2426" s="12" t="str">
        <x:v>U19</x:v>
      </x:c>
      <x:c r="C2426" s="12" t="str">
        <x:v>meaning</x:v>
      </x:c>
      <x:c r="D2426" s="12" t="str">
        <x:v>최초 요청 의미 채택 packet 생성</x:v>
      </x:c>
      <x:c r="E2426" s="12" t="str">
        <x:v>via</x:v>
      </x:c>
      <x:c r="F2426" s="13" t="n">
        <x:v>0.38</x:v>
      </x:c>
      <x:c r="G2426" s="13" t="n">
        <x:v>1.48</x:v>
      </x:c>
      <x:c r="H2426" s="13" t="n">
        <x:v>1.1</x:v>
      </x:c>
      <x:c r="I2426" s="13" t="n">
        <x:v>0</x:v>
      </x:c>
      <x:c r="J2426" s="12" t="str">
        <x:v>read</x:v>
      </x:c>
      <x:c r="K2426" s="12" t="str">
        <x:v>semantic</x:v>
      </x:c>
      <x:c r="L2426" s="13" t="n">
        <x:f>IF(G2426&lt;=I2426,0,MAX(0,L2425)+IF(E2426="via",MAX(0,G2426-MAX(F2426,I2426)),0))</x:f>
        <x:v>1.48</x:v>
      </x:c>
    </x:row>
    <x:row r="2427" ht="42" customHeight="1">
      <x:c r="A2427" s="7" t="str">
        <x:v>DP44-B</x:v>
      </x:c>
      <x:c r="B2427" s="7" t="str">
        <x:v>U19</x:v>
      </x:c>
      <x:c r="C2427" s="7" t="str">
        <x:v>adopt</x:v>
      </x:c>
      <x:c r="D2427" s="7" t="str">
        <x:v>현재 revision과 권한 검사 및 채택</x:v>
      </x:c>
      <x:c r="E2427" s="7" t="str">
        <x:v>via</x:v>
      </x:c>
      <x:c r="F2427" s="14" t="n">
        <x:v>1.48</x:v>
      </x:c>
      <x:c r="G2427" s="14" t="n">
        <x:v>1.51</x:v>
      </x:c>
      <x:c r="H2427" s="14" t="n">
        <x:v>0.03</x:v>
      </x:c>
      <x:c r="I2427" s="14" t="n">
        <x:v>0</x:v>
      </x:c>
      <x:c r="J2427" s="7" t="str">
        <x:v>meaning</x:v>
      </x:c>
      <x:c r="K2427" s="7" t="str">
        <x:v>none</x:v>
      </x:c>
      <x:c r="L2427" s="14" t="n">
        <x:f>IF(G2427&lt;=I2427,0,MAX(0,L2426)+IF(E2427="via",MAX(0,G2427-MAX(F2427,I2427)),0))</x:f>
        <x:v>1.51</x:v>
      </x:c>
    </x:row>
    <x:row r="2428" ht="42" customHeight="1">
      <x:c r="A2428" s="12" t="str">
        <x:v>DP44-B</x:v>
      </x:c>
      <x:c r="B2428" s="12" t="str">
        <x:v>U19</x:v>
      </x:c>
      <x:c r="C2428" s="12" t="str">
        <x:v>first_display</x:v>
      </x:c>
      <x:c r="D2428" s="12" t="str">
        <x:v>첫 구체적 채택 내용 화면 표시</x:v>
      </x:c>
      <x:c r="E2428" s="12" t="str">
        <x:v>via</x:v>
      </x:c>
      <x:c r="F2428" s="13" t="n">
        <x:v>1.51</x:v>
      </x:c>
      <x:c r="G2428" s="13" t="n">
        <x:v>1.55</x:v>
      </x:c>
      <x:c r="H2428" s="13" t="n">
        <x:v>0.04</x:v>
      </x:c>
      <x:c r="I2428" s="13" t="n">
        <x:v>0</x:v>
      </x:c>
      <x:c r="J2428" s="12" t="str">
        <x:v>adopt</x:v>
      </x:c>
      <x:c r="K2428" s="12" t="str">
        <x:v>none</x:v>
      </x:c>
      <x:c r="L2428" s="13" t="n">
        <x:f>IF(G2428&lt;=I2428,0,MAX(0,L2427)+IF(E2428="via",MAX(0,G2428-MAX(F2428,I2428)),0))</x:f>
        <x:v>1.55</x:v>
      </x:c>
    </x:row>
    <x:row r="2429" ht="42" customHeight="1">
      <x:c r="A2429" s="7" t="str">
        <x:v>DP44-B</x:v>
      </x:c>
      <x:c r="B2429" s="7" t="str">
        <x:v>U19</x:v>
      </x:c>
      <x:c r="C2429" s="7" t="str">
        <x:v>question_arrival</x:v>
      </x:c>
      <x:c r="D2429" s="7" t="str">
        <x:v>Agent 질문 텍스트 도착</x:v>
      </x:c>
      <x:c r="E2429" s="7" t="str">
        <x:v>external</x:v>
      </x:c>
      <x:c r="F2429" s="14" t="n">
        <x:v>-0.5</x:v>
      </x:c>
      <x:c r="G2429" s="14" t="n">
        <x:v>-0.5</x:v>
      </x:c>
      <x:c r="H2429" s="14" t="n">
        <x:v>0</x:v>
      </x:c>
      <x:c r="I2429" s="14" t="n">
        <x:v>0</x:v>
      </x:c>
      <x:c r="J2429" s="7" t="str"/>
      <x:c r="K2429" s="7" t="str">
        <x:v>none</x:v>
      </x:c>
      <x:c r="L2429" s="14" t="n">
        <x:f>IF(G2429&lt;=I2429,0,MAX(0)+IF(E2429="via",MAX(0,G2429-MAX(F2429,I2429)),0))</x:f>
        <x:v>0</x:v>
      </x:c>
    </x:row>
    <x:row r="2430" ht="42" customHeight="1">
      <x:c r="A2430" s="12" t="str">
        <x:v>DP44-B</x:v>
      </x:c>
      <x:c r="B2430" s="12" t="str">
        <x:v>U19</x:v>
      </x:c>
      <x:c r="C2430" s="12" t="str">
        <x:v>question_audio</x:v>
      </x:c>
      <x:c r="D2430" s="12" t="str">
        <x:v>선택한 응답 음성 생성</x:v>
      </x:c>
      <x:c r="E2430" s="12" t="str">
        <x:v>via</x:v>
      </x:c>
      <x:c r="F2430" s="13" t="n">
        <x:v>1.51</x:v>
      </x:c>
      <x:c r="G2430" s="13" t="n">
        <x:v>3.3979999999999997</x:v>
      </x:c>
      <x:c r="H2430" s="13" t="n">
        <x:v>1.888</x:v>
      </x:c>
      <x:c r="I2430" s="13" t="n">
        <x:v>0</x:v>
      </x:c>
      <x:c r="J2430" s="12" t="str">
        <x:v>question_arrival, adopt</x:v>
      </x:c>
      <x:c r="K2430" s="12" t="str">
        <x:v>speech</x:v>
      </x:c>
      <x:c r="L2430" s="13" t="n">
        <x:f>IF(G2430&lt;=I2430,0,MAX(0,L2429,L2427)+IF(E2430="via",MAX(0,G2430-MAX(F2430,I2430)),0))</x:f>
        <x:v>3.3979999999999997</x:v>
      </x:c>
    </x:row>
    <x:row r="2431" ht="42" customHeight="1">
      <x:c r="A2431" s="7" t="str">
        <x:v>DP44-B</x:v>
      </x:c>
      <x:c r="B2431" s="7" t="str">
        <x:v>U19</x:v>
      </x:c>
      <x:c r="C2431" s="7" t="str">
        <x:v>old_audio</x:v>
      </x:c>
      <x:c r="D2431" s="7" t="str">
        <x:v>중단 전 설명 생성</x:v>
      </x:c>
      <x:c r="E2431" s="7" t="str">
        <x:v>via</x:v>
      </x:c>
      <x:c r="F2431" s="14" t="n">
        <x:v>-2</x:v>
      </x:c>
      <x:c r="G2431" s="14" t="n">
        <x:v>1.6100000000000003</x:v>
      </x:c>
      <x:c r="H2431" s="14" t="n">
        <x:v>3.6100000000000003</x:v>
      </x:c>
      <x:c r="I2431" s="14" t="n">
        <x:v>0</x:v>
      </x:c>
      <x:c r="J2431" s="7" t="str"/>
      <x:c r="K2431" s="7" t="str">
        <x:v>speech</x:v>
      </x:c>
      <x:c r="L2431" s="14" t="n">
        <x:f>IF(G2431&lt;=I2431,0,MAX(0)+IF(E2431="via",MAX(0,G2431-MAX(F2431,I2431)),0))</x:f>
        <x:v>1.6100000000000003</x:v>
      </x:c>
    </x:row>
    <x:row r="2432" ht="42" customHeight="1">
      <x:c r="A2432" s="12" t="str">
        <x:v>DP44-B</x:v>
      </x:c>
      <x:c r="B2432" s="12" t="str">
        <x:v>U19</x:v>
      </x:c>
      <x:c r="C2432" s="12" t="str">
        <x:v>first_chunk</x:v>
      </x:c>
      <x:c r="D2432" s="12" t="str">
        <x:v>같은 생성 job의 유효 첫 chunk 관측</x:v>
      </x:c>
      <x:c r="E2432" s="12" t="str">
        <x:v>via</x:v>
      </x:c>
      <x:c r="F2432" s="13" t="n">
        <x:v>1.51</x:v>
      </x:c>
      <x:c r="G2432" s="13" t="n">
        <x:v>1.948</x:v>
      </x:c>
      <x:c r="H2432" s="13" t="n">
        <x:v>0.438</x:v>
      </x:c>
      <x:c r="I2432" s="13" t="n">
        <x:v>0</x:v>
      </x:c>
      <x:c r="J2432" s="12" t="str">
        <x:v>question_arrival, adopt</x:v>
      </x:c>
      <x:c r="K2432" s="12" t="str">
        <x:v>none</x:v>
      </x:c>
      <x:c r="L2432" s="13" t="n">
        <x:f>IF(G2432&lt;=I2432,0,MAX(0,L2429,L2427)+IF(E2432="via",MAX(0,G2432-MAX(F2432,I2432)),0))</x:f>
        <x:v>1.948</x:v>
      </x:c>
    </x:row>
    <x:row r="2433" ht="42" customHeight="1">
      <x:c r="A2433" s="7" t="str">
        <x:v>DP44-B</x:v>
      </x:c>
      <x:c r="B2433" s="7" t="str">
        <x:v>U19</x:v>
      </x:c>
      <x:c r="C2433" s="7" t="str">
        <x:v>first_audio_output</x:v>
      </x:c>
      <x:c r="D2433" s="7" t="str">
        <x:v>공통 장치의 첫 음성 출력</x:v>
      </x:c>
      <x:c r="E2433" s="7" t="str">
        <x:v>via</x:v>
      </x:c>
      <x:c r="F2433" s="14" t="n">
        <x:v>1.948</x:v>
      </x:c>
      <x:c r="G2433" s="14" t="n">
        <x:v>1.988</x:v>
      </x:c>
      <x:c r="H2433" s="14" t="n">
        <x:v>0.04</x:v>
      </x:c>
      <x:c r="I2433" s="14" t="n">
        <x:v>0</x:v>
      </x:c>
      <x:c r="J2433" s="7" t="str">
        <x:v>adopt, first_chunk</x:v>
      </x:c>
      <x:c r="K2433" s="7" t="str">
        <x:v>none</x:v>
      </x:c>
      <x:c r="L2433" s="14" t="n">
        <x:f>IF(G2433&lt;=I2433,0,MAX(0,L2427,L2432)+IF(E2433="via",MAX(0,G2433-MAX(F2433,I2433)),0))</x:f>
        <x:v>1.988</x:v>
      </x:c>
    </x:row>
    <x:row r="2434" ht="42" customHeight="1">
      <x:c r="A2434" s="12" t="str">
        <x:v>DP44-B</x:v>
      </x:c>
      <x:c r="B2434" s="12" t="str">
        <x:v>U19</x:v>
      </x:c>
      <x:c r="C2434" s="12" t="str">
        <x:v>question_play</x:v>
      </x:c>
      <x:c r="D2434" s="12" t="str">
        <x:v>첫 출력부터 질문 순수 재생 및 차례</x:v>
      </x:c>
      <x:c r="E2434" s="12" t="str">
        <x:v>external</x:v>
      </x:c>
      <x:c r="F2434" s="13" t="n">
        <x:v>1.988</x:v>
      </x:c>
      <x:c r="G2434" s="13" t="n">
        <x:v>7.9879999999999995</x:v>
      </x:c>
      <x:c r="H2434" s="13" t="n">
        <x:v>6</x:v>
      </x:c>
      <x:c r="I2434" s="13" t="n">
        <x:v>0</x:v>
      </x:c>
      <x:c r="J2434" s="12" t="str">
        <x:v>first_audio_output</x:v>
      </x:c>
      <x:c r="K2434" s="12" t="str">
        <x:v>none</x:v>
      </x:c>
      <x:c r="L2434" s="13" t="n">
        <x:f>IF(G2434&lt;=I2434,0,MAX(0,L2433)+IF(E2434="via",MAX(0,G2434-MAX(F2434,I2434)),0))</x:f>
        <x:v>1.988</x:v>
      </x:c>
    </x:row>
    <x:row r="2435" ht="42" customHeight="1">
      <x:c r="A2435" s="7" t="str">
        <x:v>DP44-B</x:v>
      </x:c>
      <x:c r="B2435" s="7" t="str">
        <x:v>U19</x:v>
      </x:c>
      <x:c r="C2435" s="7" t="str">
        <x:v>resume_tail</x:v>
      </x:c>
      <x:c r="D2435" s="7" t="str">
        <x:v>보존 buffer 뒤 미생성 후반만 생성</x:v>
      </x:c>
      <x:c r="E2435" s="7" t="str">
        <x:v>via</x:v>
      </x:c>
      <x:c r="F2435" s="14" t="n">
        <x:v>7.9879999999999995</x:v>
      </x:c>
      <x:c r="G2435" s="14" t="n">
        <x:v>14.237029333333332</x:v>
      </x:c>
      <x:c r="H2435" s="14" t="n">
        <x:v>6.249029333333333</x:v>
      </x:c>
      <x:c r="I2435" s="14" t="n">
        <x:v>0</x:v>
      </x:c>
      <x:c r="J2435" s="7" t="str">
        <x:v>question_play, old_audio</x:v>
      </x:c>
      <x:c r="K2435" s="7" t="str">
        <x:v>speech</x:v>
      </x:c>
      <x:c r="L2435" s="14" t="n">
        <x:f>IF(G2435&lt;=I2435,0,MAX(0,L2434,L2431)+IF(E2435="via",MAX(0,G2435-MAX(F2435,I2435)),0))</x:f>
        <x:v>8.237029333333332</x:v>
      </x:c>
    </x:row>
    <x:row r="2436" ht="42" customHeight="1">
      <x:c r="A2436" s="12" t="str">
        <x:v>DP44-B</x:v>
      </x:c>
      <x:c r="B2436" s="12" t="str">
        <x:v>U19</x:v>
      </x:c>
      <x:c r="C2436" s="12" t="str">
        <x:v>terminal</x:v>
      </x:c>
      <x:c r="D2436" s="12" t="str">
        <x:v>공통 목표 최종 상태와 전체 음성 준비</x:v>
      </x:c>
      <x:c r="E2436" s="12" t="str">
        <x:v>via</x:v>
      </x:c>
      <x:c r="F2436" s="13" t="n">
        <x:v>14.237029333333332</x:v>
      </x:c>
      <x:c r="G2436" s="13" t="n">
        <x:v>14.237029333333332</x:v>
      </x:c>
      <x:c r="H2436" s="13" t="n">
        <x:v>0</x:v>
      </x:c>
      <x:c r="I2436" s="13" t="n">
        <x:v>0</x:v>
      </x:c>
      <x:c r="J2436" s="12" t="str">
        <x:v>first_display, question_audio, first_audio_output, question_play, resume_tail</x:v>
      </x:c>
      <x:c r="K2436" s="12" t="str">
        <x:v>none</x:v>
      </x:c>
      <x:c r="L2436" s="13" t="n">
        <x:f>IF(G2436&lt;=I2436,0,MAX(0,L2428,L2430,L2433,L2434,L2435)+IF(E2436="via",MAX(0,G2436-MAX(F2436,I2436)),0))</x:f>
        <x:v>8.237029333333332</x:v>
      </x:c>
    </x:row>
    <x:row r="2437" ht="42" customHeight="1">
      <x:c r="A2437" s="7" t="str">
        <x:v>DP44-B</x:v>
      </x:c>
      <x:c r="B2437" s="7" t="str">
        <x:v>U20</x:v>
      </x:c>
      <x:c r="C2437" s="7" t="str">
        <x:v>input_end</x:v>
      </x:c>
      <x:c r="D2437" s="7" t="str">
        <x:v>사용자 입력 종료</x:v>
      </x:c>
      <x:c r="E2437" s="7" t="str">
        <x:v>external</x:v>
      </x:c>
      <x:c r="F2437" s="14" t="n">
        <x:v>0</x:v>
      </x:c>
      <x:c r="G2437" s="14" t="n">
        <x:v>0</x:v>
      </x:c>
      <x:c r="H2437" s="14" t="n">
        <x:v>0</x:v>
      </x:c>
      <x:c r="I2437" s="14" t="n">
        <x:v>0</x:v>
      </x:c>
      <x:c r="J2437" s="7" t="str"/>
      <x:c r="K2437" s="7" t="str">
        <x:v>none</x:v>
      </x:c>
      <x:c r="L2437" s="14" t="n">
        <x:f>IF(G2437&lt;=I2437,0,MAX(0)+IF(E2437="via",MAX(0,G2437-MAX(F2437,I2437)),0))</x:f>
        <x:v>0</x:v>
      </x:c>
    </x:row>
    <x:row r="2438" ht="42" customHeight="1">
      <x:c r="A2438" s="12" t="str">
        <x:v>DP44-B</x:v>
      </x:c>
      <x:c r="B2438" s="12" t="str">
        <x:v>U20</x:v>
      </x:c>
      <x:c r="C2438" s="12" t="str">
        <x:v>intake</x:v>
      </x:c>
      <x:c r="D2438" s="12" t="str">
        <x:v>입력 확정</x:v>
      </x:c>
      <x:c r="E2438" s="12" t="str">
        <x:v>via</x:v>
      </x:c>
      <x:c r="F2438" s="13" t="n">
        <x:v>0</x:v>
      </x:c>
      <x:c r="G2438" s="13" t="n">
        <x:v>0.3</x:v>
      </x:c>
      <x:c r="H2438" s="13" t="n">
        <x:v>0.3</x:v>
      </x:c>
      <x:c r="I2438" s="13" t="n">
        <x:v>0</x:v>
      </x:c>
      <x:c r="J2438" s="12" t="str">
        <x:v>input_end</x:v>
      </x:c>
      <x:c r="K2438" s="12" t="str">
        <x:v>none</x:v>
      </x:c>
      <x:c r="L2438" s="13" t="n">
        <x:f>IF(G2438&lt;=I2438,0,MAX(0,L2437)+IF(E2438="via",MAX(0,G2438-MAX(F2438,I2438)),0))</x:f>
        <x:v>0.3</x:v>
      </x:c>
    </x:row>
    <x:row r="2439" ht="42" customHeight="1">
      <x:c r="A2439" s="7" t="str">
        <x:v>DP44-B</x:v>
      </x:c>
      <x:c r="B2439" s="7" t="str">
        <x:v>U20</x:v>
      </x:c>
      <x:c r="C2439" s="7" t="str">
        <x:v>read</x:v>
      </x:c>
      <x:c r="D2439" s="7" t="str">
        <x:v>공통 허용 원본 조회</x:v>
      </x:c>
      <x:c r="E2439" s="7" t="str">
        <x:v>via</x:v>
      </x:c>
      <x:c r="F2439" s="14" t="n">
        <x:v>0.3</x:v>
      </x:c>
      <x:c r="G2439" s="14" t="n">
        <x:v>0.38</x:v>
      </x:c>
      <x:c r="H2439" s="14" t="n">
        <x:v>0.08</x:v>
      </x:c>
      <x:c r="I2439" s="14" t="n">
        <x:v>0</x:v>
      </x:c>
      <x:c r="J2439" s="7" t="str">
        <x:v>intake</x:v>
      </x:c>
      <x:c r="K2439" s="7" t="str">
        <x:v>none</x:v>
      </x:c>
      <x:c r="L2439" s="14" t="n">
        <x:f>IF(G2439&lt;=I2439,0,MAX(0,L2438)+IF(E2439="via",MAX(0,G2439-MAX(F2439,I2439)),0))</x:f>
        <x:v>0.38</x:v>
      </x:c>
    </x:row>
    <x:row r="2440" ht="42" customHeight="1">
      <x:c r="A2440" s="12" t="str">
        <x:v>DP44-B</x:v>
      </x:c>
      <x:c r="B2440" s="12" t="str">
        <x:v>U20</x:v>
      </x:c>
      <x:c r="C2440" s="12" t="str">
        <x:v>meaning</x:v>
      </x:c>
      <x:c r="D2440" s="12" t="str">
        <x:v>최초 요청 의미 채택 packet 생성</x:v>
      </x:c>
      <x:c r="E2440" s="12" t="str">
        <x:v>via</x:v>
      </x:c>
      <x:c r="F2440" s="13" t="n">
        <x:v>0.38</x:v>
      </x:c>
      <x:c r="G2440" s="13" t="n">
        <x:v>1.48</x:v>
      </x:c>
      <x:c r="H2440" s="13" t="n">
        <x:v>1.1</x:v>
      </x:c>
      <x:c r="I2440" s="13" t="n">
        <x:v>0</x:v>
      </x:c>
      <x:c r="J2440" s="12" t="str">
        <x:v>read</x:v>
      </x:c>
      <x:c r="K2440" s="12" t="str">
        <x:v>semantic</x:v>
      </x:c>
      <x:c r="L2440" s="13" t="n">
        <x:f>IF(G2440&lt;=I2440,0,MAX(0,L2439)+IF(E2440="via",MAX(0,G2440-MAX(F2440,I2440)),0))</x:f>
        <x:v>1.48</x:v>
      </x:c>
    </x:row>
    <x:row r="2441" ht="42" customHeight="1">
      <x:c r="A2441" s="7" t="str">
        <x:v>DP44-B</x:v>
      </x:c>
      <x:c r="B2441" s="7" t="str">
        <x:v>U20</x:v>
      </x:c>
      <x:c r="C2441" s="7" t="str">
        <x:v>adopt</x:v>
      </x:c>
      <x:c r="D2441" s="7" t="str">
        <x:v>현재 revision과 권한 검사 및 채택</x:v>
      </x:c>
      <x:c r="E2441" s="7" t="str">
        <x:v>via</x:v>
      </x:c>
      <x:c r="F2441" s="14" t="n">
        <x:v>1.48</x:v>
      </x:c>
      <x:c r="G2441" s="14" t="n">
        <x:v>1.51</x:v>
      </x:c>
      <x:c r="H2441" s="14" t="n">
        <x:v>0.03</x:v>
      </x:c>
      <x:c r="I2441" s="14" t="n">
        <x:v>0</x:v>
      </x:c>
      <x:c r="J2441" s="7" t="str">
        <x:v>meaning</x:v>
      </x:c>
      <x:c r="K2441" s="7" t="str">
        <x:v>none</x:v>
      </x:c>
      <x:c r="L2441" s="14" t="n">
        <x:f>IF(G2441&lt;=I2441,0,MAX(0,L2440)+IF(E2441="via",MAX(0,G2441-MAX(F2441,I2441)),0))</x:f>
        <x:v>1.51</x:v>
      </x:c>
    </x:row>
    <x:row r="2442" ht="42" customHeight="1">
      <x:c r="A2442" s="12" t="str">
        <x:v>DP44-B</x:v>
      </x:c>
      <x:c r="B2442" s="12" t="str">
        <x:v>U20</x:v>
      </x:c>
      <x:c r="C2442" s="12" t="str">
        <x:v>first_display</x:v>
      </x:c>
      <x:c r="D2442" s="12" t="str">
        <x:v>첫 구체적 채택 내용 화면 표시</x:v>
      </x:c>
      <x:c r="E2442" s="12" t="str">
        <x:v>via</x:v>
      </x:c>
      <x:c r="F2442" s="13" t="n">
        <x:v>1.51</x:v>
      </x:c>
      <x:c r="G2442" s="13" t="n">
        <x:v>1.55</x:v>
      </x:c>
      <x:c r="H2442" s="13" t="n">
        <x:v>0.04</x:v>
      </x:c>
      <x:c r="I2442" s="13" t="n">
        <x:v>0</x:v>
      </x:c>
      <x:c r="J2442" s="12" t="str">
        <x:v>adopt</x:v>
      </x:c>
      <x:c r="K2442" s="12" t="str">
        <x:v>none</x:v>
      </x:c>
      <x:c r="L2442" s="13" t="n">
        <x:f>IF(G2442&lt;=I2442,0,MAX(0,L2441)+IF(E2442="via",MAX(0,G2442-MAX(F2442,I2442)),0))</x:f>
        <x:v>1.55</x:v>
      </x:c>
    </x:row>
    <x:row r="2443" ht="42" customHeight="1">
      <x:c r="A2443" s="7" t="str">
        <x:v>DP44-B</x:v>
      </x:c>
      <x:c r="B2443" s="7" t="str">
        <x:v>U20</x:v>
      </x:c>
      <x:c r="C2443" s="7" t="str">
        <x:v>existing_audio</x:v>
      </x:c>
      <x:c r="D2443" s="7" t="str">
        <x:v>공통 유효 audio 초기 상태</x:v>
      </x:c>
      <x:c r="E2443" s="7" t="str">
        <x:v>external</x:v>
      </x:c>
      <x:c r="F2443" s="14" t="n">
        <x:v>-12</x:v>
      </x:c>
      <x:c r="G2443" s="14" t="n">
        <x:v>-12</x:v>
      </x:c>
      <x:c r="H2443" s="14" t="n">
        <x:v>0</x:v>
      </x:c>
      <x:c r="I2443" s="14" t="n">
        <x:v>0</x:v>
      </x:c>
      <x:c r="J2443" s="7" t="str"/>
      <x:c r="K2443" s="7" t="str">
        <x:v>none</x:v>
      </x:c>
      <x:c r="L2443" s="14" t="n">
        <x:f>IF(G2443&lt;=I2443,0,MAX(0)+IF(E2443="via",MAX(0,G2443-MAX(F2443,I2443)),0))</x:f>
        <x:v>0</x:v>
      </x:c>
    </x:row>
    <x:row r="2444" ht="42" customHeight="1">
      <x:c r="A2444" s="12" t="str">
        <x:v>DP44-B</x:v>
      </x:c>
      <x:c r="B2444" s="12" t="str">
        <x:v>U20</x:v>
      </x:c>
      <x:c r="C2444" s="12" t="str">
        <x:v>first_audio_output</x:v>
      </x:c>
      <x:c r="D2444" s="12" t="str">
        <x:v>공통 장치의 첫 음성 출력</x:v>
      </x:c>
      <x:c r="E2444" s="12" t="str">
        <x:v>via</x:v>
      </x:c>
      <x:c r="F2444" s="13" t="n">
        <x:v>1.51</x:v>
      </x:c>
      <x:c r="G2444" s="13" t="n">
        <x:v>1.55</x:v>
      </x:c>
      <x:c r="H2444" s="13" t="n">
        <x:v>0.04</x:v>
      </x:c>
      <x:c r="I2444" s="13" t="n">
        <x:v>0</x:v>
      </x:c>
      <x:c r="J2444" s="12" t="str">
        <x:v>adopt, existing_audio</x:v>
      </x:c>
      <x:c r="K2444" s="12" t="str">
        <x:v>none</x:v>
      </x:c>
      <x:c r="L2444" s="13" t="n">
        <x:f>IF(G2444&lt;=I2444,0,MAX(0,L2441,L2443)+IF(E2444="via",MAX(0,G2444-MAX(F2444,I2444)),0))</x:f>
        <x:v>1.55</x:v>
      </x:c>
    </x:row>
    <x:row r="2445" ht="42" customHeight="1">
      <x:c r="A2445" s="7" t="str">
        <x:v>DP44-B</x:v>
      </x:c>
      <x:c r="B2445" s="7" t="str">
        <x:v>U20</x:v>
      </x:c>
      <x:c r="C2445" s="7" t="str">
        <x:v>terminal</x:v>
      </x:c>
      <x:c r="D2445" s="7" t="str">
        <x:v>공통 목표 최종 상태와 전체 음성 준비</x:v>
      </x:c>
      <x:c r="E2445" s="7" t="str">
        <x:v>via</x:v>
      </x:c>
      <x:c r="F2445" s="14" t="n">
        <x:v>1.55</x:v>
      </x:c>
      <x:c r="G2445" s="14" t="n">
        <x:v>1.55</x:v>
      </x:c>
      <x:c r="H2445" s="14" t="n">
        <x:v>0</x:v>
      </x:c>
      <x:c r="I2445" s="14" t="n">
        <x:v>0</x:v>
      </x:c>
      <x:c r="J2445" s="7" t="str">
        <x:v>first_display, existing_audio, first_audio_output</x:v>
      </x:c>
      <x:c r="K2445" s="7" t="str">
        <x:v>none</x:v>
      </x:c>
      <x:c r="L2445" s="14" t="n">
        <x:f>IF(G2445&lt;=I2445,0,MAX(0,L2442,L2443,L2444)+IF(E2445="via",MAX(0,G2445-MAX(F2445,I2445)),0))</x:f>
        <x:v>1.55</x:v>
      </x:c>
    </x:row>
    <x:row r="2446" ht="42" customHeight="1">
      <x:c r="A2446" s="12" t="str">
        <x:v>DP44-B</x:v>
      </x:c>
      <x:c r="B2446" s="12" t="str">
        <x:v>U21</x:v>
      </x:c>
      <x:c r="C2446" s="12" t="str">
        <x:v>bg1</x:v>
      </x:c>
      <x:c r="D2446" s="12" t="str">
        <x:v>진행 중인 현재 대화의 의미 step</x:v>
      </x:c>
      <x:c r="E2446" s="12" t="str">
        <x:v>via</x:v>
      </x:c>
      <x:c r="F2446" s="13" t="n">
        <x:v>-1</x:v>
      </x:c>
      <x:c r="G2446" s="13" t="n">
        <x:v>2.4</x:v>
      </x:c>
      <x:c r="H2446" s="13" t="n">
        <x:v>3.4</x:v>
      </x:c>
      <x:c r="I2446" s="13" t="n">
        <x:v>0</x:v>
      </x:c>
      <x:c r="J2446" s="12" t="str"/>
      <x:c r="K2446" s="12" t="str">
        <x:v>semantic</x:v>
      </x:c>
      <x:c r="L2446" s="13" t="n">
        <x:f>IF(G2446&lt;=I2446,0,MAX(0)+IF(E2446="via",MAX(0,G2446-MAX(F2446,I2446)),0))</x:f>
        <x:v>2.4</x:v>
      </x:c>
    </x:row>
    <x:row r="2447" ht="42" customHeight="1">
      <x:c r="A2447" s="7" t="str">
        <x:v>DP44-B</x:v>
      </x:c>
      <x:c r="B2447" s="7" t="str">
        <x:v>U21</x:v>
      </x:c>
      <x:c r="C2447" s="7" t="str">
        <x:v>input_end</x:v>
      </x:c>
      <x:c r="D2447" s="7" t="str">
        <x:v>사용자 입력 종료</x:v>
      </x:c>
      <x:c r="E2447" s="7" t="str">
        <x:v>external</x:v>
      </x:c>
      <x:c r="F2447" s="14" t="n">
        <x:v>0</x:v>
      </x:c>
      <x:c r="G2447" s="14" t="n">
        <x:v>0</x:v>
      </x:c>
      <x:c r="H2447" s="14" t="n">
        <x:v>0</x:v>
      </x:c>
      <x:c r="I2447" s="14" t="n">
        <x:v>0</x:v>
      </x:c>
      <x:c r="J2447" s="7" t="str"/>
      <x:c r="K2447" s="7" t="str">
        <x:v>none</x:v>
      </x:c>
      <x:c r="L2447" s="14" t="n">
        <x:f>IF(G2447&lt;=I2447,0,MAX(0)+IF(E2447="via",MAX(0,G2447-MAX(F2447,I2447)),0))</x:f>
        <x:v>0</x:v>
      </x:c>
    </x:row>
    <x:row r="2448" ht="42" customHeight="1">
      <x:c r="A2448" s="12" t="str">
        <x:v>DP44-B</x:v>
      </x:c>
      <x:c r="B2448" s="12" t="str">
        <x:v>U21</x:v>
      </x:c>
      <x:c r="C2448" s="12" t="str">
        <x:v>intake</x:v>
      </x:c>
      <x:c r="D2448" s="12" t="str">
        <x:v>입력 확정</x:v>
      </x:c>
      <x:c r="E2448" s="12" t="str">
        <x:v>via</x:v>
      </x:c>
      <x:c r="F2448" s="13" t="n">
        <x:v>0</x:v>
      </x:c>
      <x:c r="G2448" s="13" t="n">
        <x:v>0.3</x:v>
      </x:c>
      <x:c r="H2448" s="13" t="n">
        <x:v>0.3</x:v>
      </x:c>
      <x:c r="I2448" s="13" t="n">
        <x:v>0</x:v>
      </x:c>
      <x:c r="J2448" s="12" t="str">
        <x:v>input_end</x:v>
      </x:c>
      <x:c r="K2448" s="12" t="str">
        <x:v>none</x:v>
      </x:c>
      <x:c r="L2448" s="13" t="n">
        <x:f>IF(G2448&lt;=I2448,0,MAX(0,L2447)+IF(E2448="via",MAX(0,G2448-MAX(F2448,I2448)),0))</x:f>
        <x:v>0.3</x:v>
      </x:c>
    </x:row>
    <x:row r="2449" ht="42" customHeight="1">
      <x:c r="A2449" s="7" t="str">
        <x:v>DP44-B</x:v>
      </x:c>
      <x:c r="B2449" s="7" t="str">
        <x:v>U21</x:v>
      </x:c>
      <x:c r="C2449" s="7" t="str">
        <x:v>read</x:v>
      </x:c>
      <x:c r="D2449" s="7" t="str">
        <x:v>공통 허용 원본 조회</x:v>
      </x:c>
      <x:c r="E2449" s="7" t="str">
        <x:v>via</x:v>
      </x:c>
      <x:c r="F2449" s="14" t="n">
        <x:v>0.3</x:v>
      </x:c>
      <x:c r="G2449" s="14" t="n">
        <x:v>0.38</x:v>
      </x:c>
      <x:c r="H2449" s="14" t="n">
        <x:v>0.08</x:v>
      </x:c>
      <x:c r="I2449" s="14" t="n">
        <x:v>0</x:v>
      </x:c>
      <x:c r="J2449" s="7" t="str">
        <x:v>intake</x:v>
      </x:c>
      <x:c r="K2449" s="7" t="str">
        <x:v>none</x:v>
      </x:c>
      <x:c r="L2449" s="14" t="n">
        <x:f>IF(G2449&lt;=I2449,0,MAX(0,L2448)+IF(E2449="via",MAX(0,G2449-MAX(F2449,I2449)),0))</x:f>
        <x:v>0.38</x:v>
      </x:c>
    </x:row>
    <x:row r="2450" ht="42" customHeight="1">
      <x:c r="A2450" s="12" t="str">
        <x:v>DP44-B</x:v>
      </x:c>
      <x:c r="B2450" s="12" t="str">
        <x:v>U21</x:v>
      </x:c>
      <x:c r="C2450" s="12" t="str">
        <x:v>meaning</x:v>
      </x:c>
      <x:c r="D2450" s="12" t="str">
        <x:v>최초 요청 의미 채택 packet 생성</x:v>
      </x:c>
      <x:c r="E2450" s="12" t="str">
        <x:v>via</x:v>
      </x:c>
      <x:c r="F2450" s="13" t="n">
        <x:v>2.4</x:v>
      </x:c>
      <x:c r="G2450" s="13" t="n">
        <x:v>4.2</x:v>
      </x:c>
      <x:c r="H2450" s="13" t="n">
        <x:v>1.8</x:v>
      </x:c>
      <x:c r="I2450" s="13" t="n">
        <x:v>0</x:v>
      </x:c>
      <x:c r="J2450" s="12" t="str">
        <x:v>read, bg1</x:v>
      </x:c>
      <x:c r="K2450" s="12" t="str">
        <x:v>semantic</x:v>
      </x:c>
      <x:c r="L2450" s="13" t="n">
        <x:f>IF(G2450&lt;=I2450,0,MAX(0,L2449,L2446)+IF(E2450="via",MAX(0,G2450-MAX(F2450,I2450)),0))</x:f>
        <x:v>4.2</x:v>
      </x:c>
    </x:row>
    <x:row r="2451" ht="42" customHeight="1">
      <x:c r="A2451" s="7" t="str">
        <x:v>DP44-B</x:v>
      </x:c>
      <x:c r="B2451" s="7" t="str">
        <x:v>U21</x:v>
      </x:c>
      <x:c r="C2451" s="7" t="str">
        <x:v>adopt</x:v>
      </x:c>
      <x:c r="D2451" s="7" t="str">
        <x:v>현재 revision과 권한 검사 및 채택</x:v>
      </x:c>
      <x:c r="E2451" s="7" t="str">
        <x:v>via</x:v>
      </x:c>
      <x:c r="F2451" s="14" t="n">
        <x:v>4.2</x:v>
      </x:c>
      <x:c r="G2451" s="14" t="n">
        <x:v>4.23</x:v>
      </x:c>
      <x:c r="H2451" s="14" t="n">
        <x:v>0.03</x:v>
      </x:c>
      <x:c r="I2451" s="14" t="n">
        <x:v>0</x:v>
      </x:c>
      <x:c r="J2451" s="7" t="str">
        <x:v>meaning</x:v>
      </x:c>
      <x:c r="K2451" s="7" t="str">
        <x:v>none</x:v>
      </x:c>
      <x:c r="L2451" s="14" t="n">
        <x:f>IF(G2451&lt;=I2451,0,MAX(0,L2450)+IF(E2451="via",MAX(0,G2451-MAX(F2451,I2451)),0))</x:f>
        <x:v>4.23</x:v>
      </x:c>
    </x:row>
    <x:row r="2452" ht="42" customHeight="1">
      <x:c r="A2452" s="12" t="str">
        <x:v>DP44-B</x:v>
      </x:c>
      <x:c r="B2452" s="12" t="str">
        <x:v>U21</x:v>
      </x:c>
      <x:c r="C2452" s="12" t="str">
        <x:v>first_display</x:v>
      </x:c>
      <x:c r="D2452" s="12" t="str">
        <x:v>첫 구체적 채택 내용 화면 표시</x:v>
      </x:c>
      <x:c r="E2452" s="12" t="str">
        <x:v>via</x:v>
      </x:c>
      <x:c r="F2452" s="13" t="n">
        <x:v>4.23</x:v>
      </x:c>
      <x:c r="G2452" s="13" t="n">
        <x:v>4.2700000000000005</x:v>
      </x:c>
      <x:c r="H2452" s="13" t="n">
        <x:v>0.04</x:v>
      </x:c>
      <x:c r="I2452" s="13" t="n">
        <x:v>0</x:v>
      </x:c>
      <x:c r="J2452" s="12" t="str">
        <x:v>adopt</x:v>
      </x:c>
      <x:c r="K2452" s="12" t="str">
        <x:v>none</x:v>
      </x:c>
      <x:c r="L2452" s="13" t="n">
        <x:f>IF(G2452&lt;=I2452,0,MAX(0,L2451)+IF(E2452="via",MAX(0,G2452-MAX(F2452,I2452)),0))</x:f>
        <x:v>4.2700000000000005</x:v>
      </x:c>
    </x:row>
    <x:row r="2453" ht="42" customHeight="1">
      <x:c r="A2453" s="7" t="str">
        <x:v>DP44-B</x:v>
      </x:c>
      <x:c r="B2453" s="7" t="str">
        <x:v>U21</x:v>
      </x:c>
      <x:c r="C2453" s="7" t="str">
        <x:v>agent_ingress</x:v>
      </x:c>
      <x:c r="D2453" s="7" t="str">
        <x:v>Agent 요청 전송</x:v>
      </x:c>
      <x:c r="E2453" s="7" t="str">
        <x:v>via</x:v>
      </x:c>
      <x:c r="F2453" s="14" t="n">
        <x:v>4.23</x:v>
      </x:c>
      <x:c r="G2453" s="14" t="n">
        <x:v>4.2700000000000005</x:v>
      </x:c>
      <x:c r="H2453" s="14" t="n">
        <x:v>0.04</x:v>
      </x:c>
      <x:c r="I2453" s="14" t="n">
        <x:v>0</x:v>
      </x:c>
      <x:c r="J2453" s="7" t="str">
        <x:v>adopt</x:v>
      </x:c>
      <x:c r="K2453" s="7" t="str">
        <x:v>none</x:v>
      </x:c>
      <x:c r="L2453" s="14" t="n">
        <x:f>IF(G2453&lt;=I2453,0,MAX(0,L2451)+IF(E2453="via",MAX(0,G2453-MAX(F2453,I2453)),0))</x:f>
        <x:v>4.2700000000000005</x:v>
      </x:c>
    </x:row>
    <x:row r="2454" ht="42" customHeight="1">
      <x:c r="A2454" s="12" t="str">
        <x:v>DP44-B</x:v>
      </x:c>
      <x:c r="B2454" s="12" t="str">
        <x:v>U21</x:v>
      </x:c>
      <x:c r="C2454" s="12" t="str">
        <x:v>agent_result</x:v>
      </x:c>
      <x:c r="D2454" s="12" t="str">
        <x:v>외부 Agent 업무</x:v>
      </x:c>
      <x:c r="E2454" s="12" t="str">
        <x:v>external</x:v>
      </x:c>
      <x:c r="F2454" s="13" t="n">
        <x:v>4.2700000000000005</x:v>
      </x:c>
      <x:c r="G2454" s="13" t="n">
        <x:v>12.27</x:v>
      </x:c>
      <x:c r="H2454" s="13" t="n">
        <x:v>8</x:v>
      </x:c>
      <x:c r="I2454" s="13" t="n">
        <x:v>0</x:v>
      </x:c>
      <x:c r="J2454" s="12" t="str">
        <x:v>agent_ingress</x:v>
      </x:c>
      <x:c r="K2454" s="12" t="str">
        <x:v>none</x:v>
      </x:c>
      <x:c r="L2454" s="13" t="n">
        <x:f>IF(G2454&lt;=I2454,0,MAX(0,L2453)+IF(E2454="via",MAX(0,G2454-MAX(F2454,I2454)),0))</x:f>
        <x:v>4.2700000000000005</x:v>
      </x:c>
    </x:row>
    <x:row r="2455" ht="42" customHeight="1">
      <x:c r="A2455" s="7" t="str">
        <x:v>DP44-B</x:v>
      </x:c>
      <x:c r="B2455" s="7" t="str">
        <x:v>U21</x:v>
      </x:c>
      <x:c r="C2455" s="7" t="str">
        <x:v>result_display</x:v>
      </x:c>
      <x:c r="D2455" s="7" t="str">
        <x:v>최종 결과 상세 표시</x:v>
      </x:c>
      <x:c r="E2455" s="7" t="str">
        <x:v>via</x:v>
      </x:c>
      <x:c r="F2455" s="14" t="n">
        <x:v>12.27</x:v>
      </x:c>
      <x:c r="G2455" s="14" t="n">
        <x:v>12.309999999999999</x:v>
      </x:c>
      <x:c r="H2455" s="14" t="n">
        <x:v>0.04</x:v>
      </x:c>
      <x:c r="I2455" s="14" t="n">
        <x:v>0</x:v>
      </x:c>
      <x:c r="J2455" s="7" t="str">
        <x:v>agent_result</x:v>
      </x:c>
      <x:c r="K2455" s="7" t="str">
        <x:v>none</x:v>
      </x:c>
      <x:c r="L2455" s="14" t="n">
        <x:f>IF(G2455&lt;=I2455,0,MAX(0,L2454)+IF(E2455="via",MAX(0,G2455-MAX(F2455,I2455)),0))</x:f>
        <x:v>4.31</x:v>
      </x:c>
    </x:row>
    <x:row r="2456" ht="42" customHeight="1">
      <x:c r="A2456" s="12" t="str">
        <x:v>DP44-B</x:v>
      </x:c>
      <x:c r="B2456" s="12" t="str">
        <x:v>U21</x:v>
      </x:c>
      <x:c r="C2456" s="12" t="str">
        <x:v>response_audio</x:v>
      </x:c>
      <x:c r="D2456" s="12" t="str">
        <x:v>선택한 응답 음성 생성</x:v>
      </x:c>
      <x:c r="E2456" s="12" t="str">
        <x:v>via</x:v>
      </x:c>
      <x:c r="F2456" s="13" t="n">
        <x:v>12.27</x:v>
      </x:c>
      <x:c r="G2456" s="13" t="n">
        <x:v>14.158</x:v>
      </x:c>
      <x:c r="H2456" s="13" t="n">
        <x:v>1.888</x:v>
      </x:c>
      <x:c r="I2456" s="13" t="n">
        <x:v>0</x:v>
      </x:c>
      <x:c r="J2456" s="12" t="str">
        <x:v>agent_result, adopt, next_speech_selection</x:v>
      </x:c>
      <x:c r="K2456" s="12" t="str">
        <x:v>speech</x:v>
      </x:c>
      <x:c r="L2456" s="13" t="n">
        <x:f>IF(G2456&lt;=I2456,0,MAX(0,L2454,L2451,L2460)+IF(E2456="via",MAX(0,G2456-MAX(F2456,I2456)),0))</x:f>
        <x:v>6.5920000000000005</x:v>
      </x:c>
    </x:row>
    <x:row r="2457" ht="42" customHeight="1">
      <x:c r="A2457" s="7" t="str">
        <x:v>DP44-B</x:v>
      </x:c>
      <x:c r="B2457" s="7" t="str">
        <x:v>U21</x:v>
      </x:c>
      <x:c r="C2457" s="7" t="str">
        <x:v>intent_audio</x:v>
      </x:c>
      <x:c r="D2457" s="7" t="str">
        <x:v>채택한 구체적 수행 의도의 짧은 음성</x:v>
      </x:c>
      <x:c r="E2457" s="7" t="str">
        <x:v>via</x:v>
      </x:c>
      <x:c r="F2457" s="14" t="n">
        <x:v>4.23</x:v>
      </x:c>
      <x:c r="G2457" s="14" t="n">
        <x:v>5.364000000000001</x:v>
      </x:c>
      <x:c r="H2457" s="14" t="n">
        <x:v>1.134</x:v>
      </x:c>
      <x:c r="I2457" s="14" t="n">
        <x:v>0</x:v>
      </x:c>
      <x:c r="J2457" s="7" t="str">
        <x:v>adopt</x:v>
      </x:c>
      <x:c r="K2457" s="7" t="str">
        <x:v>speech</x:v>
      </x:c>
      <x:c r="L2457" s="14" t="n">
        <x:f>IF(G2457&lt;=I2457,0,MAX(0,L2451)+IF(E2457="via",MAX(0,G2457-MAX(F2457,I2457)),0))</x:f>
        <x:v>5.364000000000001</x:v>
      </x:c>
    </x:row>
    <x:row r="2458" ht="42" customHeight="1">
      <x:c r="A2458" s="12" t="str">
        <x:v>DP44-B</x:v>
      </x:c>
      <x:c r="B2458" s="12" t="str">
        <x:v>U21</x:v>
      </x:c>
      <x:c r="C2458" s="12" t="str">
        <x:v>first_chunk</x:v>
      </x:c>
      <x:c r="D2458" s="12" t="str">
        <x:v>같은 생성 job의 유효 첫 chunk 관측</x:v>
      </x:c>
      <x:c r="E2458" s="12" t="str">
        <x:v>via</x:v>
      </x:c>
      <x:c r="F2458" s="13" t="n">
        <x:v>4.23</x:v>
      </x:c>
      <x:c r="G2458" s="13" t="n">
        <x:v>4.664000000000001</x:v>
      </x:c>
      <x:c r="H2458" s="13" t="n">
        <x:v>0.434</x:v>
      </x:c>
      <x:c r="I2458" s="13" t="n">
        <x:v>0</x:v>
      </x:c>
      <x:c r="J2458" s="12" t="str">
        <x:v>adopt</x:v>
      </x:c>
      <x:c r="K2458" s="12" t="str">
        <x:v>none</x:v>
      </x:c>
      <x:c r="L2458" s="13" t="n">
        <x:f>IF(G2458&lt;=I2458,0,MAX(0,L2451)+IF(E2458="via",MAX(0,G2458-MAX(F2458,I2458)),0))</x:f>
        <x:v>4.664000000000001</x:v>
      </x:c>
    </x:row>
    <x:row r="2459" ht="42" customHeight="1">
      <x:c r="A2459" s="7" t="str">
        <x:v>DP44-B</x:v>
      </x:c>
      <x:c r="B2459" s="7" t="str">
        <x:v>U21</x:v>
      </x:c>
      <x:c r="C2459" s="7" t="str">
        <x:v>first_audio_output</x:v>
      </x:c>
      <x:c r="D2459" s="7" t="str">
        <x:v>공통 장치의 첫 음성 출력</x:v>
      </x:c>
      <x:c r="E2459" s="7" t="str">
        <x:v>via</x:v>
      </x:c>
      <x:c r="F2459" s="14" t="n">
        <x:v>4.664000000000001</x:v>
      </x:c>
      <x:c r="G2459" s="14" t="n">
        <x:v>4.704000000000001</x:v>
      </x:c>
      <x:c r="H2459" s="14" t="n">
        <x:v>0.04</x:v>
      </x:c>
      <x:c r="I2459" s="14" t="n">
        <x:v>0</x:v>
      </x:c>
      <x:c r="J2459" s="7" t="str">
        <x:v>adopt, first_chunk</x:v>
      </x:c>
      <x:c r="K2459" s="7" t="str">
        <x:v>none</x:v>
      </x:c>
      <x:c r="L2459" s="14" t="n">
        <x:f>IF(G2459&lt;=I2459,0,MAX(0,L2451,L2458)+IF(E2459="via",MAX(0,G2459-MAX(F2459,I2459)),0))</x:f>
        <x:v>4.704000000000001</x:v>
      </x:c>
    </x:row>
    <x:row r="2460" ht="42" customHeight="1">
      <x:c r="A2460" s="12" t="str">
        <x:v>DP44-B</x:v>
      </x:c>
      <x:c r="B2460" s="12" t="str">
        <x:v>U21</x:v>
      </x:c>
      <x:c r="C2460" s="12" t="str">
        <x:v>next_speech_selection</x:v>
      </x:c>
      <x:c r="D2460" s="12" t="str">
        <x:v>현재 발화 재생 후 다음 응답 선택</x:v>
      </x:c>
      <x:c r="E2460" s="12" t="str">
        <x:v>external</x:v>
      </x:c>
      <x:c r="F2460" s="13" t="n">
        <x:v>4.704000000000001</x:v>
      </x:c>
      <x:c r="G2460" s="13" t="n">
        <x:v>7.704000000000001</x:v>
      </x:c>
      <x:c r="H2460" s="13" t="n">
        <x:v>3</x:v>
      </x:c>
      <x:c r="I2460" s="13" t="n">
        <x:v>0</x:v>
      </x:c>
      <x:c r="J2460" s="12" t="str">
        <x:v>first_audio_output</x:v>
      </x:c>
      <x:c r="K2460" s="12" t="str">
        <x:v>none</x:v>
      </x:c>
      <x:c r="L2460" s="13" t="n">
        <x:f>IF(G2460&lt;=I2460,0,MAX(0,L2459)+IF(E2460="via",MAX(0,G2460-MAX(F2460,I2460)),0))</x:f>
        <x:v>4.704000000000001</x:v>
      </x:c>
    </x:row>
    <x:row r="2461" ht="42" customHeight="1">
      <x:c r="A2461" s="7" t="str">
        <x:v>DP44-B</x:v>
      </x:c>
      <x:c r="B2461" s="7" t="str">
        <x:v>U21</x:v>
      </x:c>
      <x:c r="C2461" s="7" t="str">
        <x:v>terminal</x:v>
      </x:c>
      <x:c r="D2461" s="7" t="str">
        <x:v>공통 목표 최종 상태와 전체 음성 준비</x:v>
      </x:c>
      <x:c r="E2461" s="7" t="str">
        <x:v>via</x:v>
      </x:c>
      <x:c r="F2461" s="14" t="n">
        <x:v>14.158</x:v>
      </x:c>
      <x:c r="G2461" s="14" t="n">
        <x:v>14.158</x:v>
      </x:c>
      <x:c r="H2461" s="14" t="n">
        <x:v>0</x:v>
      </x:c>
      <x:c r="I2461" s="14" t="n">
        <x:v>0</x:v>
      </x:c>
      <x:c r="J2461" s="7" t="str">
        <x:v>result_display, response_audio, intent_audio, first_audio_output</x:v>
      </x:c>
      <x:c r="K2461" s="7" t="str">
        <x:v>none</x:v>
      </x:c>
      <x:c r="L2461" s="14" t="n">
        <x:f>IF(G2461&lt;=I2461,0,MAX(0,L2455,L2456,L2457,L2459)+IF(E2461="via",MAX(0,G2461-MAX(F2461,I2461)),0))</x:f>
        <x:v>6.5920000000000005</x:v>
      </x:c>
    </x:row>
    <x:row r="2462" ht="42" customHeight="1">
      <x:c r="A2462" s="12" t="str">
        <x:v>DP44-B</x:v>
      </x:c>
      <x:c r="B2462" s="12" t="str">
        <x:v>U22</x:v>
      </x:c>
      <x:c r="C2462" s="12" t="str">
        <x:v>input_end</x:v>
      </x:c>
      <x:c r="D2462" s="12" t="str">
        <x:v>사용자 입력 종료</x:v>
      </x:c>
      <x:c r="E2462" s="12" t="str">
        <x:v>external</x:v>
      </x:c>
      <x:c r="F2462" s="13" t="n">
        <x:v>0</x:v>
      </x:c>
      <x:c r="G2462" s="13" t="n">
        <x:v>0</x:v>
      </x:c>
      <x:c r="H2462" s="13" t="n">
        <x:v>0</x:v>
      </x:c>
      <x:c r="I2462" s="13" t="n">
        <x:v>0</x:v>
      </x:c>
      <x:c r="J2462" s="12" t="str"/>
      <x:c r="K2462" s="12" t="str">
        <x:v>none</x:v>
      </x:c>
      <x:c r="L2462" s="13" t="n">
        <x:f>IF(G2462&lt;=I2462,0,MAX(0)+IF(E2462="via",MAX(0,G2462-MAX(F2462,I2462)),0))</x:f>
        <x:v>0</x:v>
      </x:c>
    </x:row>
    <x:row r="2463" ht="42" customHeight="1">
      <x:c r="A2463" s="7" t="str">
        <x:v>DP44-B</x:v>
      </x:c>
      <x:c r="B2463" s="7" t="str">
        <x:v>U22</x:v>
      </x:c>
      <x:c r="C2463" s="7" t="str">
        <x:v>intake</x:v>
      </x:c>
      <x:c r="D2463" s="7" t="str">
        <x:v>입력 확정</x:v>
      </x:c>
      <x:c r="E2463" s="7" t="str">
        <x:v>via</x:v>
      </x:c>
      <x:c r="F2463" s="14" t="n">
        <x:v>0</x:v>
      </x:c>
      <x:c r="G2463" s="14" t="n">
        <x:v>0.3</x:v>
      </x:c>
      <x:c r="H2463" s="14" t="n">
        <x:v>0.3</x:v>
      </x:c>
      <x:c r="I2463" s="14" t="n">
        <x:v>0</x:v>
      </x:c>
      <x:c r="J2463" s="7" t="str">
        <x:v>input_end</x:v>
      </x:c>
      <x:c r="K2463" s="7" t="str">
        <x:v>none</x:v>
      </x:c>
      <x:c r="L2463" s="14" t="n">
        <x:f>IF(G2463&lt;=I2463,0,MAX(0,L2462)+IF(E2463="via",MAX(0,G2463-MAX(F2463,I2463)),0))</x:f>
        <x:v>0.3</x:v>
      </x:c>
    </x:row>
    <x:row r="2464" ht="42" customHeight="1">
      <x:c r="A2464" s="12" t="str">
        <x:v>DP44-B</x:v>
      </x:c>
      <x:c r="B2464" s="12" t="str">
        <x:v>U22</x:v>
      </x:c>
      <x:c r="C2464" s="12" t="str">
        <x:v>read</x:v>
      </x:c>
      <x:c r="D2464" s="12" t="str">
        <x:v>공통 허용 원본 조회</x:v>
      </x:c>
      <x:c r="E2464" s="12" t="str">
        <x:v>via</x:v>
      </x:c>
      <x:c r="F2464" s="13" t="n">
        <x:v>0.3</x:v>
      </x:c>
      <x:c r="G2464" s="13" t="n">
        <x:v>0.38</x:v>
      </x:c>
      <x:c r="H2464" s="13" t="n">
        <x:v>0.08</x:v>
      </x:c>
      <x:c r="I2464" s="13" t="n">
        <x:v>0</x:v>
      </x:c>
      <x:c r="J2464" s="12" t="str">
        <x:v>intake</x:v>
      </x:c>
      <x:c r="K2464" s="12" t="str">
        <x:v>none</x:v>
      </x:c>
      <x:c r="L2464" s="13" t="n">
        <x:f>IF(G2464&lt;=I2464,0,MAX(0,L2463)+IF(E2464="via",MAX(0,G2464-MAX(F2464,I2464)),0))</x:f>
        <x:v>0.38</x:v>
      </x:c>
    </x:row>
    <x:row r="2465" ht="42" customHeight="1">
      <x:c r="A2465" s="7" t="str">
        <x:v>DP44-B</x:v>
      </x:c>
      <x:c r="B2465" s="7" t="str">
        <x:v>U22</x:v>
      </x:c>
      <x:c r="C2465" s="7" t="str">
        <x:v>pre_raw</x:v>
      </x:c>
      <x:c r="D2465" s="7" t="str">
        <x:v>선행 원본 화면 해석</x:v>
      </x:c>
      <x:c r="E2465" s="7" t="str">
        <x:v>via</x:v>
      </x:c>
      <x:c r="F2465" s="14" t="n">
        <x:v>-12</x:v>
      </x:c>
      <x:c r="G2465" s="14" t="n">
        <x:v>-10.6</x:v>
      </x:c>
      <x:c r="H2465" s="14" t="n">
        <x:v>1.4000000000000001</x:v>
      </x:c>
      <x:c r="I2465" s="14" t="n">
        <x:v>0</x:v>
      </x:c>
      <x:c r="J2465" s="7" t="str"/>
      <x:c r="K2465" s="7" t="str">
        <x:v>semantic</x:v>
      </x:c>
      <x:c r="L2465" s="14" t="n">
        <x:f>IF(G2465&lt;=I2465,0,MAX(0)+IF(E2465="via",MAX(0,G2465-MAX(F2465,I2465)),0))</x:f>
        <x:v>0</x:v>
      </x:c>
    </x:row>
    <x:row r="2466" ht="42" customHeight="1">
      <x:c r="A2466" s="12" t="str">
        <x:v>DP44-B</x:v>
      </x:c>
      <x:c r="B2466" s="12" t="str">
        <x:v>U22</x:v>
      </x:c>
      <x:c r="C2466" s="12" t="str">
        <x:v>read_new_view</x:v>
      </x:c>
      <x:c r="D2466" s="12" t="str">
        <x:v>새 viewport 원본 조회</x:v>
      </x:c>
      <x:c r="E2466" s="12" t="str">
        <x:v>via</x:v>
      </x:c>
      <x:c r="F2466" s="13" t="n">
        <x:v>0.38</x:v>
      </x:c>
      <x:c r="G2466" s="13" t="n">
        <x:v>0.46</x:v>
      </x:c>
      <x:c r="H2466" s="13" t="n">
        <x:v>0.08</x:v>
      </x:c>
      <x:c r="I2466" s="13" t="n">
        <x:v>0</x:v>
      </x:c>
      <x:c r="J2466" s="12" t="str">
        <x:v>read, pre_raw</x:v>
      </x:c>
      <x:c r="K2466" s="12" t="str">
        <x:v>none</x:v>
      </x:c>
      <x:c r="L2466" s="13" t="n">
        <x:f>IF(G2466&lt;=I2466,0,MAX(0,L2464,L2465)+IF(E2466="via",MAX(0,G2466-MAX(F2466,I2466)),0))</x:f>
        <x:v>0.46</x:v>
      </x:c>
    </x:row>
    <x:row r="2467" ht="42" customHeight="1">
      <x:c r="A2467" s="7" t="str">
        <x:v>DP44-B</x:v>
      </x:c>
      <x:c r="B2467" s="7" t="str">
        <x:v>U22</x:v>
      </x:c>
      <x:c r="C2467" s="7" t="str">
        <x:v>meaning</x:v>
      </x:c>
      <x:c r="D2467" s="7" t="str">
        <x:v>최초 요청 의미 채택 packet 생성</x:v>
      </x:c>
      <x:c r="E2467" s="7" t="str">
        <x:v>via</x:v>
      </x:c>
      <x:c r="F2467" s="14" t="n">
        <x:v>0.46</x:v>
      </x:c>
      <x:c r="G2467" s="14" t="n">
        <x:v>1.86</x:v>
      </x:c>
      <x:c r="H2467" s="14" t="n">
        <x:v>1.4000000000000001</x:v>
      </x:c>
      <x:c r="I2467" s="14" t="n">
        <x:v>0</x:v>
      </x:c>
      <x:c r="J2467" s="7" t="str">
        <x:v>read_new_view</x:v>
      </x:c>
      <x:c r="K2467" s="7" t="str">
        <x:v>semantic</x:v>
      </x:c>
      <x:c r="L2467" s="14" t="n">
        <x:f>IF(G2467&lt;=I2467,0,MAX(0,L2466)+IF(E2467="via",MAX(0,G2467-MAX(F2467,I2467)),0))</x:f>
        <x:v>1.86</x:v>
      </x:c>
    </x:row>
    <x:row r="2468" ht="42" customHeight="1">
      <x:c r="A2468" s="12" t="str">
        <x:v>DP44-B</x:v>
      </x:c>
      <x:c r="B2468" s="12" t="str">
        <x:v>U22</x:v>
      </x:c>
      <x:c r="C2468" s="12" t="str">
        <x:v>adopt</x:v>
      </x:c>
      <x:c r="D2468" s="12" t="str">
        <x:v>현재 revision과 권한 검사 및 채택</x:v>
      </x:c>
      <x:c r="E2468" s="12" t="str">
        <x:v>via</x:v>
      </x:c>
      <x:c r="F2468" s="13" t="n">
        <x:v>1.86</x:v>
      </x:c>
      <x:c r="G2468" s="13" t="n">
        <x:v>1.8900000000000001</x:v>
      </x:c>
      <x:c r="H2468" s="13" t="n">
        <x:v>0.03</x:v>
      </x:c>
      <x:c r="I2468" s="13" t="n">
        <x:v>0</x:v>
      </x:c>
      <x:c r="J2468" s="12" t="str">
        <x:v>meaning</x:v>
      </x:c>
      <x:c r="K2468" s="12" t="str">
        <x:v>none</x:v>
      </x:c>
      <x:c r="L2468" s="13" t="n">
        <x:f>IF(G2468&lt;=I2468,0,MAX(0,L2467)+IF(E2468="via",MAX(0,G2468-MAX(F2468,I2468)),0))</x:f>
        <x:v>1.8900000000000001</x:v>
      </x:c>
    </x:row>
    <x:row r="2469" ht="42" customHeight="1">
      <x:c r="A2469" s="7" t="str">
        <x:v>DP44-B</x:v>
      </x:c>
      <x:c r="B2469" s="7" t="str">
        <x:v>U22</x:v>
      </x:c>
      <x:c r="C2469" s="7" t="str">
        <x:v>first_display</x:v>
      </x:c>
      <x:c r="D2469" s="7" t="str">
        <x:v>첫 구체적 채택 내용 화면 표시</x:v>
      </x:c>
      <x:c r="E2469" s="7" t="str">
        <x:v>via</x:v>
      </x:c>
      <x:c r="F2469" s="14" t="n">
        <x:v>1.8900000000000001</x:v>
      </x:c>
      <x:c r="G2469" s="14" t="n">
        <x:v>1.9300000000000002</x:v>
      </x:c>
      <x:c r="H2469" s="14" t="n">
        <x:v>0.04</x:v>
      </x:c>
      <x:c r="I2469" s="14" t="n">
        <x:v>0</x:v>
      </x:c>
      <x:c r="J2469" s="7" t="str">
        <x:v>adopt</x:v>
      </x:c>
      <x:c r="K2469" s="7" t="str">
        <x:v>none</x:v>
      </x:c>
      <x:c r="L2469" s="14" t="n">
        <x:f>IF(G2469&lt;=I2469,0,MAX(0,L2468)+IF(E2469="via",MAX(0,G2469-MAX(F2469,I2469)),0))</x:f>
        <x:v>1.9300000000000002</x:v>
      </x:c>
    </x:row>
    <x:row r="2470" ht="42" customHeight="1">
      <x:c r="A2470" s="12" t="str">
        <x:v>DP44-B</x:v>
      </x:c>
      <x:c r="B2470" s="12" t="str">
        <x:v>U22</x:v>
      </x:c>
      <x:c r="C2470" s="12" t="str">
        <x:v>agent_ingress</x:v>
      </x:c>
      <x:c r="D2470" s="12" t="str">
        <x:v>Agent 요청 전송</x:v>
      </x:c>
      <x:c r="E2470" s="12" t="str">
        <x:v>via</x:v>
      </x:c>
      <x:c r="F2470" s="13" t="n">
        <x:v>1.8900000000000001</x:v>
      </x:c>
      <x:c r="G2470" s="13" t="n">
        <x:v>1.9300000000000002</x:v>
      </x:c>
      <x:c r="H2470" s="13" t="n">
        <x:v>0.04</x:v>
      </x:c>
      <x:c r="I2470" s="13" t="n">
        <x:v>0</x:v>
      </x:c>
      <x:c r="J2470" s="12" t="str">
        <x:v>adopt</x:v>
      </x:c>
      <x:c r="K2470" s="12" t="str">
        <x:v>none</x:v>
      </x:c>
      <x:c r="L2470" s="13" t="n">
        <x:f>IF(G2470&lt;=I2470,0,MAX(0,L2468)+IF(E2470="via",MAX(0,G2470-MAX(F2470,I2470)),0))</x:f>
        <x:v>1.9300000000000002</x:v>
      </x:c>
    </x:row>
    <x:row r="2471" ht="42" customHeight="1">
      <x:c r="A2471" s="7" t="str">
        <x:v>DP44-B</x:v>
      </x:c>
      <x:c r="B2471" s="7" t="str">
        <x:v>U22</x:v>
      </x:c>
      <x:c r="C2471" s="7" t="str">
        <x:v>agent_result</x:v>
      </x:c>
      <x:c r="D2471" s="7" t="str">
        <x:v>외부 Agent 업무</x:v>
      </x:c>
      <x:c r="E2471" s="7" t="str">
        <x:v>external</x:v>
      </x:c>
      <x:c r="F2471" s="14" t="n">
        <x:v>1.9300000000000002</x:v>
      </x:c>
      <x:c r="G2471" s="14" t="n">
        <x:v>9.93</x:v>
      </x:c>
      <x:c r="H2471" s="14" t="n">
        <x:v>8</x:v>
      </x:c>
      <x:c r="I2471" s="14" t="n">
        <x:v>0</x:v>
      </x:c>
      <x:c r="J2471" s="7" t="str">
        <x:v>agent_ingress</x:v>
      </x:c>
      <x:c r="K2471" s="7" t="str">
        <x:v>none</x:v>
      </x:c>
      <x:c r="L2471" s="14" t="n">
        <x:f>IF(G2471&lt;=I2471,0,MAX(0,L2470)+IF(E2471="via",MAX(0,G2471-MAX(F2471,I2471)),0))</x:f>
        <x:v>1.9300000000000002</x:v>
      </x:c>
    </x:row>
    <x:row r="2472" ht="42" customHeight="1">
      <x:c r="A2472" s="12" t="str">
        <x:v>DP44-B</x:v>
      </x:c>
      <x:c r="B2472" s="12" t="str">
        <x:v>U22</x:v>
      </x:c>
      <x:c r="C2472" s="12" t="str">
        <x:v>result_display</x:v>
      </x:c>
      <x:c r="D2472" s="12" t="str">
        <x:v>최종 결과 상세 표시</x:v>
      </x:c>
      <x:c r="E2472" s="12" t="str">
        <x:v>via</x:v>
      </x:c>
      <x:c r="F2472" s="13" t="n">
        <x:v>9.93</x:v>
      </x:c>
      <x:c r="G2472" s="13" t="n">
        <x:v>9.969999999999999</x:v>
      </x:c>
      <x:c r="H2472" s="13" t="n">
        <x:v>0.04</x:v>
      </x:c>
      <x:c r="I2472" s="13" t="n">
        <x:v>0</x:v>
      </x:c>
      <x:c r="J2472" s="12" t="str">
        <x:v>agent_result</x:v>
      </x:c>
      <x:c r="K2472" s="12" t="str">
        <x:v>none</x:v>
      </x:c>
      <x:c r="L2472" s="13" t="n">
        <x:f>IF(G2472&lt;=I2472,0,MAX(0,L2471)+IF(E2472="via",MAX(0,G2472-MAX(F2472,I2472)),0))</x:f>
        <x:v>1.9699999999999993</x:v>
      </x:c>
    </x:row>
    <x:row r="2473" ht="42" customHeight="1">
      <x:c r="A2473" s="7" t="str">
        <x:v>DP44-B</x:v>
      </x:c>
      <x:c r="B2473" s="7" t="str">
        <x:v>U22</x:v>
      </x:c>
      <x:c r="C2473" s="7" t="str">
        <x:v>question_arrival</x:v>
      </x:c>
      <x:c r="D2473" s="7" t="str">
        <x:v>Agent 질문 텍스트 도착</x:v>
      </x:c>
      <x:c r="E2473" s="7" t="str">
        <x:v>external</x:v>
      </x:c>
      <x:c r="F2473" s="14" t="n">
        <x:v>-2</x:v>
      </x:c>
      <x:c r="G2473" s="14" t="n">
        <x:v>-2</x:v>
      </x:c>
      <x:c r="H2473" s="14" t="n">
        <x:v>0</x:v>
      </x:c>
      <x:c r="I2473" s="14" t="n">
        <x:v>0</x:v>
      </x:c>
      <x:c r="J2473" s="7" t="str"/>
      <x:c r="K2473" s="7" t="str">
        <x:v>none</x:v>
      </x:c>
      <x:c r="L2473" s="14" t="n">
        <x:f>IF(G2473&lt;=I2473,0,MAX(0)+IF(E2473="via",MAX(0,G2473-MAX(F2473,I2473)),0))</x:f>
        <x:v>0</x:v>
      </x:c>
    </x:row>
    <x:row r="2474" ht="42" customHeight="1">
      <x:c r="A2474" s="12" t="str">
        <x:v>DP44-B</x:v>
      </x:c>
      <x:c r="B2474" s="12" t="str">
        <x:v>U22</x:v>
      </x:c>
      <x:c r="C2474" s="12" t="str">
        <x:v>question_audio</x:v>
      </x:c>
      <x:c r="D2474" s="12" t="str">
        <x:v>선택한 응답 음성 생성</x:v>
      </x:c>
      <x:c r="E2474" s="12" t="str">
        <x:v>via</x:v>
      </x:c>
      <x:c r="F2474" s="13" t="n">
        <x:v>1.8900000000000001</x:v>
      </x:c>
      <x:c r="G2474" s="13" t="n">
        <x:v>3.778</x:v>
      </x:c>
      <x:c r="H2474" s="13" t="n">
        <x:v>1.888</x:v>
      </x:c>
      <x:c r="I2474" s="13" t="n">
        <x:v>0</x:v>
      </x:c>
      <x:c r="J2474" s="12" t="str">
        <x:v>question_arrival, adopt</x:v>
      </x:c>
      <x:c r="K2474" s="12" t="str">
        <x:v>speech</x:v>
      </x:c>
      <x:c r="L2474" s="13" t="n">
        <x:f>IF(G2474&lt;=I2474,0,MAX(0,L2473,L2468)+IF(E2474="via",MAX(0,G2474-MAX(F2474,I2474)),0))</x:f>
        <x:v>3.778</x:v>
      </x:c>
    </x:row>
    <x:row r="2475" ht="42" customHeight="1">
      <x:c r="A2475" s="7" t="str">
        <x:v>DP44-B</x:v>
      </x:c>
      <x:c r="B2475" s="7" t="str">
        <x:v>U22</x:v>
      </x:c>
      <x:c r="C2475" s="7" t="str">
        <x:v>final_result_audio</x:v>
      </x:c>
      <x:c r="D2475" s="7" t="str">
        <x:v>새 업무 최종 결과 음성 준비</x:v>
      </x:c>
      <x:c r="E2475" s="7" t="str">
        <x:v>via</x:v>
      </x:c>
      <x:c r="F2475" s="14" t="n">
        <x:v>9.93</x:v>
      </x:c>
      <x:c r="G2475" s="14" t="n">
        <x:v>11.818</x:v>
      </x:c>
      <x:c r="H2475" s="14" t="n">
        <x:v>1.888</x:v>
      </x:c>
      <x:c r="I2475" s="14" t="n">
        <x:v>0</x:v>
      </x:c>
      <x:c r="J2475" s="7" t="str">
        <x:v>agent_result, next_speech_selection</x:v>
      </x:c>
      <x:c r="K2475" s="7" t="str">
        <x:v>speech</x:v>
      </x:c>
      <x:c r="L2475" s="14" t="n">
        <x:f>IF(G2475&lt;=I2475,0,MAX(0,L2471,L2478)+IF(E2475="via",MAX(0,G2475-MAX(F2475,I2475)),0))</x:f>
        <x:v>4.256</x:v>
      </x:c>
    </x:row>
    <x:row r="2476" ht="42" customHeight="1">
      <x:c r="A2476" s="12" t="str">
        <x:v>DP44-B</x:v>
      </x:c>
      <x:c r="B2476" s="12" t="str">
        <x:v>U22</x:v>
      </x:c>
      <x:c r="C2476" s="12" t="str">
        <x:v>first_chunk</x:v>
      </x:c>
      <x:c r="D2476" s="12" t="str">
        <x:v>같은 생성 job의 유효 첫 chunk 관측</x:v>
      </x:c>
      <x:c r="E2476" s="12" t="str">
        <x:v>via</x:v>
      </x:c>
      <x:c r="F2476" s="13" t="n">
        <x:v>1.8900000000000001</x:v>
      </x:c>
      <x:c r="G2476" s="13" t="n">
        <x:v>2.3280000000000003</x:v>
      </x:c>
      <x:c r="H2476" s="13" t="n">
        <x:v>0.438</x:v>
      </x:c>
      <x:c r="I2476" s="13" t="n">
        <x:v>0</x:v>
      </x:c>
      <x:c r="J2476" s="12" t="str">
        <x:v>question_arrival, adopt</x:v>
      </x:c>
      <x:c r="K2476" s="12" t="str">
        <x:v>none</x:v>
      </x:c>
      <x:c r="L2476" s="13" t="n">
        <x:f>IF(G2476&lt;=I2476,0,MAX(0,L2473,L2468)+IF(E2476="via",MAX(0,G2476-MAX(F2476,I2476)),0))</x:f>
        <x:v>2.3280000000000003</x:v>
      </x:c>
    </x:row>
    <x:row r="2477" ht="42" customHeight="1">
      <x:c r="A2477" s="7" t="str">
        <x:v>DP44-B</x:v>
      </x:c>
      <x:c r="B2477" s="7" t="str">
        <x:v>U22</x:v>
      </x:c>
      <x:c r="C2477" s="7" t="str">
        <x:v>first_audio_output</x:v>
      </x:c>
      <x:c r="D2477" s="7" t="str">
        <x:v>공통 장치의 첫 음성 출력</x:v>
      </x:c>
      <x:c r="E2477" s="7" t="str">
        <x:v>via</x:v>
      </x:c>
      <x:c r="F2477" s="14" t="n">
        <x:v>2.3280000000000003</x:v>
      </x:c>
      <x:c r="G2477" s="14" t="n">
        <x:v>2.3680000000000003</x:v>
      </x:c>
      <x:c r="H2477" s="14" t="n">
        <x:v>0.04</x:v>
      </x:c>
      <x:c r="I2477" s="14" t="n">
        <x:v>0</x:v>
      </x:c>
      <x:c r="J2477" s="7" t="str">
        <x:v>adopt, first_chunk</x:v>
      </x:c>
      <x:c r="K2477" s="7" t="str">
        <x:v>none</x:v>
      </x:c>
      <x:c r="L2477" s="14" t="n">
        <x:f>IF(G2477&lt;=I2477,0,MAX(0,L2468,L2476)+IF(E2477="via",MAX(0,G2477-MAX(F2477,I2477)),0))</x:f>
        <x:v>2.3680000000000003</x:v>
      </x:c>
    </x:row>
    <x:row r="2478" ht="42" customHeight="1">
      <x:c r="A2478" s="12" t="str">
        <x:v>DP44-B</x:v>
      </x:c>
      <x:c r="B2478" s="12" t="str">
        <x:v>U22</x:v>
      </x:c>
      <x:c r="C2478" s="12" t="str">
        <x:v>next_speech_selection</x:v>
      </x:c>
      <x:c r="D2478" s="12" t="str">
        <x:v>현재 발화 재생 후 다음 응답 선택</x:v>
      </x:c>
      <x:c r="E2478" s="12" t="str">
        <x:v>external</x:v>
      </x:c>
      <x:c r="F2478" s="13" t="n">
        <x:v>2.3680000000000003</x:v>
      </x:c>
      <x:c r="G2478" s="13" t="n">
        <x:v>8.368</x:v>
      </x:c>
      <x:c r="H2478" s="13" t="n">
        <x:v>6</x:v>
      </x:c>
      <x:c r="I2478" s="13" t="n">
        <x:v>0</x:v>
      </x:c>
      <x:c r="J2478" s="12" t="str">
        <x:v>first_audio_output</x:v>
      </x:c>
      <x:c r="K2478" s="12" t="str">
        <x:v>none</x:v>
      </x:c>
      <x:c r="L2478" s="13" t="n">
        <x:f>IF(G2478&lt;=I2478,0,MAX(0,L2477)+IF(E2478="via",MAX(0,G2478-MAX(F2478,I2478)),0))</x:f>
        <x:v>2.3680000000000003</x:v>
      </x:c>
    </x:row>
    <x:row r="2479" ht="42" customHeight="1">
      <x:c r="A2479" s="7" t="str">
        <x:v>DP44-B</x:v>
      </x:c>
      <x:c r="B2479" s="7" t="str">
        <x:v>U22</x:v>
      </x:c>
      <x:c r="C2479" s="7" t="str">
        <x:v>terminal</x:v>
      </x:c>
      <x:c r="D2479" s="7" t="str">
        <x:v>공통 목표 최종 상태와 전체 음성 준비</x:v>
      </x:c>
      <x:c r="E2479" s="7" t="str">
        <x:v>via</x:v>
      </x:c>
      <x:c r="F2479" s="14" t="n">
        <x:v>11.818</x:v>
      </x:c>
      <x:c r="G2479" s="14" t="n">
        <x:v>11.818</x:v>
      </x:c>
      <x:c r="H2479" s="14" t="n">
        <x:v>0</x:v>
      </x:c>
      <x:c r="I2479" s="14" t="n">
        <x:v>0</x:v>
      </x:c>
      <x:c r="J2479" s="7" t="str">
        <x:v>result_display, question_audio, first_audio_output, final_result_audio</x:v>
      </x:c>
      <x:c r="K2479" s="7" t="str">
        <x:v>none</x:v>
      </x:c>
      <x:c r="L2479" s="14" t="n">
        <x:f>IF(G2479&lt;=I2479,0,MAX(0,L2472,L2474,L2477,L2475)+IF(E2479="via",MAX(0,G2479-MAX(F2479,I2479)),0))</x:f>
        <x:v>4.256</x:v>
      </x:c>
    </x:row>
    <x:row r="2480" ht="42" customHeight="1">
      <x:c r="A2480" s="12" t="str">
        <x:v>DP44-B</x:v>
      </x:c>
      <x:c r="B2480" s="12" t="str">
        <x:v>U23</x:v>
      </x:c>
      <x:c r="C2480" s="12" t="str">
        <x:v>input_end</x:v>
      </x:c>
      <x:c r="D2480" s="12" t="str">
        <x:v>사용자 입력 종료</x:v>
      </x:c>
      <x:c r="E2480" s="12" t="str">
        <x:v>external</x:v>
      </x:c>
      <x:c r="F2480" s="13" t="n">
        <x:v>0</x:v>
      </x:c>
      <x:c r="G2480" s="13" t="n">
        <x:v>0</x:v>
      </x:c>
      <x:c r="H2480" s="13" t="n">
        <x:v>0</x:v>
      </x:c>
      <x:c r="I2480" s="13" t="n">
        <x:v>0</x:v>
      </x:c>
      <x:c r="J2480" s="12" t="str"/>
      <x:c r="K2480" s="12" t="str">
        <x:v>none</x:v>
      </x:c>
      <x:c r="L2480" s="13" t="n">
        <x:f>IF(G2480&lt;=I2480,0,MAX(0)+IF(E2480="via",MAX(0,G2480-MAX(F2480,I2480)),0))</x:f>
        <x:v>0</x:v>
      </x:c>
    </x:row>
    <x:row r="2481" ht="42" customHeight="1">
      <x:c r="A2481" s="7" t="str">
        <x:v>DP44-B</x:v>
      </x:c>
      <x:c r="B2481" s="7" t="str">
        <x:v>U23</x:v>
      </x:c>
      <x:c r="C2481" s="7" t="str">
        <x:v>intake</x:v>
      </x:c>
      <x:c r="D2481" s="7" t="str">
        <x:v>입력 확정</x:v>
      </x:c>
      <x:c r="E2481" s="7" t="str">
        <x:v>via</x:v>
      </x:c>
      <x:c r="F2481" s="14" t="n">
        <x:v>0</x:v>
      </x:c>
      <x:c r="G2481" s="14" t="n">
        <x:v>0.06</x:v>
      </x:c>
      <x:c r="H2481" s="14" t="n">
        <x:v>0.06</x:v>
      </x:c>
      <x:c r="I2481" s="14" t="n">
        <x:v>0</x:v>
      </x:c>
      <x:c r="J2481" s="7" t="str">
        <x:v>input_end</x:v>
      </x:c>
      <x:c r="K2481" s="7" t="str">
        <x:v>none</x:v>
      </x:c>
      <x:c r="L2481" s="14" t="n">
        <x:f>IF(G2481&lt;=I2481,0,MAX(0,L2480)+IF(E2481="via",MAX(0,G2481-MAX(F2481,I2481)),0))</x:f>
        <x:v>0.06</x:v>
      </x:c>
    </x:row>
    <x:row r="2482" ht="42" customHeight="1">
      <x:c r="A2482" s="12" t="str">
        <x:v>DP44-B</x:v>
      </x:c>
      <x:c r="B2482" s="12" t="str">
        <x:v>U23</x:v>
      </x:c>
      <x:c r="C2482" s="12" t="str">
        <x:v>read</x:v>
      </x:c>
      <x:c r="D2482" s="12" t="str">
        <x:v>공통 허용 원본 조회</x:v>
      </x:c>
      <x:c r="E2482" s="12" t="str">
        <x:v>via</x:v>
      </x:c>
      <x:c r="F2482" s="13" t="n">
        <x:v>0.06</x:v>
      </x:c>
      <x:c r="G2482" s="13" t="n">
        <x:v>0.14</x:v>
      </x:c>
      <x:c r="H2482" s="13" t="n">
        <x:v>0.08</x:v>
      </x:c>
      <x:c r="I2482" s="13" t="n">
        <x:v>0</x:v>
      </x:c>
      <x:c r="J2482" s="12" t="str">
        <x:v>intake</x:v>
      </x:c>
      <x:c r="K2482" s="12" t="str">
        <x:v>none</x:v>
      </x:c>
      <x:c r="L2482" s="13" t="n">
        <x:f>IF(G2482&lt;=I2482,0,MAX(0,L2481)+IF(E2482="via",MAX(0,G2482-MAX(F2482,I2482)),0))</x:f>
        <x:v>0.14</x:v>
      </x:c>
    </x:row>
    <x:row r="2483" ht="42" customHeight="1">
      <x:c r="A2483" s="7" t="str">
        <x:v>DP44-B</x:v>
      </x:c>
      <x:c r="B2483" s="7" t="str">
        <x:v>U23</x:v>
      </x:c>
      <x:c r="C2483" s="7" t="str">
        <x:v>meaning</x:v>
      </x:c>
      <x:c r="D2483" s="7" t="str">
        <x:v>최초 요청 의미 채택 packet 생성</x:v>
      </x:c>
      <x:c r="E2483" s="7" t="str">
        <x:v>via</x:v>
      </x:c>
      <x:c r="F2483" s="14" t="n">
        <x:v>0.14</x:v>
      </x:c>
      <x:c r="G2483" s="14" t="n">
        <x:v>1.6400000000000001</x:v>
      </x:c>
      <x:c r="H2483" s="14" t="n">
        <x:v>1.5</x:v>
      </x:c>
      <x:c r="I2483" s="14" t="n">
        <x:v>0</x:v>
      </x:c>
      <x:c r="J2483" s="7" t="str">
        <x:v>read</x:v>
      </x:c>
      <x:c r="K2483" s="7" t="str">
        <x:v>semantic</x:v>
      </x:c>
      <x:c r="L2483" s="14" t="n">
        <x:f>IF(G2483&lt;=I2483,0,MAX(0,L2482)+IF(E2483="via",MAX(0,G2483-MAX(F2483,I2483)),0))</x:f>
        <x:v>1.6400000000000001</x:v>
      </x:c>
    </x:row>
    <x:row r="2484" ht="42" customHeight="1">
      <x:c r="A2484" s="12" t="str">
        <x:v>DP44-B</x:v>
      </x:c>
      <x:c r="B2484" s="12" t="str">
        <x:v>U23</x:v>
      </x:c>
      <x:c r="C2484" s="12" t="str">
        <x:v>adopt</x:v>
      </x:c>
      <x:c r="D2484" s="12" t="str">
        <x:v>현재 revision과 권한 검사 및 채택</x:v>
      </x:c>
      <x:c r="E2484" s="12" t="str">
        <x:v>via</x:v>
      </x:c>
      <x:c r="F2484" s="13" t="n">
        <x:v>1.6400000000000001</x:v>
      </x:c>
      <x:c r="G2484" s="13" t="n">
        <x:v>1.6700000000000002</x:v>
      </x:c>
      <x:c r="H2484" s="13" t="n">
        <x:v>0.03</x:v>
      </x:c>
      <x:c r="I2484" s="13" t="n">
        <x:v>0</x:v>
      </x:c>
      <x:c r="J2484" s="12" t="str">
        <x:v>meaning</x:v>
      </x:c>
      <x:c r="K2484" s="12" t="str">
        <x:v>none</x:v>
      </x:c>
      <x:c r="L2484" s="13" t="n">
        <x:f>IF(G2484&lt;=I2484,0,MAX(0,L2483)+IF(E2484="via",MAX(0,G2484-MAX(F2484,I2484)),0))</x:f>
        <x:v>1.6700000000000002</x:v>
      </x:c>
    </x:row>
    <x:row r="2485" ht="42" customHeight="1">
      <x:c r="A2485" s="7" t="str">
        <x:v>DP44-B</x:v>
      </x:c>
      <x:c r="B2485" s="7" t="str">
        <x:v>U23</x:v>
      </x:c>
      <x:c r="C2485" s="7" t="str">
        <x:v>first_display</x:v>
      </x:c>
      <x:c r="D2485" s="7" t="str">
        <x:v>첫 구체적 채택 내용 화면 표시</x:v>
      </x:c>
      <x:c r="E2485" s="7" t="str">
        <x:v>via</x:v>
      </x:c>
      <x:c r="F2485" s="14" t="n">
        <x:v>1.6700000000000002</x:v>
      </x:c>
      <x:c r="G2485" s="14" t="n">
        <x:v>1.7100000000000002</x:v>
      </x:c>
      <x:c r="H2485" s="14" t="n">
        <x:v>0.04</x:v>
      </x:c>
      <x:c r="I2485" s="14" t="n">
        <x:v>0</x:v>
      </x:c>
      <x:c r="J2485" s="7" t="str">
        <x:v>adopt</x:v>
      </x:c>
      <x:c r="K2485" s="7" t="str">
        <x:v>none</x:v>
      </x:c>
      <x:c r="L2485" s="14" t="n">
        <x:f>IF(G2485&lt;=I2485,0,MAX(0,L2484)+IF(E2485="via",MAX(0,G2485-MAX(F2485,I2485)),0))</x:f>
        <x:v>1.7100000000000002</x:v>
      </x:c>
    </x:row>
    <x:row r="2486" ht="42" customHeight="1">
      <x:c r="A2486" s="12" t="str">
        <x:v>DP44-B</x:v>
      </x:c>
      <x:c r="B2486" s="12" t="str">
        <x:v>U23</x:v>
      </x:c>
      <x:c r="C2486" s="12" t="str">
        <x:v>agent_ingress</x:v>
      </x:c>
      <x:c r="D2486" s="12" t="str">
        <x:v>Agent 요청 전송</x:v>
      </x:c>
      <x:c r="E2486" s="12" t="str">
        <x:v>via</x:v>
      </x:c>
      <x:c r="F2486" s="13" t="n">
        <x:v>1.6700000000000002</x:v>
      </x:c>
      <x:c r="G2486" s="13" t="n">
        <x:v>1.7100000000000002</x:v>
      </x:c>
      <x:c r="H2486" s="13" t="n">
        <x:v>0.04</x:v>
      </x:c>
      <x:c r="I2486" s="13" t="n">
        <x:v>0</x:v>
      </x:c>
      <x:c r="J2486" s="12" t="str">
        <x:v>adopt</x:v>
      </x:c>
      <x:c r="K2486" s="12" t="str">
        <x:v>none</x:v>
      </x:c>
      <x:c r="L2486" s="13" t="n">
        <x:f>IF(G2486&lt;=I2486,0,MAX(0,L2484)+IF(E2486="via",MAX(0,G2486-MAX(F2486,I2486)),0))</x:f>
        <x:v>1.7100000000000002</x:v>
      </x:c>
    </x:row>
    <x:row r="2487" ht="42" customHeight="1">
      <x:c r="A2487" s="7" t="str">
        <x:v>DP44-B</x:v>
      </x:c>
      <x:c r="B2487" s="7" t="str">
        <x:v>U23</x:v>
      </x:c>
      <x:c r="C2487" s="7" t="str">
        <x:v>agent_result</x:v>
      </x:c>
      <x:c r="D2487" s="7" t="str">
        <x:v>외부 Agent 업무</x:v>
      </x:c>
      <x:c r="E2487" s="7" t="str">
        <x:v>external</x:v>
      </x:c>
      <x:c r="F2487" s="14" t="n">
        <x:v>1.7100000000000002</x:v>
      </x:c>
      <x:c r="G2487" s="14" t="n">
        <x:v>9.71</x:v>
      </x:c>
      <x:c r="H2487" s="14" t="n">
        <x:v>8</x:v>
      </x:c>
      <x:c r="I2487" s="14" t="n">
        <x:v>0</x:v>
      </x:c>
      <x:c r="J2487" s="7" t="str">
        <x:v>agent_ingress</x:v>
      </x:c>
      <x:c r="K2487" s="7" t="str">
        <x:v>none</x:v>
      </x:c>
      <x:c r="L2487" s="14" t="n">
        <x:f>IF(G2487&lt;=I2487,0,MAX(0,L2486)+IF(E2487="via",MAX(0,G2487-MAX(F2487,I2487)),0))</x:f>
        <x:v>1.7100000000000002</x:v>
      </x:c>
    </x:row>
    <x:row r="2488" ht="42" customHeight="1">
      <x:c r="A2488" s="12" t="str">
        <x:v>DP44-B</x:v>
      </x:c>
      <x:c r="B2488" s="12" t="str">
        <x:v>U23</x:v>
      </x:c>
      <x:c r="C2488" s="12" t="str">
        <x:v>result_display</x:v>
      </x:c>
      <x:c r="D2488" s="12" t="str">
        <x:v>최종 결과 상세 표시</x:v>
      </x:c>
      <x:c r="E2488" s="12" t="str">
        <x:v>via</x:v>
      </x:c>
      <x:c r="F2488" s="13" t="n">
        <x:v>9.71</x:v>
      </x:c>
      <x:c r="G2488" s="13" t="n">
        <x:v>9.75</x:v>
      </x:c>
      <x:c r="H2488" s="13" t="n">
        <x:v>0.04</x:v>
      </x:c>
      <x:c r="I2488" s="13" t="n">
        <x:v>0</x:v>
      </x:c>
      <x:c r="J2488" s="12" t="str">
        <x:v>agent_result</x:v>
      </x:c>
      <x:c r="K2488" s="12" t="str">
        <x:v>none</x:v>
      </x:c>
      <x:c r="L2488" s="13" t="n">
        <x:f>IF(G2488&lt;=I2488,0,MAX(0,L2487)+IF(E2488="via",MAX(0,G2488-MAX(F2488,I2488)),0))</x:f>
        <x:v>1.7499999999999993</x:v>
      </x:c>
    </x:row>
    <x:row r="2489" ht="42" customHeight="1">
      <x:c r="A2489" s="7" t="str">
        <x:v>DP44-B</x:v>
      </x:c>
      <x:c r="B2489" s="7" t="str">
        <x:v>U23</x:v>
      </x:c>
      <x:c r="C2489" s="7" t="str">
        <x:v>question_arrival</x:v>
      </x:c>
      <x:c r="D2489" s="7" t="str">
        <x:v>Agent 질문 텍스트 도착</x:v>
      </x:c>
      <x:c r="E2489" s="7" t="str">
        <x:v>external</x:v>
      </x:c>
      <x:c r="F2489" s="14" t="n">
        <x:v>-2</x:v>
      </x:c>
      <x:c r="G2489" s="14" t="n">
        <x:v>-2</x:v>
      </x:c>
      <x:c r="H2489" s="14" t="n">
        <x:v>0</x:v>
      </x:c>
      <x:c r="I2489" s="14" t="n">
        <x:v>0</x:v>
      </x:c>
      <x:c r="J2489" s="7" t="str"/>
      <x:c r="K2489" s="7" t="str">
        <x:v>none</x:v>
      </x:c>
      <x:c r="L2489" s="14" t="n">
        <x:f>IF(G2489&lt;=I2489,0,MAX(0)+IF(E2489="via",MAX(0,G2489-MAX(F2489,I2489)),0))</x:f>
        <x:v>0</x:v>
      </x:c>
    </x:row>
    <x:row r="2490" ht="42" customHeight="1">
      <x:c r="A2490" s="12" t="str">
        <x:v>DP44-B</x:v>
      </x:c>
      <x:c r="B2490" s="12" t="str">
        <x:v>U23</x:v>
      </x:c>
      <x:c r="C2490" s="12" t="str">
        <x:v>question_audio</x:v>
      </x:c>
      <x:c r="D2490" s="12" t="str">
        <x:v>선택한 응답 음성 생성</x:v>
      </x:c>
      <x:c r="E2490" s="12" t="str">
        <x:v>via</x:v>
      </x:c>
      <x:c r="F2490" s="13" t="n">
        <x:v>1.6700000000000002</x:v>
      </x:c>
      <x:c r="G2490" s="13" t="n">
        <x:v>3.558</x:v>
      </x:c>
      <x:c r="H2490" s="13" t="n">
        <x:v>1.888</x:v>
      </x:c>
      <x:c r="I2490" s="13" t="n">
        <x:v>0</x:v>
      </x:c>
      <x:c r="J2490" s="12" t="str">
        <x:v>question_arrival, adopt</x:v>
      </x:c>
      <x:c r="K2490" s="12" t="str">
        <x:v>speech</x:v>
      </x:c>
      <x:c r="L2490" s="13" t="n">
        <x:f>IF(G2490&lt;=I2490,0,MAX(0,L2489,L2484)+IF(E2490="via",MAX(0,G2490-MAX(F2490,I2490)),0))</x:f>
        <x:v>3.558</x:v>
      </x:c>
    </x:row>
    <x:row r="2491" ht="42" customHeight="1">
      <x:c r="A2491" s="7" t="str">
        <x:v>DP44-B</x:v>
      </x:c>
      <x:c r="B2491" s="7" t="str">
        <x:v>U23</x:v>
      </x:c>
      <x:c r="C2491" s="7" t="str">
        <x:v>final_result_audio</x:v>
      </x:c>
      <x:c r="D2491" s="7" t="str">
        <x:v>새 업무 최종 결과 음성 준비</x:v>
      </x:c>
      <x:c r="E2491" s="7" t="str">
        <x:v>via</x:v>
      </x:c>
      <x:c r="F2491" s="14" t="n">
        <x:v>9.71</x:v>
      </x:c>
      <x:c r="G2491" s="14" t="n">
        <x:v>11.598</x:v>
      </x:c>
      <x:c r="H2491" s="14" t="n">
        <x:v>1.888</x:v>
      </x:c>
      <x:c r="I2491" s="14" t="n">
        <x:v>0</x:v>
      </x:c>
      <x:c r="J2491" s="7" t="str">
        <x:v>agent_result, next_speech_selection</x:v>
      </x:c>
      <x:c r="K2491" s="7" t="str">
        <x:v>speech</x:v>
      </x:c>
      <x:c r="L2491" s="14" t="n">
        <x:f>IF(G2491&lt;=I2491,0,MAX(0,L2487,L2494)+IF(E2491="via",MAX(0,G2491-MAX(F2491,I2491)),0))</x:f>
        <x:v>4.036</x:v>
      </x:c>
    </x:row>
    <x:row r="2492" ht="42" customHeight="1">
      <x:c r="A2492" s="12" t="str">
        <x:v>DP44-B</x:v>
      </x:c>
      <x:c r="B2492" s="12" t="str">
        <x:v>U23</x:v>
      </x:c>
      <x:c r="C2492" s="12" t="str">
        <x:v>first_chunk</x:v>
      </x:c>
      <x:c r="D2492" s="12" t="str">
        <x:v>같은 생성 job의 유효 첫 chunk 관측</x:v>
      </x:c>
      <x:c r="E2492" s="12" t="str">
        <x:v>via</x:v>
      </x:c>
      <x:c r="F2492" s="13" t="n">
        <x:v>1.6700000000000002</x:v>
      </x:c>
      <x:c r="G2492" s="13" t="n">
        <x:v>2.108</x:v>
      </x:c>
      <x:c r="H2492" s="13" t="n">
        <x:v>0.438</x:v>
      </x:c>
      <x:c r="I2492" s="13" t="n">
        <x:v>0</x:v>
      </x:c>
      <x:c r="J2492" s="12" t="str">
        <x:v>question_arrival, adopt</x:v>
      </x:c>
      <x:c r="K2492" s="12" t="str">
        <x:v>none</x:v>
      </x:c>
      <x:c r="L2492" s="13" t="n">
        <x:f>IF(G2492&lt;=I2492,0,MAX(0,L2489,L2484)+IF(E2492="via",MAX(0,G2492-MAX(F2492,I2492)),0))</x:f>
        <x:v>2.108</x:v>
      </x:c>
    </x:row>
    <x:row r="2493" ht="42" customHeight="1">
      <x:c r="A2493" s="7" t="str">
        <x:v>DP44-B</x:v>
      </x:c>
      <x:c r="B2493" s="7" t="str">
        <x:v>U23</x:v>
      </x:c>
      <x:c r="C2493" s="7" t="str">
        <x:v>first_audio_output</x:v>
      </x:c>
      <x:c r="D2493" s="7" t="str">
        <x:v>공통 장치의 첫 음성 출력</x:v>
      </x:c>
      <x:c r="E2493" s="7" t="str">
        <x:v>via</x:v>
      </x:c>
      <x:c r="F2493" s="14" t="n">
        <x:v>2.108</x:v>
      </x:c>
      <x:c r="G2493" s="14" t="n">
        <x:v>2.148</x:v>
      </x:c>
      <x:c r="H2493" s="14" t="n">
        <x:v>0.04</x:v>
      </x:c>
      <x:c r="I2493" s="14" t="n">
        <x:v>0</x:v>
      </x:c>
      <x:c r="J2493" s="7" t="str">
        <x:v>adopt, first_chunk</x:v>
      </x:c>
      <x:c r="K2493" s="7" t="str">
        <x:v>none</x:v>
      </x:c>
      <x:c r="L2493" s="14" t="n">
        <x:f>IF(G2493&lt;=I2493,0,MAX(0,L2484,L2492)+IF(E2493="via",MAX(0,G2493-MAX(F2493,I2493)),0))</x:f>
        <x:v>2.148</x:v>
      </x:c>
    </x:row>
    <x:row r="2494" ht="42" customHeight="1">
      <x:c r="A2494" s="12" t="str">
        <x:v>DP44-B</x:v>
      </x:c>
      <x:c r="B2494" s="12" t="str">
        <x:v>U23</x:v>
      </x:c>
      <x:c r="C2494" s="12" t="str">
        <x:v>next_speech_selection</x:v>
      </x:c>
      <x:c r="D2494" s="12" t="str">
        <x:v>현재 발화 재생 후 다음 응답 선택</x:v>
      </x:c>
      <x:c r="E2494" s="12" t="str">
        <x:v>external</x:v>
      </x:c>
      <x:c r="F2494" s="13" t="n">
        <x:v>2.148</x:v>
      </x:c>
      <x:c r="G2494" s="13" t="n">
        <x:v>8.148</x:v>
      </x:c>
      <x:c r="H2494" s="13" t="n">
        <x:v>6</x:v>
      </x:c>
      <x:c r="I2494" s="13" t="n">
        <x:v>0</x:v>
      </x:c>
      <x:c r="J2494" s="12" t="str">
        <x:v>first_audio_output</x:v>
      </x:c>
      <x:c r="K2494" s="12" t="str">
        <x:v>none</x:v>
      </x:c>
      <x:c r="L2494" s="13" t="n">
        <x:f>IF(G2494&lt;=I2494,0,MAX(0,L2493)+IF(E2494="via",MAX(0,G2494-MAX(F2494,I2494)),0))</x:f>
        <x:v>2.148</x:v>
      </x:c>
    </x:row>
    <x:row r="2495" ht="42" customHeight="1">
      <x:c r="A2495" s="7" t="str">
        <x:v>DP44-B</x:v>
      </x:c>
      <x:c r="B2495" s="7" t="str">
        <x:v>U23</x:v>
      </x:c>
      <x:c r="C2495" s="7" t="str">
        <x:v>terminal</x:v>
      </x:c>
      <x:c r="D2495" s="7" t="str">
        <x:v>공통 목표 최종 상태와 전체 음성 준비</x:v>
      </x:c>
      <x:c r="E2495" s="7" t="str">
        <x:v>via</x:v>
      </x:c>
      <x:c r="F2495" s="14" t="n">
        <x:v>11.598</x:v>
      </x:c>
      <x:c r="G2495" s="14" t="n">
        <x:v>11.598</x:v>
      </x:c>
      <x:c r="H2495" s="14" t="n">
        <x:v>0</x:v>
      </x:c>
      <x:c r="I2495" s="14" t="n">
        <x:v>0</x:v>
      </x:c>
      <x:c r="J2495" s="7" t="str">
        <x:v>result_display, question_audio, first_audio_output, final_result_audio</x:v>
      </x:c>
      <x:c r="K2495" s="7" t="str">
        <x:v>none</x:v>
      </x:c>
      <x:c r="L2495" s="14" t="n">
        <x:f>IF(G2495&lt;=I2495,0,MAX(0,L2488,L2490,L2493,L2491)+IF(E2495="via",MAX(0,G2495-MAX(F2495,I2495)),0))</x:f>
        <x:v>4.036</x:v>
      </x:c>
    </x:row>
    <x:row r="2496" ht="42" customHeight="1">
      <x:c r="A2496" s="12" t="str">
        <x:v>DP44-B</x:v>
      </x:c>
      <x:c r="B2496" s="12" t="str">
        <x:v>U24</x:v>
      </x:c>
      <x:c r="C2496" s="12" t="str">
        <x:v>bg1</x:v>
      </x:c>
      <x:c r="D2496" s="12" t="str">
        <x:v>진행 중인 현재 대화의 의미 step</x:v>
      </x:c>
      <x:c r="E2496" s="12" t="str">
        <x:v>via</x:v>
      </x:c>
      <x:c r="F2496" s="13" t="n">
        <x:v>-1</x:v>
      </x:c>
      <x:c r="G2496" s="13" t="n">
        <x:v>2.4</x:v>
      </x:c>
      <x:c r="H2496" s="13" t="n">
        <x:v>3.4</x:v>
      </x:c>
      <x:c r="I2496" s="13" t="n">
        <x:v>-6</x:v>
      </x:c>
      <x:c r="J2496" s="12" t="str">
        <x:v>original_work</x:v>
      </x:c>
      <x:c r="K2496" s="12" t="str">
        <x:v>semantic</x:v>
      </x:c>
      <x:c r="L2496" s="13" t="n">
        <x:f>IF(G2496&lt;=I2496,0,MAX(0,L2497)+IF(E2496="via",MAX(0,G2496-MAX(F2496,I2496)),0))</x:f>
        <x:v>5.4</x:v>
      </x:c>
    </x:row>
    <x:row r="2497" ht="42" customHeight="1">
      <x:c r="A2497" s="7" t="str">
        <x:v>DP44-B</x:v>
      </x:c>
      <x:c r="B2497" s="7" t="str">
        <x:v>U24</x:v>
      </x:c>
      <x:c r="C2497" s="7" t="str">
        <x:v>original_work</x:v>
      </x:c>
      <x:c r="D2497" s="7" t="str">
        <x:v>원래 목표의 최초 VIA 처리</x:v>
      </x:c>
      <x:c r="E2497" s="7" t="str">
        <x:v>via</x:v>
      </x:c>
      <x:c r="F2497" s="14" t="n">
        <x:v>-6</x:v>
      </x:c>
      <x:c r="G2497" s="14" t="n">
        <x:v>-4</x:v>
      </x:c>
      <x:c r="H2497" s="14" t="n">
        <x:v>2</x:v>
      </x:c>
      <x:c r="I2497" s="14" t="n">
        <x:v>-6</x:v>
      </x:c>
      <x:c r="J2497" s="7" t="str"/>
      <x:c r="K2497" s="7" t="str">
        <x:v>none</x:v>
      </x:c>
      <x:c r="L2497" s="14" t="n">
        <x:f>IF(G2497&lt;=I2497,0,MAX(0)+IF(E2497="via",MAX(0,G2497-MAX(F2497,I2497)),0))</x:f>
        <x:v>2</x:v>
      </x:c>
    </x:row>
    <x:row r="2498" ht="42" customHeight="1">
      <x:c r="A2498" s="12" t="str">
        <x:v>DP44-B</x:v>
      </x:c>
      <x:c r="B2498" s="12" t="str">
        <x:v>U24</x:v>
      </x:c>
      <x:c r="C2498" s="12" t="str">
        <x:v>input_end</x:v>
      </x:c>
      <x:c r="D2498" s="12" t="str">
        <x:v>사용자 입력 종료</x:v>
      </x:c>
      <x:c r="E2498" s="12" t="str">
        <x:v>external</x:v>
      </x:c>
      <x:c r="F2498" s="13" t="n">
        <x:v>0</x:v>
      </x:c>
      <x:c r="G2498" s="13" t="n">
        <x:v>0</x:v>
      </x:c>
      <x:c r="H2498" s="13" t="n">
        <x:v>0</x:v>
      </x:c>
      <x:c r="I2498" s="13" t="n">
        <x:v>-6</x:v>
      </x:c>
      <x:c r="J2498" s="12" t="str">
        <x:v>original_work</x:v>
      </x:c>
      <x:c r="K2498" s="12" t="str">
        <x:v>none</x:v>
      </x:c>
      <x:c r="L2498" s="13" t="n">
        <x:f>IF(G2498&lt;=I2498,0,MAX(0,L2497)+IF(E2498="via",MAX(0,G2498-MAX(F2498,I2498)),0))</x:f>
        <x:v>2</x:v>
      </x:c>
    </x:row>
    <x:row r="2499" ht="42" customHeight="1">
      <x:c r="A2499" s="7" t="str">
        <x:v>DP44-B</x:v>
      </x:c>
      <x:c r="B2499" s="7" t="str">
        <x:v>U24</x:v>
      </x:c>
      <x:c r="C2499" s="7" t="str">
        <x:v>intake</x:v>
      </x:c>
      <x:c r="D2499" s="7" t="str">
        <x:v>입력 확정</x:v>
      </x:c>
      <x:c r="E2499" s="7" t="str">
        <x:v>via</x:v>
      </x:c>
      <x:c r="F2499" s="14" t="n">
        <x:v>0</x:v>
      </x:c>
      <x:c r="G2499" s="14" t="n">
        <x:v>0.3</x:v>
      </x:c>
      <x:c r="H2499" s="14" t="n">
        <x:v>0.3</x:v>
      </x:c>
      <x:c r="I2499" s="14" t="n">
        <x:v>-6</x:v>
      </x:c>
      <x:c r="J2499" s="7" t="str">
        <x:v>input_end</x:v>
      </x:c>
      <x:c r="K2499" s="7" t="str">
        <x:v>none</x:v>
      </x:c>
      <x:c r="L2499" s="14" t="n">
        <x:f>IF(G2499&lt;=I2499,0,MAX(0,L2498)+IF(E2499="via",MAX(0,G2499-MAX(F2499,I2499)),0))</x:f>
        <x:v>2.3</x:v>
      </x:c>
    </x:row>
    <x:row r="2500" ht="42" customHeight="1">
      <x:c r="A2500" s="12" t="str">
        <x:v>DP44-B</x:v>
      </x:c>
      <x:c r="B2500" s="12" t="str">
        <x:v>U24</x:v>
      </x:c>
      <x:c r="C2500" s="12" t="str">
        <x:v>read</x:v>
      </x:c>
      <x:c r="D2500" s="12" t="str">
        <x:v>공통 허용 원본 조회</x:v>
      </x:c>
      <x:c r="E2500" s="12" t="str">
        <x:v>via</x:v>
      </x:c>
      <x:c r="F2500" s="13" t="n">
        <x:v>0.3</x:v>
      </x:c>
      <x:c r="G2500" s="13" t="n">
        <x:v>0.38</x:v>
      </x:c>
      <x:c r="H2500" s="13" t="n">
        <x:v>0.08</x:v>
      </x:c>
      <x:c r="I2500" s="13" t="n">
        <x:v>-6</x:v>
      </x:c>
      <x:c r="J2500" s="12" t="str">
        <x:v>intake</x:v>
      </x:c>
      <x:c r="K2500" s="12" t="str">
        <x:v>none</x:v>
      </x:c>
      <x:c r="L2500" s="13" t="n">
        <x:f>IF(G2500&lt;=I2500,0,MAX(0,L2499)+IF(E2500="via",MAX(0,G2500-MAX(F2500,I2500)),0))</x:f>
        <x:v>2.38</x:v>
      </x:c>
    </x:row>
    <x:row r="2501" ht="42" customHeight="1">
      <x:c r="A2501" s="7" t="str">
        <x:v>DP44-B</x:v>
      </x:c>
      <x:c r="B2501" s="7" t="str">
        <x:v>U24</x:v>
      </x:c>
      <x:c r="C2501" s="7" t="str">
        <x:v>meaning</x:v>
      </x:c>
      <x:c r="D2501" s="7" t="str">
        <x:v>최초 요청 의미 채택 packet 생성</x:v>
      </x:c>
      <x:c r="E2501" s="7" t="str">
        <x:v>via</x:v>
      </x:c>
      <x:c r="F2501" s="14" t="n">
        <x:v>2.4</x:v>
      </x:c>
      <x:c r="G2501" s="14" t="n">
        <x:v>4.5</x:v>
      </x:c>
      <x:c r="H2501" s="14" t="n">
        <x:v>2.1</x:v>
      </x:c>
      <x:c r="I2501" s="14" t="n">
        <x:v>-6</x:v>
      </x:c>
      <x:c r="J2501" s="7" t="str">
        <x:v>read, bg1</x:v>
      </x:c>
      <x:c r="K2501" s="7" t="str">
        <x:v>semantic</x:v>
      </x:c>
      <x:c r="L2501" s="14" t="n">
        <x:f>IF(G2501&lt;=I2501,0,MAX(0,L2500,L2496)+IF(E2501="via",MAX(0,G2501-MAX(F2501,I2501)),0))</x:f>
        <x:v>7.5</x:v>
      </x:c>
    </x:row>
    <x:row r="2502" ht="42" customHeight="1">
      <x:c r="A2502" s="12" t="str">
        <x:v>DP44-B</x:v>
      </x:c>
      <x:c r="B2502" s="12" t="str">
        <x:v>U24</x:v>
      </x:c>
      <x:c r="C2502" s="12" t="str">
        <x:v>adopt</x:v>
      </x:c>
      <x:c r="D2502" s="12" t="str">
        <x:v>현재 revision과 권한 검사 및 채택</x:v>
      </x:c>
      <x:c r="E2502" s="12" t="str">
        <x:v>via</x:v>
      </x:c>
      <x:c r="F2502" s="13" t="n">
        <x:v>4.5</x:v>
      </x:c>
      <x:c r="G2502" s="13" t="n">
        <x:v>4.53</x:v>
      </x:c>
      <x:c r="H2502" s="13" t="n">
        <x:v>0.03</x:v>
      </x:c>
      <x:c r="I2502" s="13" t="n">
        <x:v>-6</x:v>
      </x:c>
      <x:c r="J2502" s="12" t="str">
        <x:v>meaning</x:v>
      </x:c>
      <x:c r="K2502" s="12" t="str">
        <x:v>none</x:v>
      </x:c>
      <x:c r="L2502" s="13" t="n">
        <x:f>IF(G2502&lt;=I2502,0,MAX(0,L2501)+IF(E2502="via",MAX(0,G2502-MAX(F2502,I2502)),0))</x:f>
        <x:v>7.53</x:v>
      </x:c>
    </x:row>
    <x:row r="2503" ht="42" customHeight="1">
      <x:c r="A2503" s="7" t="str">
        <x:v>DP44-B</x:v>
      </x:c>
      <x:c r="B2503" s="7" t="str">
        <x:v>U24</x:v>
      </x:c>
      <x:c r="C2503" s="7" t="str">
        <x:v>first_display</x:v>
      </x:c>
      <x:c r="D2503" s="7" t="str">
        <x:v>첫 구체적 채택 내용 화면 표시</x:v>
      </x:c>
      <x:c r="E2503" s="7" t="str">
        <x:v>via</x:v>
      </x:c>
      <x:c r="F2503" s="14" t="n">
        <x:v>4.53</x:v>
      </x:c>
      <x:c r="G2503" s="14" t="n">
        <x:v>4.57</x:v>
      </x:c>
      <x:c r="H2503" s="14" t="n">
        <x:v>0.04</x:v>
      </x:c>
      <x:c r="I2503" s="14" t="n">
        <x:v>-6</x:v>
      </x:c>
      <x:c r="J2503" s="7" t="str">
        <x:v>adopt</x:v>
      </x:c>
      <x:c r="K2503" s="7" t="str">
        <x:v>none</x:v>
      </x:c>
      <x:c r="L2503" s="14" t="n">
        <x:f>IF(G2503&lt;=I2503,0,MAX(0,L2502)+IF(E2503="via",MAX(0,G2503-MAX(F2503,I2503)),0))</x:f>
        <x:v>7.57</x:v>
      </x:c>
    </x:row>
    <x:row r="2504" ht="42" customHeight="1">
      <x:c r="A2504" s="12" t="str">
        <x:v>DP44-B</x:v>
      </x:c>
      <x:c r="B2504" s="12" t="str">
        <x:v>U24</x:v>
      </x:c>
      <x:c r="C2504" s="12" t="str">
        <x:v>agent_ingress</x:v>
      </x:c>
      <x:c r="D2504" s="12" t="str">
        <x:v>Agent 요청 전송</x:v>
      </x:c>
      <x:c r="E2504" s="12" t="str">
        <x:v>via</x:v>
      </x:c>
      <x:c r="F2504" s="13" t="n">
        <x:v>4.53</x:v>
      </x:c>
      <x:c r="G2504" s="13" t="n">
        <x:v>4.57</x:v>
      </x:c>
      <x:c r="H2504" s="13" t="n">
        <x:v>0.04</x:v>
      </x:c>
      <x:c r="I2504" s="13" t="n">
        <x:v>-6</x:v>
      </x:c>
      <x:c r="J2504" s="12" t="str">
        <x:v>adopt</x:v>
      </x:c>
      <x:c r="K2504" s="12" t="str">
        <x:v>none</x:v>
      </x:c>
      <x:c r="L2504" s="13" t="n">
        <x:f>IF(G2504&lt;=I2504,0,MAX(0,L2502)+IF(E2504="via",MAX(0,G2504-MAX(F2504,I2504)),0))</x:f>
        <x:v>7.57</x:v>
      </x:c>
    </x:row>
    <x:row r="2505" ht="42" customHeight="1">
      <x:c r="A2505" s="7" t="str">
        <x:v>DP44-B</x:v>
      </x:c>
      <x:c r="B2505" s="7" t="str">
        <x:v>U24</x:v>
      </x:c>
      <x:c r="C2505" s="7" t="str">
        <x:v>agent_result</x:v>
      </x:c>
      <x:c r="D2505" s="7" t="str">
        <x:v>외부 Agent 업무</x:v>
      </x:c>
      <x:c r="E2505" s="7" t="str">
        <x:v>external</x:v>
      </x:c>
      <x:c r="F2505" s="14" t="n">
        <x:v>4.57</x:v>
      </x:c>
      <x:c r="G2505" s="14" t="n">
        <x:v>12.57</x:v>
      </x:c>
      <x:c r="H2505" s="14" t="n">
        <x:v>8</x:v>
      </x:c>
      <x:c r="I2505" s="14" t="n">
        <x:v>-6</x:v>
      </x:c>
      <x:c r="J2505" s="7" t="str">
        <x:v>agent_ingress</x:v>
      </x:c>
      <x:c r="K2505" s="7" t="str">
        <x:v>none</x:v>
      </x:c>
      <x:c r="L2505" s="14" t="n">
        <x:f>IF(G2505&lt;=I2505,0,MAX(0,L2504)+IF(E2505="via",MAX(0,G2505-MAX(F2505,I2505)),0))</x:f>
        <x:v>7.57</x:v>
      </x:c>
    </x:row>
    <x:row r="2506" ht="42" customHeight="1">
      <x:c r="A2506" s="12" t="str">
        <x:v>DP44-B</x:v>
      </x:c>
      <x:c r="B2506" s="12" t="str">
        <x:v>U24</x:v>
      </x:c>
      <x:c r="C2506" s="12" t="str">
        <x:v>result_display</x:v>
      </x:c>
      <x:c r="D2506" s="12" t="str">
        <x:v>최종 결과 상세 표시</x:v>
      </x:c>
      <x:c r="E2506" s="12" t="str">
        <x:v>via</x:v>
      </x:c>
      <x:c r="F2506" s="13" t="n">
        <x:v>12.57</x:v>
      </x:c>
      <x:c r="G2506" s="13" t="n">
        <x:v>12.61</x:v>
      </x:c>
      <x:c r="H2506" s="13" t="n">
        <x:v>0.04</x:v>
      </x:c>
      <x:c r="I2506" s="13" t="n">
        <x:v>-6</x:v>
      </x:c>
      <x:c r="J2506" s="12" t="str">
        <x:v>agent_result</x:v>
      </x:c>
      <x:c r="K2506" s="12" t="str">
        <x:v>none</x:v>
      </x:c>
      <x:c r="L2506" s="13" t="n">
        <x:f>IF(G2506&lt;=I2506,0,MAX(0,L2505)+IF(E2506="via",MAX(0,G2506-MAX(F2506,I2506)),0))</x:f>
        <x:v>7.609999999999999</x:v>
      </x:c>
    </x:row>
    <x:row r="2507" ht="42" customHeight="1">
      <x:c r="A2507" s="7" t="str">
        <x:v>DP44-B</x:v>
      </x:c>
      <x:c r="B2507" s="7" t="str">
        <x:v>U24</x:v>
      </x:c>
      <x:c r="C2507" s="7" t="str">
        <x:v>response_audio</x:v>
      </x:c>
      <x:c r="D2507" s="7" t="str">
        <x:v>선택한 응답 음성 생성</x:v>
      </x:c>
      <x:c r="E2507" s="7" t="str">
        <x:v>via</x:v>
      </x:c>
      <x:c r="F2507" s="14" t="n">
        <x:v>12.57</x:v>
      </x:c>
      <x:c r="G2507" s="14" t="n">
        <x:v>14.458</x:v>
      </x:c>
      <x:c r="H2507" s="14" t="n">
        <x:v>1.888</x:v>
      </x:c>
      <x:c r="I2507" s="14" t="n">
        <x:v>-6</x:v>
      </x:c>
      <x:c r="J2507" s="7" t="str">
        <x:v>agent_result, adopt, next_speech_selection</x:v>
      </x:c>
      <x:c r="K2507" s="7" t="str">
        <x:v>speech</x:v>
      </x:c>
      <x:c r="L2507" s="14" t="n">
        <x:f>IF(G2507&lt;=I2507,0,MAX(0,L2505,L2502,L2511)+IF(E2507="via",MAX(0,G2507-MAX(F2507,I2507)),0))</x:f>
        <x:v>9.892000000000001</x:v>
      </x:c>
    </x:row>
    <x:row r="2508" ht="42" customHeight="1">
      <x:c r="A2508" s="12" t="str">
        <x:v>DP44-B</x:v>
      </x:c>
      <x:c r="B2508" s="12" t="str">
        <x:v>U24</x:v>
      </x:c>
      <x:c r="C2508" s="12" t="str">
        <x:v>intent_audio</x:v>
      </x:c>
      <x:c r="D2508" s="12" t="str">
        <x:v>채택한 구체적 수행 의도의 짧은 음성</x:v>
      </x:c>
      <x:c r="E2508" s="12" t="str">
        <x:v>via</x:v>
      </x:c>
      <x:c r="F2508" s="13" t="n">
        <x:v>4.53</x:v>
      </x:c>
      <x:c r="G2508" s="13" t="n">
        <x:v>5.664</x:v>
      </x:c>
      <x:c r="H2508" s="13" t="n">
        <x:v>1.134</x:v>
      </x:c>
      <x:c r="I2508" s="13" t="n">
        <x:v>-6</x:v>
      </x:c>
      <x:c r="J2508" s="12" t="str">
        <x:v>adopt</x:v>
      </x:c>
      <x:c r="K2508" s="12" t="str">
        <x:v>speech</x:v>
      </x:c>
      <x:c r="L2508" s="13" t="n">
        <x:f>IF(G2508&lt;=I2508,0,MAX(0,L2502)+IF(E2508="via",MAX(0,G2508-MAX(F2508,I2508)),0))</x:f>
        <x:v>8.664</x:v>
      </x:c>
    </x:row>
    <x:row r="2509" ht="42" customHeight="1">
      <x:c r="A2509" s="7" t="str">
        <x:v>DP44-B</x:v>
      </x:c>
      <x:c r="B2509" s="7" t="str">
        <x:v>U24</x:v>
      </x:c>
      <x:c r="C2509" s="7" t="str">
        <x:v>first_chunk</x:v>
      </x:c>
      <x:c r="D2509" s="7" t="str">
        <x:v>같은 생성 job의 유효 첫 chunk 관측</x:v>
      </x:c>
      <x:c r="E2509" s="7" t="str">
        <x:v>via</x:v>
      </x:c>
      <x:c r="F2509" s="14" t="n">
        <x:v>4.53</x:v>
      </x:c>
      <x:c r="G2509" s="14" t="n">
        <x:v>4.964</x:v>
      </x:c>
      <x:c r="H2509" s="14" t="n">
        <x:v>0.434</x:v>
      </x:c>
      <x:c r="I2509" s="14" t="n">
        <x:v>-6</x:v>
      </x:c>
      <x:c r="J2509" s="7" t="str">
        <x:v>adopt</x:v>
      </x:c>
      <x:c r="K2509" s="7" t="str">
        <x:v>none</x:v>
      </x:c>
      <x:c r="L2509" s="14" t="n">
        <x:f>IF(G2509&lt;=I2509,0,MAX(0,L2502)+IF(E2509="via",MAX(0,G2509-MAX(F2509,I2509)),0))</x:f>
        <x:v>7.964</x:v>
      </x:c>
    </x:row>
    <x:row r="2510" ht="42" customHeight="1">
      <x:c r="A2510" s="12" t="str">
        <x:v>DP44-B</x:v>
      </x:c>
      <x:c r="B2510" s="12" t="str">
        <x:v>U24</x:v>
      </x:c>
      <x:c r="C2510" s="12" t="str">
        <x:v>first_audio_output</x:v>
      </x:c>
      <x:c r="D2510" s="12" t="str">
        <x:v>공통 장치의 첫 음성 출력</x:v>
      </x:c>
      <x:c r="E2510" s="12" t="str">
        <x:v>via</x:v>
      </x:c>
      <x:c r="F2510" s="13" t="n">
        <x:v>4.964</x:v>
      </x:c>
      <x:c r="G2510" s="13" t="n">
        <x:v>5.0040000000000004</x:v>
      </x:c>
      <x:c r="H2510" s="13" t="n">
        <x:v>0.04</x:v>
      </x:c>
      <x:c r="I2510" s="13" t="n">
        <x:v>-6</x:v>
      </x:c>
      <x:c r="J2510" s="12" t="str">
        <x:v>adopt, first_chunk</x:v>
      </x:c>
      <x:c r="K2510" s="12" t="str">
        <x:v>none</x:v>
      </x:c>
      <x:c r="L2510" s="13" t="n">
        <x:f>IF(G2510&lt;=I2510,0,MAX(0,L2502,L2509)+IF(E2510="via",MAX(0,G2510-MAX(F2510,I2510)),0))</x:f>
        <x:v>8.004000000000001</x:v>
      </x:c>
    </x:row>
    <x:row r="2511" ht="42" customHeight="1">
      <x:c r="A2511" s="7" t="str">
        <x:v>DP44-B</x:v>
      </x:c>
      <x:c r="B2511" s="7" t="str">
        <x:v>U24</x:v>
      </x:c>
      <x:c r="C2511" s="7" t="str">
        <x:v>next_speech_selection</x:v>
      </x:c>
      <x:c r="D2511" s="7" t="str">
        <x:v>현재 발화 재생 후 다음 응답 선택</x:v>
      </x:c>
      <x:c r="E2511" s="7" t="str">
        <x:v>external</x:v>
      </x:c>
      <x:c r="F2511" s="14" t="n">
        <x:v>5.0040000000000004</x:v>
      </x:c>
      <x:c r="G2511" s="14" t="n">
        <x:v>8.004000000000001</x:v>
      </x:c>
      <x:c r="H2511" s="14" t="n">
        <x:v>3</x:v>
      </x:c>
      <x:c r="I2511" s="14" t="n">
        <x:v>-6</x:v>
      </x:c>
      <x:c r="J2511" s="7" t="str">
        <x:v>first_audio_output</x:v>
      </x:c>
      <x:c r="K2511" s="7" t="str">
        <x:v>none</x:v>
      </x:c>
      <x:c r="L2511" s="14" t="n">
        <x:f>IF(G2511&lt;=I2511,0,MAX(0,L2510)+IF(E2511="via",MAX(0,G2511-MAX(F2511,I2511)),0))</x:f>
        <x:v>8.004000000000001</x:v>
      </x:c>
    </x:row>
    <x:row r="2512" ht="42" customHeight="1">
      <x:c r="A2512" s="12" t="str">
        <x:v>DP44-B</x:v>
      </x:c>
      <x:c r="B2512" s="12" t="str">
        <x:v>U24</x:v>
      </x:c>
      <x:c r="C2512" s="12" t="str">
        <x:v>terminal</x:v>
      </x:c>
      <x:c r="D2512" s="12" t="str">
        <x:v>공통 목표 최종 상태와 전체 음성 준비</x:v>
      </x:c>
      <x:c r="E2512" s="12" t="str">
        <x:v>via</x:v>
      </x:c>
      <x:c r="F2512" s="13" t="n">
        <x:v>14.458</x:v>
      </x:c>
      <x:c r="G2512" s="13" t="n">
        <x:v>14.458</x:v>
      </x:c>
      <x:c r="H2512" s="13" t="n">
        <x:v>0</x:v>
      </x:c>
      <x:c r="I2512" s="13" t="n">
        <x:v>-6</x:v>
      </x:c>
      <x:c r="J2512" s="12" t="str">
        <x:v>result_display, response_audio, intent_audio, first_audio_output</x:v>
      </x:c>
      <x:c r="K2512" s="12" t="str">
        <x:v>none</x:v>
      </x:c>
      <x:c r="L2512" s="13" t="n">
        <x:f>IF(G2512&lt;=I2512,0,MAX(0,L2506,L2507,L2508,L2510)+IF(E2512="via",MAX(0,G2512-MAX(F2512,I2512)),0))</x:f>
        <x:v>9.892000000000001</x:v>
      </x:c>
    </x:row>
  </x:sheetData>
  <x:mergeCells>
    <x:mergeCell ref="A1:L1"/>
    <x:mergeCell ref="A2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25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  <x:col min="8" max="8" width="17" hidden="0" customWidth="1"/>
  </x:cols>
  <x:sheetData>
    <x:row r="1" ht="38" customHeight="1">
      <x:c r="A1" s="6" t="str">
        <x:v>요청 전·중·후의 VIA 모델 비용</x:v>
      </x:c>
      <x:c r="B1" s="6"/>
      <x:c r="C1" s="6"/>
      <x:c r="D1" s="6"/>
      <x:c r="E1" s="6"/>
      <x:c r="F1" s="6"/>
      <x:c r="G1" s="6"/>
      <x:c r="H1" s="6"/>
    </x:row>
    <x:row r="2" ht="23" customHeight="1">
      <x:c r="A2" s="8" t="str">
        <x:v>H=F×G. 사전/미사용/취소 비용도 포함. G열 단가 변경은 전체비교에 반영된다. 수신 Agent 내부 비용은 미모델링이며 0이 아니다.</x:v>
      </x:c>
      <x:c r="B2" s="8"/>
      <x:c r="C2" s="8"/>
      <x:c r="D2" s="8"/>
      <x:c r="E2" s="8"/>
      <x:c r="F2" s="8"/>
      <x:c r="G2" s="8"/>
      <x:c r="H2" s="8"/>
    </x:row>
    <x:row r="3" ht="23" customHeight="1">
      <x:c r="A3" s="8"/>
      <x:c r="B3" s="8"/>
      <x:c r="C3" s="8"/>
      <x:c r="D3" s="8"/>
      <x:c r="E3" s="8"/>
      <x:c r="F3" s="8"/>
      <x:c r="G3" s="8"/>
      <x:c r="H3" s="8"/>
    </x:row>
    <x:row r="4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11" t="str">
        <x:v>구성</x:v>
      </x:c>
      <x:c r="B5" s="11" t="str">
        <x:v>사례</x:v>
      </x:c>
      <x:c r="C5" s="11" t="str">
        <x:v>단계 ID</x:v>
      </x:c>
      <x:c r="D5" s="11" t="str">
        <x:v>단계 범위</x:v>
      </x:c>
      <x:c r="E5" s="11" t="str">
        <x:v>과금 종류</x:v>
      </x:c>
      <x:c r="F5" s="11" t="str">
        <x:v>사용량</x:v>
      </x:c>
      <x:c r="G5" s="11" t="str">
        <x:v>단가 $</x:v>
      </x:c>
      <x:c r="H5" s="11" t="str">
        <x:v>계산 비용 $</x:v>
      </x:c>
    </x:row>
    <x:row r="6" ht="34" customHeight="1">
      <x:c r="A6" s="12" t="str">
        <x:v>BASE</x:v>
      </x:c>
      <x:c r="B6" s="12" t="str">
        <x:v>U01</x:v>
      </x:c>
      <x:c r="C6" s="12" t="str">
        <x:v>meaning</x:v>
      </x:c>
      <x:c r="D6" s="12" t="str">
        <x:v>request</x:v>
      </x:c>
      <x:c r="E6" s="12" t="str">
        <x:v>text_input</x:v>
      </x:c>
      <x:c r="F6" s="15" t="n">
        <x:v>600</x:v>
      </x:c>
      <x:c r="G6" s="17" t="n">
        <x:v>0.000001</x:v>
      </x:c>
      <x:c r="H6" s="15" t="n">
        <x:f>F6*G6</x:f>
        <x:v>0.0006</x:v>
      </x:c>
    </x:row>
    <x:row r="7" ht="34" customHeight="1">
      <x:c r="A7" s="7" t="str">
        <x:v>BASE</x:v>
      </x:c>
      <x:c r="B7" s="7" t="str">
        <x:v>U01</x:v>
      </x:c>
      <x:c r="C7" s="7" t="str">
        <x:v>meaning</x:v>
      </x:c>
      <x:c r="D7" s="7" t="str">
        <x:v>request</x:v>
      </x:c>
      <x:c r="E7" s="7" t="str">
        <x:v>text_output</x:v>
      </x:c>
      <x:c r="F7" s="16" t="n">
        <x:v>64</x:v>
      </x:c>
      <x:c r="G7" s="18" t="n">
        <x:v>0.000004</x:v>
      </x:c>
      <x:c r="H7" s="16" t="n">
        <x:f>F7*G7</x:f>
        <x:v>0.000256</x:v>
      </x:c>
    </x:row>
    <x:row r="8" ht="34" customHeight="1">
      <x:c r="A8" s="12" t="str">
        <x:v>BASE</x:v>
      </x:c>
      <x:c r="B8" s="12" t="str">
        <x:v>U01</x:v>
      </x:c>
      <x:c r="C8" s="12" t="str">
        <x:v>response_audio</x:v>
      </x:c>
      <x:c r="D8" s="12" t="str">
        <x:v>request</x:v>
      </x:c>
      <x:c r="E8" s="12" t="str">
        <x:v>text_input</x:v>
      </x:c>
      <x:c r="F8" s="15" t="n">
        <x:v>48</x:v>
      </x:c>
      <x:c r="G8" s="17" t="n">
        <x:v>0.000001</x:v>
      </x:c>
      <x:c r="H8" s="15" t="n">
        <x:f>F8*G8</x:f>
        <x:v>0.000048</x:v>
      </x:c>
    </x:row>
    <x:row r="9" ht="34" customHeight="1">
      <x:c r="A9" s="7" t="str">
        <x:v>BASE</x:v>
      </x:c>
      <x:c r="B9" s="7" t="str">
        <x:v>U01</x:v>
      </x:c>
      <x:c r="C9" s="7" t="str">
        <x:v>response_audio</x:v>
      </x:c>
      <x:c r="D9" s="7" t="str">
        <x:v>request</x:v>
      </x:c>
      <x:c r="E9" s="7" t="str">
        <x:v>audio_output</x:v>
      </x:c>
      <x:c r="F9" s="16" t="n">
        <x:v>6</x:v>
      </x:c>
      <x:c r="G9" s="18" t="n">
        <x:v>0.002</x:v>
      </x:c>
      <x:c r="H9" s="16" t="n">
        <x:f>F9*G9</x:f>
        <x:v>0.012</x:v>
      </x:c>
    </x:row>
    <x:row r="10" ht="34" customHeight="1">
      <x:c r="A10" s="12" t="str">
        <x:v>BASE</x:v>
      </x:c>
      <x:c r="B10" s="12" t="str">
        <x:v>U02</x:v>
      </x:c>
      <x:c r="C10" s="12" t="str">
        <x:v>meaning</x:v>
      </x:c>
      <x:c r="D10" s="12" t="str">
        <x:v>request</x:v>
      </x:c>
      <x:c r="E10" s="12" t="str">
        <x:v>text_input</x:v>
      </x:c>
      <x:c r="F10" s="15" t="n">
        <x:v>600</x:v>
      </x:c>
      <x:c r="G10" s="17" t="n">
        <x:v>0.000001</x:v>
      </x:c>
      <x:c r="H10" s="15" t="n">
        <x:f>F10*G10</x:f>
        <x:v>0.0006</x:v>
      </x:c>
    </x:row>
    <x:row r="11" ht="34" customHeight="1">
      <x:c r="A11" s="7" t="str">
        <x:v>BASE</x:v>
      </x:c>
      <x:c r="B11" s="7" t="str">
        <x:v>U02</x:v>
      </x:c>
      <x:c r="C11" s="7" t="str">
        <x:v>meaning</x:v>
      </x:c>
      <x:c r="D11" s="7" t="str">
        <x:v>request</x:v>
      </x:c>
      <x:c r="E11" s="7" t="str">
        <x:v>text_output</x:v>
      </x:c>
      <x:c r="F11" s="16" t="n">
        <x:v>64</x:v>
      </x:c>
      <x:c r="G11" s="18" t="n">
        <x:v>0.000004</x:v>
      </x:c>
      <x:c r="H11" s="16" t="n">
        <x:f>F11*G11</x:f>
        <x:v>0.000256</x:v>
      </x:c>
    </x:row>
    <x:row r="12" ht="34" customHeight="1">
      <x:c r="A12" s="12" t="str">
        <x:v>BASE</x:v>
      </x:c>
      <x:c r="B12" s="12" t="str">
        <x:v>U02</x:v>
      </x:c>
      <x:c r="C12" s="12" t="str">
        <x:v>response_audio</x:v>
      </x:c>
      <x:c r="D12" s="12" t="str">
        <x:v>request</x:v>
      </x:c>
      <x:c r="E12" s="12" t="str">
        <x:v>text_input</x:v>
      </x:c>
      <x:c r="F12" s="15" t="n">
        <x:v>24</x:v>
      </x:c>
      <x:c r="G12" s="17" t="n">
        <x:v>0.000001</x:v>
      </x:c>
      <x:c r="H12" s="15" t="n">
        <x:f>F12*G12</x:f>
        <x:v>0.000024</x:v>
      </x:c>
    </x:row>
    <x:row r="13" ht="34" customHeight="1">
      <x:c r="A13" s="7" t="str">
        <x:v>BASE</x:v>
      </x:c>
      <x:c r="B13" s="7" t="str">
        <x:v>U02</x:v>
      </x:c>
      <x:c r="C13" s="7" t="str">
        <x:v>response_audio</x:v>
      </x:c>
      <x:c r="D13" s="7" t="str">
        <x:v>request</x:v>
      </x:c>
      <x:c r="E13" s="7" t="str">
        <x:v>audio_output</x:v>
      </x:c>
      <x:c r="F13" s="16" t="n">
        <x:v>3</x:v>
      </x:c>
      <x:c r="G13" s="18" t="n">
        <x:v>0.002</x:v>
      </x:c>
      <x:c r="H13" s="16" t="n">
        <x:f>F13*G13</x:f>
        <x:v>0.006</x:v>
      </x:c>
    </x:row>
    <x:row r="14" ht="34" customHeight="1">
      <x:c r="A14" s="12" t="str">
        <x:v>BASE</x:v>
      </x:c>
      <x:c r="B14" s="12" t="str">
        <x:v>U02</x:v>
      </x:c>
      <x:c r="C14" s="12" t="str">
        <x:v>input_end</x:v>
      </x:c>
      <x:c r="D14" s="12" t="str">
        <x:v>input</x:v>
      </x:c>
      <x:c r="E14" s="12" t="str">
        <x:v>audio_input</x:v>
      </x:c>
      <x:c r="F14" s="15" t="n">
        <x:v>3</x:v>
      </x:c>
      <x:c r="G14" s="17" t="n">
        <x:v>0.001</x:v>
      </x:c>
      <x:c r="H14" s="15" t="n">
        <x:f>F14*G14</x:f>
        <x:v>0.003</x:v>
      </x:c>
    </x:row>
    <x:row r="15" ht="34" customHeight="1">
      <x:c r="A15" s="7" t="str">
        <x:v>BASE</x:v>
      </x:c>
      <x:c r="B15" s="7" t="str">
        <x:v>U03</x:v>
      </x:c>
      <x:c r="C15" s="7" t="str">
        <x:v>meaning</x:v>
      </x:c>
      <x:c r="D15" s="7" t="str">
        <x:v>request</x:v>
      </x:c>
      <x:c r="E15" s="7" t="str">
        <x:v>text_input</x:v>
      </x:c>
      <x:c r="F15" s="16" t="n">
        <x:v>600</x:v>
      </x:c>
      <x:c r="G15" s="18" t="n">
        <x:v>0.000001</x:v>
      </x:c>
      <x:c r="H15" s="16" t="n">
        <x:f>F15*G15</x:f>
        <x:v>0.0006</x:v>
      </x:c>
    </x:row>
    <x:row r="16" ht="34" customHeight="1">
      <x:c r="A16" s="12" t="str">
        <x:v>BASE</x:v>
      </x:c>
      <x:c r="B16" s="12" t="str">
        <x:v>U03</x:v>
      </x:c>
      <x:c r="C16" s="12" t="str">
        <x:v>meaning</x:v>
      </x:c>
      <x:c r="D16" s="12" t="str">
        <x:v>request</x:v>
      </x:c>
      <x:c r="E16" s="12" t="str">
        <x:v>text_output</x:v>
      </x:c>
      <x:c r="F16" s="15" t="n">
        <x:v>64</x:v>
      </x:c>
      <x:c r="G16" s="17" t="n">
        <x:v>0.000004</x:v>
      </x:c>
      <x:c r="H16" s="15" t="n">
        <x:f>F16*G16</x:f>
        <x:v>0.000256</x:v>
      </x:c>
    </x:row>
    <x:row r="17" ht="34" customHeight="1">
      <x:c r="A17" s="7" t="str">
        <x:v>BASE</x:v>
      </x:c>
      <x:c r="B17" s="7" t="str">
        <x:v>U03</x:v>
      </x:c>
      <x:c r="C17" s="7" t="str">
        <x:v>long_work</x:v>
      </x:c>
      <x:c r="D17" s="7" t="str">
        <x:v>request</x:v>
      </x:c>
      <x:c r="E17" s="7" t="str">
        <x:v>text_input</x:v>
      </x:c>
      <x:c r="F17" s="16" t="n">
        <x:v>1200</x:v>
      </x:c>
      <x:c r="G17" s="18" t="n">
        <x:v>0.000001</x:v>
      </x:c>
      <x:c r="H17" s="16" t="n">
        <x:f>F17*G17</x:f>
        <x:v>0.0012</x:v>
      </x:c>
    </x:row>
    <x:row r="18" ht="34" customHeight="1">
      <x:c r="A18" s="12" t="str">
        <x:v>BASE</x:v>
      </x:c>
      <x:c r="B18" s="12" t="str">
        <x:v>U03</x:v>
      </x:c>
      <x:c r="C18" s="12" t="str">
        <x:v>long_work</x:v>
      </x:c>
      <x:c r="D18" s="12" t="str">
        <x:v>request</x:v>
      </x:c>
      <x:c r="E18" s="12" t="str">
        <x:v>text_output</x:v>
      </x:c>
      <x:c r="F18" s="15" t="n">
        <x:v>96</x:v>
      </x:c>
      <x:c r="G18" s="17" t="n">
        <x:v>0.000004</x:v>
      </x:c>
      <x:c r="H18" s="15" t="n">
        <x:f>F18*G18</x:f>
        <x:v>0.000384</x:v>
      </x:c>
    </x:row>
    <x:row r="19" ht="34" customHeight="1">
      <x:c r="A19" s="7" t="str">
        <x:v>BASE</x:v>
      </x:c>
      <x:c r="B19" s="7" t="str">
        <x:v>U03</x:v>
      </x:c>
      <x:c r="C19" s="7" t="str">
        <x:v>response_audio</x:v>
      </x:c>
      <x:c r="D19" s="7" t="str">
        <x:v>request</x:v>
      </x:c>
      <x:c r="E19" s="7" t="str">
        <x:v>text_input</x:v>
      </x:c>
      <x:c r="F19" s="16" t="n">
        <x:v>48</x:v>
      </x:c>
      <x:c r="G19" s="18" t="n">
        <x:v>0.000001</x:v>
      </x:c>
      <x:c r="H19" s="16" t="n">
        <x:f>F19*G19</x:f>
        <x:v>0.000048</x:v>
      </x:c>
    </x:row>
    <x:row r="20" ht="34" customHeight="1">
      <x:c r="A20" s="12" t="str">
        <x:v>BASE</x:v>
      </x:c>
      <x:c r="B20" s="12" t="str">
        <x:v>U03</x:v>
      </x:c>
      <x:c r="C20" s="12" t="str">
        <x:v>response_audio</x:v>
      </x:c>
      <x:c r="D20" s="12" t="str">
        <x:v>request</x:v>
      </x:c>
      <x:c r="E20" s="12" t="str">
        <x:v>audio_output</x:v>
      </x:c>
      <x:c r="F20" s="15" t="n">
        <x:v>6</x:v>
      </x:c>
      <x:c r="G20" s="17" t="n">
        <x:v>0.002</x:v>
      </x:c>
      <x:c r="H20" s="15" t="n">
        <x:f>F20*G20</x:f>
        <x:v>0.012</x:v>
      </x:c>
    </x:row>
    <x:row r="21" ht="34" customHeight="1">
      <x:c r="A21" s="7" t="str">
        <x:v>BASE</x:v>
      </x:c>
      <x:c r="B21" s="7" t="str">
        <x:v>U03</x:v>
      </x:c>
      <x:c r="C21" s="7" t="str">
        <x:v>intent_audio</x:v>
      </x:c>
      <x:c r="D21" s="7" t="str">
        <x:v>request</x:v>
      </x:c>
      <x:c r="E21" s="7" t="str">
        <x:v>text_input</x:v>
      </x:c>
      <x:c r="F21" s="16" t="n">
        <x:v>24</x:v>
      </x:c>
      <x:c r="G21" s="18" t="n">
        <x:v>0.000001</x:v>
      </x:c>
      <x:c r="H21" s="16" t="n">
        <x:f>F21*G21</x:f>
        <x:v>0.000024</x:v>
      </x:c>
    </x:row>
    <x:row r="22" ht="34" customHeight="1">
      <x:c r="A22" s="12" t="str">
        <x:v>BASE</x:v>
      </x:c>
      <x:c r="B22" s="12" t="str">
        <x:v>U03</x:v>
      </x:c>
      <x:c r="C22" s="12" t="str">
        <x:v>intent_audio</x:v>
      </x:c>
      <x:c r="D22" s="12" t="str">
        <x:v>request</x:v>
      </x:c>
      <x:c r="E22" s="12" t="str">
        <x:v>audio_output</x:v>
      </x:c>
      <x:c r="F22" s="15" t="n">
        <x:v>3</x:v>
      </x:c>
      <x:c r="G22" s="17" t="n">
        <x:v>0.002</x:v>
      </x:c>
      <x:c r="H22" s="15" t="n">
        <x:f>F22*G22</x:f>
        <x:v>0.006</x:v>
      </x:c>
    </x:row>
    <x:row r="23" ht="34" customHeight="1">
      <x:c r="A23" s="7" t="str">
        <x:v>BASE</x:v>
      </x:c>
      <x:c r="B23" s="7" t="str">
        <x:v>U04</x:v>
      </x:c>
      <x:c r="C23" s="7" t="str">
        <x:v>meaning</x:v>
      </x:c>
      <x:c r="D23" s="7" t="str">
        <x:v>request</x:v>
      </x:c>
      <x:c r="E23" s="7" t="str">
        <x:v>text_input</x:v>
      </x:c>
      <x:c r="F23" s="16" t="n">
        <x:v>600</x:v>
      </x:c>
      <x:c r="G23" s="18" t="n">
        <x:v>0.000001</x:v>
      </x:c>
      <x:c r="H23" s="16" t="n">
        <x:f>F23*G23</x:f>
        <x:v>0.0006</x:v>
      </x:c>
    </x:row>
    <x:row r="24" ht="34" customHeight="1">
      <x:c r="A24" s="12" t="str">
        <x:v>BASE</x:v>
      </x:c>
      <x:c r="B24" s="12" t="str">
        <x:v>U04</x:v>
      </x:c>
      <x:c r="C24" s="12" t="str">
        <x:v>meaning</x:v>
      </x:c>
      <x:c r="D24" s="12" t="str">
        <x:v>request</x:v>
      </x:c>
      <x:c r="E24" s="12" t="str">
        <x:v>text_output</x:v>
      </x:c>
      <x:c r="F24" s="15" t="n">
        <x:v>64</x:v>
      </x:c>
      <x:c r="G24" s="17" t="n">
        <x:v>0.000004</x:v>
      </x:c>
      <x:c r="H24" s="15" t="n">
        <x:f>F24*G24</x:f>
        <x:v>0.000256</x:v>
      </x:c>
    </x:row>
    <x:row r="25" ht="34" customHeight="1">
      <x:c r="A25" s="7" t="str">
        <x:v>BASE</x:v>
      </x:c>
      <x:c r="B25" s="7" t="str">
        <x:v>U04</x:v>
      </x:c>
      <x:c r="C25" s="7" t="str">
        <x:v>response_audio</x:v>
      </x:c>
      <x:c r="D25" s="7" t="str">
        <x:v>request</x:v>
      </x:c>
      <x:c r="E25" s="7" t="str">
        <x:v>text_input</x:v>
      </x:c>
      <x:c r="F25" s="16" t="n">
        <x:v>48</x:v>
      </x:c>
      <x:c r="G25" s="18" t="n">
        <x:v>0.000001</x:v>
      </x:c>
      <x:c r="H25" s="16" t="n">
        <x:f>F25*G25</x:f>
        <x:v>0.000048</x:v>
      </x:c>
    </x:row>
    <x:row r="26" ht="34" customHeight="1">
      <x:c r="A26" s="12" t="str">
        <x:v>BASE</x:v>
      </x:c>
      <x:c r="B26" s="12" t="str">
        <x:v>U04</x:v>
      </x:c>
      <x:c r="C26" s="12" t="str">
        <x:v>response_audio</x:v>
      </x:c>
      <x:c r="D26" s="12" t="str">
        <x:v>request</x:v>
      </x:c>
      <x:c r="E26" s="12" t="str">
        <x:v>audio_output</x:v>
      </x:c>
      <x:c r="F26" s="15" t="n">
        <x:v>6</x:v>
      </x:c>
      <x:c r="G26" s="17" t="n">
        <x:v>0.002</x:v>
      </x:c>
      <x:c r="H26" s="15" t="n">
        <x:f>F26*G26</x:f>
        <x:v>0.012</x:v>
      </x:c>
    </x:row>
    <x:row r="27" ht="34" customHeight="1">
      <x:c r="A27" s="7" t="str">
        <x:v>BASE</x:v>
      </x:c>
      <x:c r="B27" s="7" t="str">
        <x:v>U04</x:v>
      </x:c>
      <x:c r="C27" s="7" t="str">
        <x:v>input_end</x:v>
      </x:c>
      <x:c r="D27" s="7" t="str">
        <x:v>input</x:v>
      </x:c>
      <x:c r="E27" s="7" t="str">
        <x:v>audio_input</x:v>
      </x:c>
      <x:c r="F27" s="16" t="n">
        <x:v>3</x:v>
      </x:c>
      <x:c r="G27" s="18" t="n">
        <x:v>0.001</x:v>
      </x:c>
      <x:c r="H27" s="16" t="n">
        <x:f>F27*G27</x:f>
        <x:v>0.003</x:v>
      </x:c>
    </x:row>
    <x:row r="28" ht="34" customHeight="1">
      <x:c r="A28" s="12" t="str">
        <x:v>BASE</x:v>
      </x:c>
      <x:c r="B28" s="12" t="str">
        <x:v>U05</x:v>
      </x:c>
      <x:c r="C28" s="12" t="str">
        <x:v>bg1</x:v>
      </x:c>
      <x:c r="D28" s="12" t="str">
        <x:v>background</x:v>
      </x:c>
      <x:c r="E28" s="12" t="str">
        <x:v>text_input</x:v>
      </x:c>
      <x:c r="F28" s="15" t="n">
        <x:v>1200</x:v>
      </x:c>
      <x:c r="G28" s="17" t="n">
        <x:v>0.000001</x:v>
      </x:c>
      <x:c r="H28" s="15" t="n">
        <x:f>F28*G28</x:f>
        <x:v>0.0012</x:v>
      </x:c>
    </x:row>
    <x:row r="29" ht="34" customHeight="1">
      <x:c r="A29" s="7" t="str">
        <x:v>BASE</x:v>
      </x:c>
      <x:c r="B29" s="7" t="str">
        <x:v>U05</x:v>
      </x:c>
      <x:c r="C29" s="7" t="str">
        <x:v>bg1</x:v>
      </x:c>
      <x:c r="D29" s="7" t="str">
        <x:v>background</x:v>
      </x:c>
      <x:c r="E29" s="7" t="str">
        <x:v>text_output</x:v>
      </x:c>
      <x:c r="F29" s="16" t="n">
        <x:v>240</x:v>
      </x:c>
      <x:c r="G29" s="18" t="n">
        <x:v>0.000004</x:v>
      </x:c>
      <x:c r="H29" s="16" t="n">
        <x:f>F29*G29</x:f>
        <x:v>0.0009599999999999999</x:v>
      </x:c>
    </x:row>
    <x:row r="30" ht="34" customHeight="1">
      <x:c r="A30" s="12" t="str">
        <x:v>BASE</x:v>
      </x:c>
      <x:c r="B30" s="12" t="str">
        <x:v>U05</x:v>
      </x:c>
      <x:c r="C30" s="12" t="str">
        <x:v>meaning</x:v>
      </x:c>
      <x:c r="D30" s="12" t="str">
        <x:v>request</x:v>
      </x:c>
      <x:c r="E30" s="12" t="str">
        <x:v>text_input</x:v>
      </x:c>
      <x:c r="F30" s="15" t="n">
        <x:v>600</x:v>
      </x:c>
      <x:c r="G30" s="17" t="n">
        <x:v>0.000001</x:v>
      </x:c>
      <x:c r="H30" s="15" t="n">
        <x:f>F30*G30</x:f>
        <x:v>0.0006</x:v>
      </x:c>
    </x:row>
    <x:row r="31" ht="34" customHeight="1">
      <x:c r="A31" s="7" t="str">
        <x:v>BASE</x:v>
      </x:c>
      <x:c r="B31" s="7" t="str">
        <x:v>U05</x:v>
      </x:c>
      <x:c r="C31" s="7" t="str">
        <x:v>meaning</x:v>
      </x:c>
      <x:c r="D31" s="7" t="str">
        <x:v>request</x:v>
      </x:c>
      <x:c r="E31" s="7" t="str">
        <x:v>text_output</x:v>
      </x:c>
      <x:c r="F31" s="16" t="n">
        <x:v>64</x:v>
      </x:c>
      <x:c r="G31" s="18" t="n">
        <x:v>0.000004</x:v>
      </x:c>
      <x:c r="H31" s="16" t="n">
        <x:f>F31*G31</x:f>
        <x:v>0.000256</x:v>
      </x:c>
    </x:row>
    <x:row r="32" ht="34" customHeight="1">
      <x:c r="A32" s="12" t="str">
        <x:v>BASE</x:v>
      </x:c>
      <x:c r="B32" s="12" t="str">
        <x:v>U05</x:v>
      </x:c>
      <x:c r="C32" s="12" t="str">
        <x:v>response_audio</x:v>
      </x:c>
      <x:c r="D32" s="12" t="str">
        <x:v>request</x:v>
      </x:c>
      <x:c r="E32" s="12" t="str">
        <x:v>text_input</x:v>
      </x:c>
      <x:c r="F32" s="15" t="n">
        <x:v>48</x:v>
      </x:c>
      <x:c r="G32" s="17" t="n">
        <x:v>0.000001</x:v>
      </x:c>
      <x:c r="H32" s="15" t="n">
        <x:f>F32*G32</x:f>
        <x:v>0.000048</x:v>
      </x:c>
    </x:row>
    <x:row r="33" ht="34" customHeight="1">
      <x:c r="A33" s="7" t="str">
        <x:v>BASE</x:v>
      </x:c>
      <x:c r="B33" s="7" t="str">
        <x:v>U05</x:v>
      </x:c>
      <x:c r="C33" s="7" t="str">
        <x:v>response_audio</x:v>
      </x:c>
      <x:c r="D33" s="7" t="str">
        <x:v>request</x:v>
      </x:c>
      <x:c r="E33" s="7" t="str">
        <x:v>audio_output</x:v>
      </x:c>
      <x:c r="F33" s="16" t="n">
        <x:v>6</x:v>
      </x:c>
      <x:c r="G33" s="18" t="n">
        <x:v>0.002</x:v>
      </x:c>
      <x:c r="H33" s="16" t="n">
        <x:f>F33*G33</x:f>
        <x:v>0.012</x:v>
      </x:c>
    </x:row>
    <x:row r="34" ht="34" customHeight="1">
      <x:c r="A34" s="12" t="str">
        <x:v>BASE</x:v>
      </x:c>
      <x:c r="B34" s="12" t="str">
        <x:v>U05</x:v>
      </x:c>
      <x:c r="C34" s="12" t="str">
        <x:v>input_end</x:v>
      </x:c>
      <x:c r="D34" s="12" t="str">
        <x:v>input</x:v>
      </x:c>
      <x:c r="E34" s="12" t="str">
        <x:v>audio_input</x:v>
      </x:c>
      <x:c r="F34" s="15" t="n">
        <x:v>3</x:v>
      </x:c>
      <x:c r="G34" s="17" t="n">
        <x:v>0.001</x:v>
      </x:c>
      <x:c r="H34" s="15" t="n">
        <x:f>F34*G34</x:f>
        <x:v>0.003</x:v>
      </x:c>
    </x:row>
    <x:row r="35" ht="34" customHeight="1">
      <x:c r="A35" s="7" t="str">
        <x:v>BASE</x:v>
      </x:c>
      <x:c r="B35" s="7" t="str">
        <x:v>U06</x:v>
      </x:c>
      <x:c r="C35" s="7" t="str">
        <x:v>bg1</x:v>
      </x:c>
      <x:c r="D35" s="7" t="str">
        <x:v>background</x:v>
      </x:c>
      <x:c r="E35" s="7" t="str">
        <x:v>text_input</x:v>
      </x:c>
      <x:c r="F35" s="16" t="n">
        <x:v>1200</x:v>
      </x:c>
      <x:c r="G35" s="18" t="n">
        <x:v>0.000001</x:v>
      </x:c>
      <x:c r="H35" s="16" t="n">
        <x:f>F35*G35</x:f>
        <x:v>0.0012</x:v>
      </x:c>
    </x:row>
    <x:row r="36" ht="34" customHeight="1">
      <x:c r="A36" s="12" t="str">
        <x:v>BASE</x:v>
      </x:c>
      <x:c r="B36" s="12" t="str">
        <x:v>U06</x:v>
      </x:c>
      <x:c r="C36" s="12" t="str">
        <x:v>bg1</x:v>
      </x:c>
      <x:c r="D36" s="12" t="str">
        <x:v>background</x:v>
      </x:c>
      <x:c r="E36" s="12" t="str">
        <x:v>text_output</x:v>
      </x:c>
      <x:c r="F36" s="15" t="n">
        <x:v>240</x:v>
      </x:c>
      <x:c r="G36" s="17" t="n">
        <x:v>0.000004</x:v>
      </x:c>
      <x:c r="H36" s="15" t="n">
        <x:f>F36*G36</x:f>
        <x:v>0.0009599999999999999</x:v>
      </x:c>
    </x:row>
    <x:row r="37" ht="34" customHeight="1">
      <x:c r="A37" s="7" t="str">
        <x:v>BASE</x:v>
      </x:c>
      <x:c r="B37" s="7" t="str">
        <x:v>U06</x:v>
      </x:c>
      <x:c r="C37" s="7" t="str">
        <x:v>meaning</x:v>
      </x:c>
      <x:c r="D37" s="7" t="str">
        <x:v>request</x:v>
      </x:c>
      <x:c r="E37" s="7" t="str">
        <x:v>text_input</x:v>
      </x:c>
      <x:c r="F37" s="16" t="n">
        <x:v>600</x:v>
      </x:c>
      <x:c r="G37" s="18" t="n">
        <x:v>0.000001</x:v>
      </x:c>
      <x:c r="H37" s="16" t="n">
        <x:f>F37*G37</x:f>
        <x:v>0.0006</x:v>
      </x:c>
    </x:row>
    <x:row r="38" ht="34" customHeight="1">
      <x:c r="A38" s="12" t="str">
        <x:v>BASE</x:v>
      </x:c>
      <x:c r="B38" s="12" t="str">
        <x:v>U06</x:v>
      </x:c>
      <x:c r="C38" s="12" t="str">
        <x:v>meaning</x:v>
      </x:c>
      <x:c r="D38" s="12" t="str">
        <x:v>request</x:v>
      </x:c>
      <x:c r="E38" s="12" t="str">
        <x:v>text_output</x:v>
      </x:c>
      <x:c r="F38" s="15" t="n">
        <x:v>64</x:v>
      </x:c>
      <x:c r="G38" s="17" t="n">
        <x:v>0.000004</x:v>
      </x:c>
      <x:c r="H38" s="15" t="n">
        <x:f>F38*G38</x:f>
        <x:v>0.000256</x:v>
      </x:c>
    </x:row>
    <x:row r="39" ht="34" customHeight="1">
      <x:c r="A39" s="7" t="str">
        <x:v>BASE</x:v>
      </x:c>
      <x:c r="B39" s="7" t="str">
        <x:v>U06</x:v>
      </x:c>
      <x:c r="C39" s="7" t="str">
        <x:v>long_work</x:v>
      </x:c>
      <x:c r="D39" s="7" t="str">
        <x:v>request</x:v>
      </x:c>
      <x:c r="E39" s="7" t="str">
        <x:v>text_input</x:v>
      </x:c>
      <x:c r="F39" s="16" t="n">
        <x:v>1200</x:v>
      </x:c>
      <x:c r="G39" s="18" t="n">
        <x:v>0.000001</x:v>
      </x:c>
      <x:c r="H39" s="16" t="n">
        <x:f>F39*G39</x:f>
        <x:v>0.0012</x:v>
      </x:c>
    </x:row>
    <x:row r="40" ht="34" customHeight="1">
      <x:c r="A40" s="12" t="str">
        <x:v>BASE</x:v>
      </x:c>
      <x:c r="B40" s="12" t="str">
        <x:v>U06</x:v>
      </x:c>
      <x:c r="C40" s="12" t="str">
        <x:v>long_work</x:v>
      </x:c>
      <x:c r="D40" s="12" t="str">
        <x:v>request</x:v>
      </x:c>
      <x:c r="E40" s="12" t="str">
        <x:v>text_output</x:v>
      </x:c>
      <x:c r="F40" s="15" t="n">
        <x:v>96</x:v>
      </x:c>
      <x:c r="G40" s="17" t="n">
        <x:v>0.000004</x:v>
      </x:c>
      <x:c r="H40" s="15" t="n">
        <x:f>F40*G40</x:f>
        <x:v>0.000384</x:v>
      </x:c>
    </x:row>
    <x:row r="41" ht="34" customHeight="1">
      <x:c r="A41" s="7" t="str">
        <x:v>BASE</x:v>
      </x:c>
      <x:c r="B41" s="7" t="str">
        <x:v>U06</x:v>
      </x:c>
      <x:c r="C41" s="7" t="str">
        <x:v>response_audio</x:v>
      </x:c>
      <x:c r="D41" s="7" t="str">
        <x:v>request</x:v>
      </x:c>
      <x:c r="E41" s="7" t="str">
        <x:v>text_input</x:v>
      </x:c>
      <x:c r="F41" s="16" t="n">
        <x:v>48</x:v>
      </x:c>
      <x:c r="G41" s="18" t="n">
        <x:v>0.000001</x:v>
      </x:c>
      <x:c r="H41" s="16" t="n">
        <x:f>F41*G41</x:f>
        <x:v>0.000048</x:v>
      </x:c>
    </x:row>
    <x:row r="42" ht="34" customHeight="1">
      <x:c r="A42" s="12" t="str">
        <x:v>BASE</x:v>
      </x:c>
      <x:c r="B42" s="12" t="str">
        <x:v>U06</x:v>
      </x:c>
      <x:c r="C42" s="12" t="str">
        <x:v>response_audio</x:v>
      </x:c>
      <x:c r="D42" s="12" t="str">
        <x:v>request</x:v>
      </x:c>
      <x:c r="E42" s="12" t="str">
        <x:v>audio_output</x:v>
      </x:c>
      <x:c r="F42" s="15" t="n">
        <x:v>6</x:v>
      </x:c>
      <x:c r="G42" s="17" t="n">
        <x:v>0.002</x:v>
      </x:c>
      <x:c r="H42" s="15" t="n">
        <x:f>F42*G42</x:f>
        <x:v>0.012</x:v>
      </x:c>
    </x:row>
    <x:row r="43" ht="34" customHeight="1">
      <x:c r="A43" s="7" t="str">
        <x:v>BASE</x:v>
      </x:c>
      <x:c r="B43" s="7" t="str">
        <x:v>U06</x:v>
      </x:c>
      <x:c r="C43" s="7" t="str">
        <x:v>intent_audio</x:v>
      </x:c>
      <x:c r="D43" s="7" t="str">
        <x:v>request</x:v>
      </x:c>
      <x:c r="E43" s="7" t="str">
        <x:v>text_input</x:v>
      </x:c>
      <x:c r="F43" s="16" t="n">
        <x:v>24</x:v>
      </x:c>
      <x:c r="G43" s="18" t="n">
        <x:v>0.000001</x:v>
      </x:c>
      <x:c r="H43" s="16" t="n">
        <x:f>F43*G43</x:f>
        <x:v>0.000024</x:v>
      </x:c>
    </x:row>
    <x:row r="44" ht="34" customHeight="1">
      <x:c r="A44" s="12" t="str">
        <x:v>BASE</x:v>
      </x:c>
      <x:c r="B44" s="12" t="str">
        <x:v>U06</x:v>
      </x:c>
      <x:c r="C44" s="12" t="str">
        <x:v>intent_audio</x:v>
      </x:c>
      <x:c r="D44" s="12" t="str">
        <x:v>request</x:v>
      </x:c>
      <x:c r="E44" s="12" t="str">
        <x:v>audio_output</x:v>
      </x:c>
      <x:c r="F44" s="15" t="n">
        <x:v>3</x:v>
      </x:c>
      <x:c r="G44" s="17" t="n">
        <x:v>0.002</x:v>
      </x:c>
      <x:c r="H44" s="15" t="n">
        <x:f>F44*G44</x:f>
        <x:v>0.006</x:v>
      </x:c>
    </x:row>
    <x:row r="45" ht="34" customHeight="1">
      <x:c r="A45" s="7" t="str">
        <x:v>BASE</x:v>
      </x:c>
      <x:c r="B45" s="7" t="str">
        <x:v>U07</x:v>
      </x:c>
      <x:c r="C45" s="7" t="str">
        <x:v>bg1</x:v>
      </x:c>
      <x:c r="D45" s="7" t="str">
        <x:v>background</x:v>
      </x:c>
      <x:c r="E45" s="7" t="str">
        <x:v>text_input</x:v>
      </x:c>
      <x:c r="F45" s="16" t="n">
        <x:v>1200</x:v>
      </x:c>
      <x:c r="G45" s="18" t="n">
        <x:v>0.000001</x:v>
      </x:c>
      <x:c r="H45" s="16" t="n">
        <x:f>F45*G45</x:f>
        <x:v>0.0012</x:v>
      </x:c>
    </x:row>
    <x:row r="46" ht="34" customHeight="1">
      <x:c r="A46" s="12" t="str">
        <x:v>BASE</x:v>
      </x:c>
      <x:c r="B46" s="12" t="str">
        <x:v>U07</x:v>
      </x:c>
      <x:c r="C46" s="12" t="str">
        <x:v>bg1</x:v>
      </x:c>
      <x:c r="D46" s="12" t="str">
        <x:v>background</x:v>
      </x:c>
      <x:c r="E46" s="12" t="str">
        <x:v>text_output</x:v>
      </x:c>
      <x:c r="F46" s="15" t="n">
        <x:v>240</x:v>
      </x:c>
      <x:c r="G46" s="17" t="n">
        <x:v>0.000004</x:v>
      </x:c>
      <x:c r="H46" s="15" t="n">
        <x:f>F46*G46</x:f>
        <x:v>0.0009599999999999999</x:v>
      </x:c>
    </x:row>
    <x:row r="47" ht="34" customHeight="1">
      <x:c r="A47" s="7" t="str">
        <x:v>BASE</x:v>
      </x:c>
      <x:c r="B47" s="7" t="str">
        <x:v>U07</x:v>
      </x:c>
      <x:c r="C47" s="7" t="str">
        <x:v>bg2</x:v>
      </x:c>
      <x:c r="D47" s="7" t="str">
        <x:v>background</x:v>
      </x:c>
      <x:c r="E47" s="7" t="str">
        <x:v>text_input</x:v>
      </x:c>
      <x:c r="F47" s="16" t="n">
        <x:v>1200</x:v>
      </x:c>
      <x:c r="G47" s="18" t="n">
        <x:v>0.000001</x:v>
      </x:c>
      <x:c r="H47" s="16" t="n">
        <x:f>F47*G47</x:f>
        <x:v>0.0012</x:v>
      </x:c>
    </x:row>
    <x:row r="48" ht="34" customHeight="1">
      <x:c r="A48" s="12" t="str">
        <x:v>BASE</x:v>
      </x:c>
      <x:c r="B48" s="12" t="str">
        <x:v>U07</x:v>
      </x:c>
      <x:c r="C48" s="12" t="str">
        <x:v>bg2</x:v>
      </x:c>
      <x:c r="D48" s="12" t="str">
        <x:v>background</x:v>
      </x:c>
      <x:c r="E48" s="12" t="str">
        <x:v>text_output</x:v>
      </x:c>
      <x:c r="F48" s="15" t="n">
        <x:v>240</x:v>
      </x:c>
      <x:c r="G48" s="17" t="n">
        <x:v>0.000004</x:v>
      </x:c>
      <x:c r="H48" s="15" t="n">
        <x:f>F48*G48</x:f>
        <x:v>0.0009599999999999999</x:v>
      </x:c>
    </x:row>
    <x:row r="49" ht="34" customHeight="1">
      <x:c r="A49" s="7" t="str">
        <x:v>BASE</x:v>
      </x:c>
      <x:c r="B49" s="7" t="str">
        <x:v>U07</x:v>
      </x:c>
      <x:c r="C49" s="7" t="str">
        <x:v>meaning</x:v>
      </x:c>
      <x:c r="D49" s="7" t="str">
        <x:v>request</x:v>
      </x:c>
      <x:c r="E49" s="7" t="str">
        <x:v>text_input</x:v>
      </x:c>
      <x:c r="F49" s="16" t="n">
        <x:v>600</x:v>
      </x:c>
      <x:c r="G49" s="18" t="n">
        <x:v>0.000001</x:v>
      </x:c>
      <x:c r="H49" s="16" t="n">
        <x:f>F49*G49</x:f>
        <x:v>0.0006</x:v>
      </x:c>
    </x:row>
    <x:row r="50" ht="34" customHeight="1">
      <x:c r="A50" s="12" t="str">
        <x:v>BASE</x:v>
      </x:c>
      <x:c r="B50" s="12" t="str">
        <x:v>U07</x:v>
      </x:c>
      <x:c r="C50" s="12" t="str">
        <x:v>meaning</x:v>
      </x:c>
      <x:c r="D50" s="12" t="str">
        <x:v>request</x:v>
      </x:c>
      <x:c r="E50" s="12" t="str">
        <x:v>text_output</x:v>
      </x:c>
      <x:c r="F50" s="15" t="n">
        <x:v>64</x:v>
      </x:c>
      <x:c r="G50" s="17" t="n">
        <x:v>0.000004</x:v>
      </x:c>
      <x:c r="H50" s="15" t="n">
        <x:f>F50*G50</x:f>
        <x:v>0.000256</x:v>
      </x:c>
    </x:row>
    <x:row r="51" ht="34" customHeight="1">
      <x:c r="A51" s="7" t="str">
        <x:v>BASE</x:v>
      </x:c>
      <x:c r="B51" s="7" t="str">
        <x:v>U07</x:v>
      </x:c>
      <x:c r="C51" s="7" t="str">
        <x:v>long_work</x:v>
      </x:c>
      <x:c r="D51" s="7" t="str">
        <x:v>request</x:v>
      </x:c>
      <x:c r="E51" s="7" t="str">
        <x:v>text_input</x:v>
      </x:c>
      <x:c r="F51" s="16" t="n">
        <x:v>1200</x:v>
      </x:c>
      <x:c r="G51" s="18" t="n">
        <x:v>0.000001</x:v>
      </x:c>
      <x:c r="H51" s="16" t="n">
        <x:f>F51*G51</x:f>
        <x:v>0.0012</x:v>
      </x:c>
    </x:row>
    <x:row r="52" ht="34" customHeight="1">
      <x:c r="A52" s="12" t="str">
        <x:v>BASE</x:v>
      </x:c>
      <x:c r="B52" s="12" t="str">
        <x:v>U07</x:v>
      </x:c>
      <x:c r="C52" s="12" t="str">
        <x:v>long_work</x:v>
      </x:c>
      <x:c r="D52" s="12" t="str">
        <x:v>request</x:v>
      </x:c>
      <x:c r="E52" s="12" t="str">
        <x:v>text_output</x:v>
      </x:c>
      <x:c r="F52" s="15" t="n">
        <x:v>96</x:v>
      </x:c>
      <x:c r="G52" s="17" t="n">
        <x:v>0.000004</x:v>
      </x:c>
      <x:c r="H52" s="15" t="n">
        <x:f>F52*G52</x:f>
        <x:v>0.000384</x:v>
      </x:c>
    </x:row>
    <x:row r="53" ht="34" customHeight="1">
      <x:c r="A53" s="7" t="str">
        <x:v>BASE</x:v>
      </x:c>
      <x:c r="B53" s="7" t="str">
        <x:v>U07</x:v>
      </x:c>
      <x:c r="C53" s="7" t="str">
        <x:v>response_audio</x:v>
      </x:c>
      <x:c r="D53" s="7" t="str">
        <x:v>request</x:v>
      </x:c>
      <x:c r="E53" s="7" t="str">
        <x:v>text_input</x:v>
      </x:c>
      <x:c r="F53" s="16" t="n">
        <x:v>48</x:v>
      </x:c>
      <x:c r="G53" s="18" t="n">
        <x:v>0.000001</x:v>
      </x:c>
      <x:c r="H53" s="16" t="n">
        <x:f>F53*G53</x:f>
        <x:v>0.000048</x:v>
      </x:c>
    </x:row>
    <x:row r="54" ht="34" customHeight="1">
      <x:c r="A54" s="12" t="str">
        <x:v>BASE</x:v>
      </x:c>
      <x:c r="B54" s="12" t="str">
        <x:v>U07</x:v>
      </x:c>
      <x:c r="C54" s="12" t="str">
        <x:v>response_audio</x:v>
      </x:c>
      <x:c r="D54" s="12" t="str">
        <x:v>request</x:v>
      </x:c>
      <x:c r="E54" s="12" t="str">
        <x:v>audio_output</x:v>
      </x:c>
      <x:c r="F54" s="15" t="n">
        <x:v>6</x:v>
      </x:c>
      <x:c r="G54" s="17" t="n">
        <x:v>0.002</x:v>
      </x:c>
      <x:c r="H54" s="15" t="n">
        <x:f>F54*G54</x:f>
        <x:v>0.012</x:v>
      </x:c>
    </x:row>
    <x:row r="55" ht="34" customHeight="1">
      <x:c r="A55" s="7" t="str">
        <x:v>BASE</x:v>
      </x:c>
      <x:c r="B55" s="7" t="str">
        <x:v>U07</x:v>
      </x:c>
      <x:c r="C55" s="7" t="str">
        <x:v>intent_audio</x:v>
      </x:c>
      <x:c r="D55" s="7" t="str">
        <x:v>request</x:v>
      </x:c>
      <x:c r="E55" s="7" t="str">
        <x:v>text_input</x:v>
      </x:c>
      <x:c r="F55" s="16" t="n">
        <x:v>24</x:v>
      </x:c>
      <x:c r="G55" s="18" t="n">
        <x:v>0.000001</x:v>
      </x:c>
      <x:c r="H55" s="16" t="n">
        <x:f>F55*G55</x:f>
        <x:v>0.000024</x:v>
      </x:c>
    </x:row>
    <x:row r="56" ht="34" customHeight="1">
      <x:c r="A56" s="12" t="str">
        <x:v>BASE</x:v>
      </x:c>
      <x:c r="B56" s="12" t="str">
        <x:v>U07</x:v>
      </x:c>
      <x:c r="C56" s="12" t="str">
        <x:v>intent_audio</x:v>
      </x:c>
      <x:c r="D56" s="12" t="str">
        <x:v>request</x:v>
      </x:c>
      <x:c r="E56" s="12" t="str">
        <x:v>audio_output</x:v>
      </x:c>
      <x:c r="F56" s="15" t="n">
        <x:v>3</x:v>
      </x:c>
      <x:c r="G56" s="17" t="n">
        <x:v>0.002</x:v>
      </x:c>
      <x:c r="H56" s="15" t="n">
        <x:f>F56*G56</x:f>
        <x:v>0.006</x:v>
      </x:c>
    </x:row>
    <x:row r="57" ht="34" customHeight="1">
      <x:c r="A57" s="7" t="str">
        <x:v>BASE</x:v>
      </x:c>
      <x:c r="B57" s="7" t="str">
        <x:v>U07</x:v>
      </x:c>
      <x:c r="C57" s="7" t="str">
        <x:v>input_end</x:v>
      </x:c>
      <x:c r="D57" s="7" t="str">
        <x:v>input</x:v>
      </x:c>
      <x:c r="E57" s="7" t="str">
        <x:v>audio_input</x:v>
      </x:c>
      <x:c r="F57" s="16" t="n">
        <x:v>3</x:v>
      </x:c>
      <x:c r="G57" s="18" t="n">
        <x:v>0.001</x:v>
      </x:c>
      <x:c r="H57" s="16" t="n">
        <x:f>F57*G57</x:f>
        <x:v>0.003</x:v>
      </x:c>
    </x:row>
    <x:row r="58" ht="34" customHeight="1">
      <x:c r="A58" s="12" t="str">
        <x:v>BASE</x:v>
      </x:c>
      <x:c r="B58" s="12" t="str">
        <x:v>U08</x:v>
      </x:c>
      <x:c r="C58" s="12" t="str">
        <x:v>bg1</x:v>
      </x:c>
      <x:c r="D58" s="12" t="str">
        <x:v>background</x:v>
      </x:c>
      <x:c r="E58" s="12" t="str">
        <x:v>text_input</x:v>
      </x:c>
      <x:c r="F58" s="15" t="n">
        <x:v>1200</x:v>
      </x:c>
      <x:c r="G58" s="17" t="n">
        <x:v>0.000001</x:v>
      </x:c>
      <x:c r="H58" s="15" t="n">
        <x:f>F58*G58</x:f>
        <x:v>0.0012</x:v>
      </x:c>
    </x:row>
    <x:row r="59" ht="34" customHeight="1">
      <x:c r="A59" s="7" t="str">
        <x:v>BASE</x:v>
      </x:c>
      <x:c r="B59" s="7" t="str">
        <x:v>U08</x:v>
      </x:c>
      <x:c r="C59" s="7" t="str">
        <x:v>bg1</x:v>
      </x:c>
      <x:c r="D59" s="7" t="str">
        <x:v>background</x:v>
      </x:c>
      <x:c r="E59" s="7" t="str">
        <x:v>text_output</x:v>
      </x:c>
      <x:c r="F59" s="16" t="n">
        <x:v>240</x:v>
      </x:c>
      <x:c r="G59" s="18" t="n">
        <x:v>0.000004</x:v>
      </x:c>
      <x:c r="H59" s="16" t="n">
        <x:f>F59*G59</x:f>
        <x:v>0.0009599999999999999</x:v>
      </x:c>
    </x:row>
    <x:row r="60" ht="34" customHeight="1">
      <x:c r="A60" s="12" t="str">
        <x:v>BASE</x:v>
      </x:c>
      <x:c r="B60" s="12" t="str">
        <x:v>U08</x:v>
      </x:c>
      <x:c r="C60" s="12" t="str">
        <x:v>meaning</x:v>
      </x:c>
      <x:c r="D60" s="12" t="str">
        <x:v>request</x:v>
      </x:c>
      <x:c r="E60" s="12" t="str">
        <x:v>text_input</x:v>
      </x:c>
      <x:c r="F60" s="15" t="n">
        <x:v>600</x:v>
      </x:c>
      <x:c r="G60" s="17" t="n">
        <x:v>0.000001</x:v>
      </x:c>
      <x:c r="H60" s="15" t="n">
        <x:f>F60*G60</x:f>
        <x:v>0.0006</x:v>
      </x:c>
    </x:row>
    <x:row r="61" ht="34" customHeight="1">
      <x:c r="A61" s="7" t="str">
        <x:v>BASE</x:v>
      </x:c>
      <x:c r="B61" s="7" t="str">
        <x:v>U08</x:v>
      </x:c>
      <x:c r="C61" s="7" t="str">
        <x:v>meaning</x:v>
      </x:c>
      <x:c r="D61" s="7" t="str">
        <x:v>request</x:v>
      </x:c>
      <x:c r="E61" s="7" t="str">
        <x:v>text_output</x:v>
      </x:c>
      <x:c r="F61" s="16" t="n">
        <x:v>64</x:v>
      </x:c>
      <x:c r="G61" s="18" t="n">
        <x:v>0.000004</x:v>
      </x:c>
      <x:c r="H61" s="16" t="n">
        <x:f>F61*G61</x:f>
        <x:v>0.000256</x:v>
      </x:c>
    </x:row>
    <x:row r="62" ht="34" customHeight="1">
      <x:c r="A62" s="12" t="str">
        <x:v>BASE</x:v>
      </x:c>
      <x:c r="B62" s="12" t="str">
        <x:v>U08</x:v>
      </x:c>
      <x:c r="C62" s="12" t="str">
        <x:v>long_work</x:v>
      </x:c>
      <x:c r="D62" s="12" t="str">
        <x:v>request</x:v>
      </x:c>
      <x:c r="E62" s="12" t="str">
        <x:v>text_input</x:v>
      </x:c>
      <x:c r="F62" s="15" t="n">
        <x:v>1200</x:v>
      </x:c>
      <x:c r="G62" s="17" t="n">
        <x:v>0.000001</x:v>
      </x:c>
      <x:c r="H62" s="15" t="n">
        <x:f>F62*G62</x:f>
        <x:v>0.0012</x:v>
      </x:c>
    </x:row>
    <x:row r="63" ht="34" customHeight="1">
      <x:c r="A63" s="7" t="str">
        <x:v>BASE</x:v>
      </x:c>
      <x:c r="B63" s="7" t="str">
        <x:v>U08</x:v>
      </x:c>
      <x:c r="C63" s="7" t="str">
        <x:v>long_work</x:v>
      </x:c>
      <x:c r="D63" s="7" t="str">
        <x:v>request</x:v>
      </x:c>
      <x:c r="E63" s="7" t="str">
        <x:v>text_output</x:v>
      </x:c>
      <x:c r="F63" s="16" t="n">
        <x:v>96</x:v>
      </x:c>
      <x:c r="G63" s="18" t="n">
        <x:v>0.000004</x:v>
      </x:c>
      <x:c r="H63" s="16" t="n">
        <x:f>F63*G63</x:f>
        <x:v>0.000384</x:v>
      </x:c>
    </x:row>
    <x:row r="64" ht="34" customHeight="1">
      <x:c r="A64" s="12" t="str">
        <x:v>BASE</x:v>
      </x:c>
      <x:c r="B64" s="12" t="str">
        <x:v>U08</x:v>
      </x:c>
      <x:c r="C64" s="12" t="str">
        <x:v>response_audio</x:v>
      </x:c>
      <x:c r="D64" s="12" t="str">
        <x:v>request</x:v>
      </x:c>
      <x:c r="E64" s="12" t="str">
        <x:v>text_input</x:v>
      </x:c>
      <x:c r="F64" s="15" t="n">
        <x:v>48</x:v>
      </x:c>
      <x:c r="G64" s="17" t="n">
        <x:v>0.000001</x:v>
      </x:c>
      <x:c r="H64" s="15" t="n">
        <x:f>F64*G64</x:f>
        <x:v>0.000048</x:v>
      </x:c>
    </x:row>
    <x:row r="65" ht="34" customHeight="1">
      <x:c r="A65" s="7" t="str">
        <x:v>BASE</x:v>
      </x:c>
      <x:c r="B65" s="7" t="str">
        <x:v>U08</x:v>
      </x:c>
      <x:c r="C65" s="7" t="str">
        <x:v>response_audio</x:v>
      </x:c>
      <x:c r="D65" s="7" t="str">
        <x:v>request</x:v>
      </x:c>
      <x:c r="E65" s="7" t="str">
        <x:v>audio_output</x:v>
      </x:c>
      <x:c r="F65" s="16" t="n">
        <x:v>6</x:v>
      </x:c>
      <x:c r="G65" s="18" t="n">
        <x:v>0.002</x:v>
      </x:c>
      <x:c r="H65" s="16" t="n">
        <x:f>F65*G65</x:f>
        <x:v>0.012</x:v>
      </x:c>
    </x:row>
    <x:row r="66" ht="34" customHeight="1">
      <x:c r="A66" s="12" t="str">
        <x:v>BASE</x:v>
      </x:c>
      <x:c r="B66" s="12" t="str">
        <x:v>U08</x:v>
      </x:c>
      <x:c r="C66" s="12" t="str">
        <x:v>intent_audio</x:v>
      </x:c>
      <x:c r="D66" s="12" t="str">
        <x:v>request</x:v>
      </x:c>
      <x:c r="E66" s="12" t="str">
        <x:v>text_input</x:v>
      </x:c>
      <x:c r="F66" s="15" t="n">
        <x:v>24</x:v>
      </x:c>
      <x:c r="G66" s="17" t="n">
        <x:v>0.000001</x:v>
      </x:c>
      <x:c r="H66" s="15" t="n">
        <x:f>F66*G66</x:f>
        <x:v>0.000024</x:v>
      </x:c>
    </x:row>
    <x:row r="67" ht="34" customHeight="1">
      <x:c r="A67" s="7" t="str">
        <x:v>BASE</x:v>
      </x:c>
      <x:c r="B67" s="7" t="str">
        <x:v>U08</x:v>
      </x:c>
      <x:c r="C67" s="7" t="str">
        <x:v>intent_audio</x:v>
      </x:c>
      <x:c r="D67" s="7" t="str">
        <x:v>request</x:v>
      </x:c>
      <x:c r="E67" s="7" t="str">
        <x:v>audio_output</x:v>
      </x:c>
      <x:c r="F67" s="16" t="n">
        <x:v>3</x:v>
      </x:c>
      <x:c r="G67" s="18" t="n">
        <x:v>0.002</x:v>
      </x:c>
      <x:c r="H67" s="16" t="n">
        <x:f>F67*G67</x:f>
        <x:v>0.006</x:v>
      </x:c>
    </x:row>
    <x:row r="68" ht="34" customHeight="1">
      <x:c r="A68" s="12" t="str">
        <x:v>BASE</x:v>
      </x:c>
      <x:c r="B68" s="12" t="str">
        <x:v>U09</x:v>
      </x:c>
      <x:c r="C68" s="12" t="str">
        <x:v>meaning</x:v>
      </x:c>
      <x:c r="D68" s="12" t="str">
        <x:v>request</x:v>
      </x:c>
      <x:c r="E68" s="12" t="str">
        <x:v>text_input</x:v>
      </x:c>
      <x:c r="F68" s="15" t="n">
        <x:v>600</x:v>
      </x:c>
      <x:c r="G68" s="17" t="n">
        <x:v>0.000001</x:v>
      </x:c>
      <x:c r="H68" s="15" t="n">
        <x:f>F68*G68</x:f>
        <x:v>0.0006</x:v>
      </x:c>
    </x:row>
    <x:row r="69" ht="34" customHeight="1">
      <x:c r="A69" s="7" t="str">
        <x:v>BASE</x:v>
      </x:c>
      <x:c r="B69" s="7" t="str">
        <x:v>U09</x:v>
      </x:c>
      <x:c r="C69" s="7" t="str">
        <x:v>meaning</x:v>
      </x:c>
      <x:c r="D69" s="7" t="str">
        <x:v>request</x:v>
      </x:c>
      <x:c r="E69" s="7" t="str">
        <x:v>text_output</x:v>
      </x:c>
      <x:c r="F69" s="16" t="n">
        <x:v>64</x:v>
      </x:c>
      <x:c r="G69" s="18" t="n">
        <x:v>0.000004</x:v>
      </x:c>
      <x:c r="H69" s="16" t="n">
        <x:f>F69*G69</x:f>
        <x:v>0.000256</x:v>
      </x:c>
    </x:row>
    <x:row r="70" ht="34" customHeight="1">
      <x:c r="A70" s="12" t="str">
        <x:v>BASE</x:v>
      </x:c>
      <x:c r="B70" s="12" t="str">
        <x:v>U09</x:v>
      </x:c>
      <x:c r="C70" s="12" t="str">
        <x:v>response_audio</x:v>
      </x:c>
      <x:c r="D70" s="12" t="str">
        <x:v>request</x:v>
      </x:c>
      <x:c r="E70" s="12" t="str">
        <x:v>text_input</x:v>
      </x:c>
      <x:c r="F70" s="15" t="n">
        <x:v>48</x:v>
      </x:c>
      <x:c r="G70" s="17" t="n">
        <x:v>0.000001</x:v>
      </x:c>
      <x:c r="H70" s="15" t="n">
        <x:f>F70*G70</x:f>
        <x:v>0.000048</x:v>
      </x:c>
    </x:row>
    <x:row r="71" ht="34" customHeight="1">
      <x:c r="A71" s="7" t="str">
        <x:v>BASE</x:v>
      </x:c>
      <x:c r="B71" s="7" t="str">
        <x:v>U09</x:v>
      </x:c>
      <x:c r="C71" s="7" t="str">
        <x:v>response_audio</x:v>
      </x:c>
      <x:c r="D71" s="7" t="str">
        <x:v>request</x:v>
      </x:c>
      <x:c r="E71" s="7" t="str">
        <x:v>audio_output</x:v>
      </x:c>
      <x:c r="F71" s="16" t="n">
        <x:v>6</x:v>
      </x:c>
      <x:c r="G71" s="18" t="n">
        <x:v>0.002</x:v>
      </x:c>
      <x:c r="H71" s="16" t="n">
        <x:f>F71*G71</x:f>
        <x:v>0.012</x:v>
      </x:c>
    </x:row>
    <x:row r="72" ht="34" customHeight="1">
      <x:c r="A72" s="12" t="str">
        <x:v>BASE</x:v>
      </x:c>
      <x:c r="B72" s="12" t="str">
        <x:v>U09</x:v>
      </x:c>
      <x:c r="C72" s="12" t="str">
        <x:v>intent_audio</x:v>
      </x:c>
      <x:c r="D72" s="12" t="str">
        <x:v>request</x:v>
      </x:c>
      <x:c r="E72" s="12" t="str">
        <x:v>text_input</x:v>
      </x:c>
      <x:c r="F72" s="15" t="n">
        <x:v>24</x:v>
      </x:c>
      <x:c r="G72" s="17" t="n">
        <x:v>0.000001</x:v>
      </x:c>
      <x:c r="H72" s="15" t="n">
        <x:f>F72*G72</x:f>
        <x:v>0.000024</x:v>
      </x:c>
    </x:row>
    <x:row r="73" ht="34" customHeight="1">
      <x:c r="A73" s="7" t="str">
        <x:v>BASE</x:v>
      </x:c>
      <x:c r="B73" s="7" t="str">
        <x:v>U09</x:v>
      </x:c>
      <x:c r="C73" s="7" t="str">
        <x:v>intent_audio</x:v>
      </x:c>
      <x:c r="D73" s="7" t="str">
        <x:v>request</x:v>
      </x:c>
      <x:c r="E73" s="7" t="str">
        <x:v>audio_output</x:v>
      </x:c>
      <x:c r="F73" s="16" t="n">
        <x:v>3</x:v>
      </x:c>
      <x:c r="G73" s="18" t="n">
        <x:v>0.002</x:v>
      </x:c>
      <x:c r="H73" s="16" t="n">
        <x:f>F73*G73</x:f>
        <x:v>0.006</x:v>
      </x:c>
    </x:row>
    <x:row r="74" ht="34" customHeight="1">
      <x:c r="A74" s="12" t="str">
        <x:v>BASE</x:v>
      </x:c>
      <x:c r="B74" s="12" t="str">
        <x:v>U09</x:v>
      </x:c>
      <x:c r="C74" s="12" t="str">
        <x:v>input_end</x:v>
      </x:c>
      <x:c r="D74" s="12" t="str">
        <x:v>input</x:v>
      </x:c>
      <x:c r="E74" s="12" t="str">
        <x:v>audio_input</x:v>
      </x:c>
      <x:c r="F74" s="15" t="n">
        <x:v>3</x:v>
      </x:c>
      <x:c r="G74" s="17" t="n">
        <x:v>0.001</x:v>
      </x:c>
      <x:c r="H74" s="15" t="n">
        <x:f>F74*G74</x:f>
        <x:v>0.003</x:v>
      </x:c>
    </x:row>
    <x:row r="75" ht="34" customHeight="1">
      <x:c r="A75" s="7" t="str">
        <x:v>BASE</x:v>
      </x:c>
      <x:c r="B75" s="7" t="str">
        <x:v>U10</x:v>
      </x:c>
      <x:c r="C75" s="7" t="str">
        <x:v>meaning</x:v>
      </x:c>
      <x:c r="D75" s="7" t="str">
        <x:v>request</x:v>
      </x:c>
      <x:c r="E75" s="7" t="str">
        <x:v>text_input</x:v>
      </x:c>
      <x:c r="F75" s="16" t="n">
        <x:v>2400</x:v>
      </x:c>
      <x:c r="G75" s="18" t="n">
        <x:v>0.000001</x:v>
      </x:c>
      <x:c r="H75" s="16" t="n">
        <x:f>F75*G75</x:f>
        <x:v>0.0024</x:v>
      </x:c>
    </x:row>
    <x:row r="76" ht="34" customHeight="1">
      <x:c r="A76" s="12" t="str">
        <x:v>BASE</x:v>
      </x:c>
      <x:c r="B76" s="12" t="str">
        <x:v>U10</x:v>
      </x:c>
      <x:c r="C76" s="12" t="str">
        <x:v>meaning</x:v>
      </x:c>
      <x:c r="D76" s="12" t="str">
        <x:v>request</x:v>
      </x:c>
      <x:c r="E76" s="12" t="str">
        <x:v>text_output</x:v>
      </x:c>
      <x:c r="F76" s="15" t="n">
        <x:v>64</x:v>
      </x:c>
      <x:c r="G76" s="17" t="n">
        <x:v>0.000004</x:v>
      </x:c>
      <x:c r="H76" s="15" t="n">
        <x:f>F76*G76</x:f>
        <x:v>0.000256</x:v>
      </x:c>
    </x:row>
    <x:row r="77" ht="34" customHeight="1">
      <x:c r="A77" s="7" t="str">
        <x:v>BASE</x:v>
      </x:c>
      <x:c r="B77" s="7" t="str">
        <x:v>U10</x:v>
      </x:c>
      <x:c r="C77" s="7" t="str">
        <x:v>response_audio</x:v>
      </x:c>
      <x:c r="D77" s="7" t="str">
        <x:v>request</x:v>
      </x:c>
      <x:c r="E77" s="7" t="str">
        <x:v>text_input</x:v>
      </x:c>
      <x:c r="F77" s="16" t="n">
        <x:v>48</x:v>
      </x:c>
      <x:c r="G77" s="18" t="n">
        <x:v>0.000001</x:v>
      </x:c>
      <x:c r="H77" s="16" t="n">
        <x:f>F77*G77</x:f>
        <x:v>0.000048</x:v>
      </x:c>
    </x:row>
    <x:row r="78" ht="34" customHeight="1">
      <x:c r="A78" s="12" t="str">
        <x:v>BASE</x:v>
      </x:c>
      <x:c r="B78" s="12" t="str">
        <x:v>U10</x:v>
      </x:c>
      <x:c r="C78" s="12" t="str">
        <x:v>response_audio</x:v>
      </x:c>
      <x:c r="D78" s="12" t="str">
        <x:v>request</x:v>
      </x:c>
      <x:c r="E78" s="12" t="str">
        <x:v>audio_output</x:v>
      </x:c>
      <x:c r="F78" s="15" t="n">
        <x:v>6</x:v>
      </x:c>
      <x:c r="G78" s="17" t="n">
        <x:v>0.002</x:v>
      </x:c>
      <x:c r="H78" s="15" t="n">
        <x:f>F78*G78</x:f>
        <x:v>0.012</x:v>
      </x:c>
    </x:row>
    <x:row r="79" ht="34" customHeight="1">
      <x:c r="A79" s="7" t="str">
        <x:v>BASE</x:v>
      </x:c>
      <x:c r="B79" s="7" t="str">
        <x:v>U10</x:v>
      </x:c>
      <x:c r="C79" s="7" t="str">
        <x:v>intent_audio</x:v>
      </x:c>
      <x:c r="D79" s="7" t="str">
        <x:v>request</x:v>
      </x:c>
      <x:c r="E79" s="7" t="str">
        <x:v>text_input</x:v>
      </x:c>
      <x:c r="F79" s="16" t="n">
        <x:v>24</x:v>
      </x:c>
      <x:c r="G79" s="18" t="n">
        <x:v>0.000001</x:v>
      </x:c>
      <x:c r="H79" s="16" t="n">
        <x:f>F79*G79</x:f>
        <x:v>0.000024</x:v>
      </x:c>
    </x:row>
    <x:row r="80" ht="34" customHeight="1">
      <x:c r="A80" s="12" t="str">
        <x:v>BASE</x:v>
      </x:c>
      <x:c r="B80" s="12" t="str">
        <x:v>U10</x:v>
      </x:c>
      <x:c r="C80" s="12" t="str">
        <x:v>intent_audio</x:v>
      </x:c>
      <x:c r="D80" s="12" t="str">
        <x:v>request</x:v>
      </x:c>
      <x:c r="E80" s="12" t="str">
        <x:v>audio_output</x:v>
      </x:c>
      <x:c r="F80" s="15" t="n">
        <x:v>3</x:v>
      </x:c>
      <x:c r="G80" s="17" t="n">
        <x:v>0.002</x:v>
      </x:c>
      <x:c r="H80" s="15" t="n">
        <x:f>F80*G80</x:f>
        <x:v>0.006</x:v>
      </x:c>
    </x:row>
    <x:row r="81" ht="34" customHeight="1">
      <x:c r="A81" s="7" t="str">
        <x:v>BASE</x:v>
      </x:c>
      <x:c r="B81" s="7" t="str">
        <x:v>U10</x:v>
      </x:c>
      <x:c r="C81" s="7" t="str">
        <x:v>input_end</x:v>
      </x:c>
      <x:c r="D81" s="7" t="str">
        <x:v>input</x:v>
      </x:c>
      <x:c r="E81" s="7" t="str">
        <x:v>audio_input</x:v>
      </x:c>
      <x:c r="F81" s="16" t="n">
        <x:v>3</x:v>
      </x:c>
      <x:c r="G81" s="18" t="n">
        <x:v>0.001</x:v>
      </x:c>
      <x:c r="H81" s="16" t="n">
        <x:f>F81*G81</x:f>
        <x:v>0.003</x:v>
      </x:c>
    </x:row>
    <x:row r="82" ht="34" customHeight="1">
      <x:c r="A82" s="12" t="str">
        <x:v>BASE</x:v>
      </x:c>
      <x:c r="B82" s="12" t="str">
        <x:v>U11</x:v>
      </x:c>
      <x:c r="C82" s="12" t="str">
        <x:v>meaning</x:v>
      </x:c>
      <x:c r="D82" s="12" t="str">
        <x:v>request</x:v>
      </x:c>
      <x:c r="E82" s="12" t="str">
        <x:v>text_input</x:v>
      </x:c>
      <x:c r="F82" s="15" t="n">
        <x:v>4200</x:v>
      </x:c>
      <x:c r="G82" s="17" t="n">
        <x:v>0.000001</x:v>
      </x:c>
      <x:c r="H82" s="15" t="n">
        <x:f>F82*G82</x:f>
        <x:v>0.0042</x:v>
      </x:c>
    </x:row>
    <x:row r="83" ht="34" customHeight="1">
      <x:c r="A83" s="7" t="str">
        <x:v>BASE</x:v>
      </x:c>
      <x:c r="B83" s="7" t="str">
        <x:v>U11</x:v>
      </x:c>
      <x:c r="C83" s="7" t="str">
        <x:v>meaning</x:v>
      </x:c>
      <x:c r="D83" s="7" t="str">
        <x:v>request</x:v>
      </x:c>
      <x:c r="E83" s="7" t="str">
        <x:v>text_output</x:v>
      </x:c>
      <x:c r="F83" s="16" t="n">
        <x:v>64</x:v>
      </x:c>
      <x:c r="G83" s="18" t="n">
        <x:v>0.000004</x:v>
      </x:c>
      <x:c r="H83" s="16" t="n">
        <x:f>F83*G83</x:f>
        <x:v>0.000256</x:v>
      </x:c>
    </x:row>
    <x:row r="84" ht="34" customHeight="1">
      <x:c r="A84" s="12" t="str">
        <x:v>BASE</x:v>
      </x:c>
      <x:c r="B84" s="12" t="str">
        <x:v>U11</x:v>
      </x:c>
      <x:c r="C84" s="12" t="str">
        <x:v>response_audio</x:v>
      </x:c>
      <x:c r="D84" s="12" t="str">
        <x:v>request</x:v>
      </x:c>
      <x:c r="E84" s="12" t="str">
        <x:v>text_input</x:v>
      </x:c>
      <x:c r="F84" s="15" t="n">
        <x:v>48</x:v>
      </x:c>
      <x:c r="G84" s="17" t="n">
        <x:v>0.000001</x:v>
      </x:c>
      <x:c r="H84" s="15" t="n">
        <x:f>F84*G84</x:f>
        <x:v>0.000048</x:v>
      </x:c>
    </x:row>
    <x:row r="85" ht="34" customHeight="1">
      <x:c r="A85" s="7" t="str">
        <x:v>BASE</x:v>
      </x:c>
      <x:c r="B85" s="7" t="str">
        <x:v>U11</x:v>
      </x:c>
      <x:c r="C85" s="7" t="str">
        <x:v>response_audio</x:v>
      </x:c>
      <x:c r="D85" s="7" t="str">
        <x:v>request</x:v>
      </x:c>
      <x:c r="E85" s="7" t="str">
        <x:v>audio_output</x:v>
      </x:c>
      <x:c r="F85" s="16" t="n">
        <x:v>6</x:v>
      </x:c>
      <x:c r="G85" s="18" t="n">
        <x:v>0.002</x:v>
      </x:c>
      <x:c r="H85" s="16" t="n">
        <x:f>F85*G85</x:f>
        <x:v>0.012</x:v>
      </x:c>
    </x:row>
    <x:row r="86" ht="34" customHeight="1">
      <x:c r="A86" s="12" t="str">
        <x:v>BASE</x:v>
      </x:c>
      <x:c r="B86" s="12" t="str">
        <x:v>U11</x:v>
      </x:c>
      <x:c r="C86" s="12" t="str">
        <x:v>intent_audio</x:v>
      </x:c>
      <x:c r="D86" s="12" t="str">
        <x:v>request</x:v>
      </x:c>
      <x:c r="E86" s="12" t="str">
        <x:v>text_input</x:v>
      </x:c>
      <x:c r="F86" s="15" t="n">
        <x:v>24</x:v>
      </x:c>
      <x:c r="G86" s="17" t="n">
        <x:v>0.000001</x:v>
      </x:c>
      <x:c r="H86" s="15" t="n">
        <x:f>F86*G86</x:f>
        <x:v>0.000024</x:v>
      </x:c>
    </x:row>
    <x:row r="87" ht="34" customHeight="1">
      <x:c r="A87" s="7" t="str">
        <x:v>BASE</x:v>
      </x:c>
      <x:c r="B87" s="7" t="str">
        <x:v>U11</x:v>
      </x:c>
      <x:c r="C87" s="7" t="str">
        <x:v>intent_audio</x:v>
      </x:c>
      <x:c r="D87" s="7" t="str">
        <x:v>request</x:v>
      </x:c>
      <x:c r="E87" s="7" t="str">
        <x:v>audio_output</x:v>
      </x:c>
      <x:c r="F87" s="16" t="n">
        <x:v>3</x:v>
      </x:c>
      <x:c r="G87" s="18" t="n">
        <x:v>0.002</x:v>
      </x:c>
      <x:c r="H87" s="16" t="n">
        <x:f>F87*G87</x:f>
        <x:v>0.006</x:v>
      </x:c>
    </x:row>
    <x:row r="88" ht="34" customHeight="1">
      <x:c r="A88" s="12" t="str">
        <x:v>BASE</x:v>
      </x:c>
      <x:c r="B88" s="12" t="str">
        <x:v>U11</x:v>
      </x:c>
      <x:c r="C88" s="12" t="str">
        <x:v>input_end</x:v>
      </x:c>
      <x:c r="D88" s="12" t="str">
        <x:v>input</x:v>
      </x:c>
      <x:c r="E88" s="12" t="str">
        <x:v>audio_input</x:v>
      </x:c>
      <x:c r="F88" s="15" t="n">
        <x:v>3</x:v>
      </x:c>
      <x:c r="G88" s="17" t="n">
        <x:v>0.001</x:v>
      </x:c>
      <x:c r="H88" s="15" t="n">
        <x:f>F88*G88</x:f>
        <x:v>0.003</x:v>
      </x:c>
    </x:row>
    <x:row r="89" ht="34" customHeight="1">
      <x:c r="A89" s="7" t="str">
        <x:v>BASE</x:v>
      </x:c>
      <x:c r="B89" s="7" t="str">
        <x:v>U12</x:v>
      </x:c>
      <x:c r="C89" s="7" t="str">
        <x:v>pre_raw</x:v>
      </x:c>
      <x:c r="D89" s="7" t="str">
        <x:v>preparation</x:v>
      </x:c>
      <x:c r="E89" s="7" t="str">
        <x:v>text_input</x:v>
      </x:c>
      <x:c r="F89" s="16" t="n">
        <x:v>2400</x:v>
      </x:c>
      <x:c r="G89" s="18" t="n">
        <x:v>0.000001</x:v>
      </x:c>
      <x:c r="H89" s="16" t="n">
        <x:f>F89*G89</x:f>
        <x:v>0.0024</x:v>
      </x:c>
    </x:row>
    <x:row r="90" ht="34" customHeight="1">
      <x:c r="A90" s="12" t="str">
        <x:v>BASE</x:v>
      </x:c>
      <x:c r="B90" s="12" t="str">
        <x:v>U12</x:v>
      </x:c>
      <x:c r="C90" s="12" t="str">
        <x:v>pre_raw</x:v>
      </x:c>
      <x:c r="D90" s="12" t="str">
        <x:v>preparation</x:v>
      </x:c>
      <x:c r="E90" s="12" t="str">
        <x:v>text_output</x:v>
      </x:c>
      <x:c r="F90" s="15" t="n">
        <x:v>64</x:v>
      </x:c>
      <x:c r="G90" s="17" t="n">
        <x:v>0.000004</x:v>
      </x:c>
      <x:c r="H90" s="15" t="n">
        <x:f>F90*G90</x:f>
        <x:v>0.000256</x:v>
      </x:c>
    </x:row>
    <x:row r="91" ht="34" customHeight="1">
      <x:c r="A91" s="7" t="str">
        <x:v>BASE</x:v>
      </x:c>
      <x:c r="B91" s="7" t="str">
        <x:v>U12</x:v>
      </x:c>
      <x:c r="C91" s="7" t="str">
        <x:v>meaning</x:v>
      </x:c>
      <x:c r="D91" s="7" t="str">
        <x:v>request</x:v>
      </x:c>
      <x:c r="E91" s="7" t="str">
        <x:v>text_input</x:v>
      </x:c>
      <x:c r="F91" s="16" t="n">
        <x:v>600</x:v>
      </x:c>
      <x:c r="G91" s="18" t="n">
        <x:v>0.000001</x:v>
      </x:c>
      <x:c r="H91" s="16" t="n">
        <x:f>F91*G91</x:f>
        <x:v>0.0006</x:v>
      </x:c>
    </x:row>
    <x:row r="92" ht="34" customHeight="1">
      <x:c r="A92" s="12" t="str">
        <x:v>BASE</x:v>
      </x:c>
      <x:c r="B92" s="12" t="str">
        <x:v>U12</x:v>
      </x:c>
      <x:c r="C92" s="12" t="str">
        <x:v>meaning</x:v>
      </x:c>
      <x:c r="D92" s="12" t="str">
        <x:v>request</x:v>
      </x:c>
      <x:c r="E92" s="12" t="str">
        <x:v>text_output</x:v>
      </x:c>
      <x:c r="F92" s="15" t="n">
        <x:v>64</x:v>
      </x:c>
      <x:c r="G92" s="17" t="n">
        <x:v>0.000004</x:v>
      </x:c>
      <x:c r="H92" s="15" t="n">
        <x:f>F92*G92</x:f>
        <x:v>0.000256</x:v>
      </x:c>
    </x:row>
    <x:row r="93" ht="34" customHeight="1">
      <x:c r="A93" s="7" t="str">
        <x:v>BASE</x:v>
      </x:c>
      <x:c r="B93" s="7" t="str">
        <x:v>U12</x:v>
      </x:c>
      <x:c r="C93" s="7" t="str">
        <x:v>response_audio</x:v>
      </x:c>
      <x:c r="D93" s="7" t="str">
        <x:v>request</x:v>
      </x:c>
      <x:c r="E93" s="7" t="str">
        <x:v>text_input</x:v>
      </x:c>
      <x:c r="F93" s="16" t="n">
        <x:v>48</x:v>
      </x:c>
      <x:c r="G93" s="18" t="n">
        <x:v>0.000001</x:v>
      </x:c>
      <x:c r="H93" s="16" t="n">
        <x:f>F93*G93</x:f>
        <x:v>0.000048</x:v>
      </x:c>
    </x:row>
    <x:row r="94" ht="34" customHeight="1">
      <x:c r="A94" s="12" t="str">
        <x:v>BASE</x:v>
      </x:c>
      <x:c r="B94" s="12" t="str">
        <x:v>U12</x:v>
      </x:c>
      <x:c r="C94" s="12" t="str">
        <x:v>response_audio</x:v>
      </x:c>
      <x:c r="D94" s="12" t="str">
        <x:v>request</x:v>
      </x:c>
      <x:c r="E94" s="12" t="str">
        <x:v>audio_output</x:v>
      </x:c>
      <x:c r="F94" s="15" t="n">
        <x:v>6</x:v>
      </x:c>
      <x:c r="G94" s="17" t="n">
        <x:v>0.002</x:v>
      </x:c>
      <x:c r="H94" s="15" t="n">
        <x:f>F94*G94</x:f>
        <x:v>0.012</x:v>
      </x:c>
    </x:row>
    <x:row r="95" ht="34" customHeight="1">
      <x:c r="A95" s="7" t="str">
        <x:v>BASE</x:v>
      </x:c>
      <x:c r="B95" s="7" t="str">
        <x:v>U12</x:v>
      </x:c>
      <x:c r="C95" s="7" t="str">
        <x:v>intent_audio</x:v>
      </x:c>
      <x:c r="D95" s="7" t="str">
        <x:v>request</x:v>
      </x:c>
      <x:c r="E95" s="7" t="str">
        <x:v>text_input</x:v>
      </x:c>
      <x:c r="F95" s="16" t="n">
        <x:v>24</x:v>
      </x:c>
      <x:c r="G95" s="18" t="n">
        <x:v>0.000001</x:v>
      </x:c>
      <x:c r="H95" s="16" t="n">
        <x:f>F95*G95</x:f>
        <x:v>0.000024</x:v>
      </x:c>
    </x:row>
    <x:row r="96" ht="34" customHeight="1">
      <x:c r="A96" s="12" t="str">
        <x:v>BASE</x:v>
      </x:c>
      <x:c r="B96" s="12" t="str">
        <x:v>U12</x:v>
      </x:c>
      <x:c r="C96" s="12" t="str">
        <x:v>intent_audio</x:v>
      </x:c>
      <x:c r="D96" s="12" t="str">
        <x:v>request</x:v>
      </x:c>
      <x:c r="E96" s="12" t="str">
        <x:v>audio_output</x:v>
      </x:c>
      <x:c r="F96" s="15" t="n">
        <x:v>3</x:v>
      </x:c>
      <x:c r="G96" s="17" t="n">
        <x:v>0.002</x:v>
      </x:c>
      <x:c r="H96" s="15" t="n">
        <x:f>F96*G96</x:f>
        <x:v>0.006</x:v>
      </x:c>
    </x:row>
    <x:row r="97" ht="34" customHeight="1">
      <x:c r="A97" s="7" t="str">
        <x:v>BASE</x:v>
      </x:c>
      <x:c r="B97" s="7" t="str">
        <x:v>U12</x:v>
      </x:c>
      <x:c r="C97" s="7" t="str">
        <x:v>input_end</x:v>
      </x:c>
      <x:c r="D97" s="7" t="str">
        <x:v>input</x:v>
      </x:c>
      <x:c r="E97" s="7" t="str">
        <x:v>audio_input</x:v>
      </x:c>
      <x:c r="F97" s="16" t="n">
        <x:v>3</x:v>
      </x:c>
      <x:c r="G97" s="18" t="n">
        <x:v>0.001</x:v>
      </x:c>
      <x:c r="H97" s="16" t="n">
        <x:f>F97*G97</x:f>
        <x:v>0.003</x:v>
      </x:c>
    </x:row>
    <x:row r="98" ht="34" customHeight="1">
      <x:c r="A98" s="12" t="str">
        <x:v>BASE</x:v>
      </x:c>
      <x:c r="B98" s="12" t="str">
        <x:v>U13</x:v>
      </x:c>
      <x:c r="C98" s="12" t="str">
        <x:v>meaning</x:v>
      </x:c>
      <x:c r="D98" s="12" t="str">
        <x:v>request</x:v>
      </x:c>
      <x:c r="E98" s="12" t="str">
        <x:v>text_input</x:v>
      </x:c>
      <x:c r="F98" s="15" t="n">
        <x:v>600</x:v>
      </x:c>
      <x:c r="G98" s="17" t="n">
        <x:v>0.000001</x:v>
      </x:c>
      <x:c r="H98" s="15" t="n">
        <x:f>F98*G98</x:f>
        <x:v>0.0006</x:v>
      </x:c>
    </x:row>
    <x:row r="99" ht="34" customHeight="1">
      <x:c r="A99" s="7" t="str">
        <x:v>BASE</x:v>
      </x:c>
      <x:c r="B99" s="7" t="str">
        <x:v>U13</x:v>
      </x:c>
      <x:c r="C99" s="7" t="str">
        <x:v>meaning</x:v>
      </x:c>
      <x:c r="D99" s="7" t="str">
        <x:v>request</x:v>
      </x:c>
      <x:c r="E99" s="7" t="str">
        <x:v>text_output</x:v>
      </x:c>
      <x:c r="F99" s="16" t="n">
        <x:v>64</x:v>
      </x:c>
      <x:c r="G99" s="18" t="n">
        <x:v>0.000004</x:v>
      </x:c>
      <x:c r="H99" s="16" t="n">
        <x:f>F99*G99</x:f>
        <x:v>0.000256</x:v>
      </x:c>
    </x:row>
    <x:row r="100" ht="34" customHeight="1">
      <x:c r="A100" s="12" t="str">
        <x:v>BASE</x:v>
      </x:c>
      <x:c r="B100" s="12" t="str">
        <x:v>U13</x:v>
      </x:c>
      <x:c r="C100" s="12" t="str">
        <x:v>response_audio</x:v>
      </x:c>
      <x:c r="D100" s="12" t="str">
        <x:v>request</x:v>
      </x:c>
      <x:c r="E100" s="12" t="str">
        <x:v>text_input</x:v>
      </x:c>
      <x:c r="F100" s="15" t="n">
        <x:v>48</x:v>
      </x:c>
      <x:c r="G100" s="17" t="n">
        <x:v>0.000001</x:v>
      </x:c>
      <x:c r="H100" s="15" t="n">
        <x:f>F100*G100</x:f>
        <x:v>0.000048</x:v>
      </x:c>
    </x:row>
    <x:row r="101" ht="34" customHeight="1">
      <x:c r="A101" s="7" t="str">
        <x:v>BASE</x:v>
      </x:c>
      <x:c r="B101" s="7" t="str">
        <x:v>U13</x:v>
      </x:c>
      <x:c r="C101" s="7" t="str">
        <x:v>response_audio</x:v>
      </x:c>
      <x:c r="D101" s="7" t="str">
        <x:v>request</x:v>
      </x:c>
      <x:c r="E101" s="7" t="str">
        <x:v>audio_output</x:v>
      </x:c>
      <x:c r="F101" s="16" t="n">
        <x:v>6</x:v>
      </x:c>
      <x:c r="G101" s="18" t="n">
        <x:v>0.002</x:v>
      </x:c>
      <x:c r="H101" s="16" t="n">
        <x:f>F101*G101</x:f>
        <x:v>0.012</x:v>
      </x:c>
    </x:row>
    <x:row r="102" ht="34" customHeight="1">
      <x:c r="A102" s="12" t="str">
        <x:v>BASE</x:v>
      </x:c>
      <x:c r="B102" s="12" t="str">
        <x:v>U13</x:v>
      </x:c>
      <x:c r="C102" s="12" t="str">
        <x:v>intent_audio</x:v>
      </x:c>
      <x:c r="D102" s="12" t="str">
        <x:v>request</x:v>
      </x:c>
      <x:c r="E102" s="12" t="str">
        <x:v>text_input</x:v>
      </x:c>
      <x:c r="F102" s="15" t="n">
        <x:v>24</x:v>
      </x:c>
      <x:c r="G102" s="17" t="n">
        <x:v>0.000001</x:v>
      </x:c>
      <x:c r="H102" s="15" t="n">
        <x:f>F102*G102</x:f>
        <x:v>0.000024</x:v>
      </x:c>
    </x:row>
    <x:row r="103" ht="34" customHeight="1">
      <x:c r="A103" s="7" t="str">
        <x:v>BASE</x:v>
      </x:c>
      <x:c r="B103" s="7" t="str">
        <x:v>U13</x:v>
      </x:c>
      <x:c r="C103" s="7" t="str">
        <x:v>intent_audio</x:v>
      </x:c>
      <x:c r="D103" s="7" t="str">
        <x:v>request</x:v>
      </x:c>
      <x:c r="E103" s="7" t="str">
        <x:v>audio_output</x:v>
      </x:c>
      <x:c r="F103" s="16" t="n">
        <x:v>3</x:v>
      </x:c>
      <x:c r="G103" s="18" t="n">
        <x:v>0.002</x:v>
      </x:c>
      <x:c r="H103" s="16" t="n">
        <x:f>F103*G103</x:f>
        <x:v>0.006</x:v>
      </x:c>
    </x:row>
    <x:row r="104" ht="34" customHeight="1">
      <x:c r="A104" s="12" t="str">
        <x:v>BASE</x:v>
      </x:c>
      <x:c r="B104" s="12" t="str">
        <x:v>U14</x:v>
      </x:c>
      <x:c r="C104" s="12" t="str">
        <x:v>meaning</x:v>
      </x:c>
      <x:c r="D104" s="12" t="str">
        <x:v>request</x:v>
      </x:c>
      <x:c r="E104" s="12" t="str">
        <x:v>text_input</x:v>
      </x:c>
      <x:c r="F104" s="15" t="n">
        <x:v>3000</x:v>
      </x:c>
      <x:c r="G104" s="17" t="n">
        <x:v>0.000001</x:v>
      </x:c>
      <x:c r="H104" s="15" t="n">
        <x:f>F104*G104</x:f>
        <x:v>0.003</x:v>
      </x:c>
    </x:row>
    <x:row r="105" ht="34" customHeight="1">
      <x:c r="A105" s="7" t="str">
        <x:v>BASE</x:v>
      </x:c>
      <x:c r="B105" s="7" t="str">
        <x:v>U14</x:v>
      </x:c>
      <x:c r="C105" s="7" t="str">
        <x:v>meaning</x:v>
      </x:c>
      <x:c r="D105" s="7" t="str">
        <x:v>request</x:v>
      </x:c>
      <x:c r="E105" s="7" t="str">
        <x:v>text_output</x:v>
      </x:c>
      <x:c r="F105" s="16" t="n">
        <x:v>64</x:v>
      </x:c>
      <x:c r="G105" s="18" t="n">
        <x:v>0.000004</x:v>
      </x:c>
      <x:c r="H105" s="16" t="n">
        <x:f>F105*G105</x:f>
        <x:v>0.000256</x:v>
      </x:c>
    </x:row>
    <x:row r="106" ht="34" customHeight="1">
      <x:c r="A106" s="12" t="str">
        <x:v>BASE</x:v>
      </x:c>
      <x:c r="B106" s="12" t="str">
        <x:v>U14</x:v>
      </x:c>
      <x:c r="C106" s="12" t="str">
        <x:v>response_audio</x:v>
      </x:c>
      <x:c r="D106" s="12" t="str">
        <x:v>request</x:v>
      </x:c>
      <x:c r="E106" s="12" t="str">
        <x:v>text_input</x:v>
      </x:c>
      <x:c r="F106" s="15" t="n">
        <x:v>48</x:v>
      </x:c>
      <x:c r="G106" s="17" t="n">
        <x:v>0.000001</x:v>
      </x:c>
      <x:c r="H106" s="15" t="n">
        <x:f>F106*G106</x:f>
        <x:v>0.000048</x:v>
      </x:c>
    </x:row>
    <x:row r="107" ht="34" customHeight="1">
      <x:c r="A107" s="7" t="str">
        <x:v>BASE</x:v>
      </x:c>
      <x:c r="B107" s="7" t="str">
        <x:v>U14</x:v>
      </x:c>
      <x:c r="C107" s="7" t="str">
        <x:v>response_audio</x:v>
      </x:c>
      <x:c r="D107" s="7" t="str">
        <x:v>request</x:v>
      </x:c>
      <x:c r="E107" s="7" t="str">
        <x:v>audio_output</x:v>
      </x:c>
      <x:c r="F107" s="16" t="n">
        <x:v>6</x:v>
      </x:c>
      <x:c r="G107" s="18" t="n">
        <x:v>0.002</x:v>
      </x:c>
      <x:c r="H107" s="16" t="n">
        <x:f>F107*G107</x:f>
        <x:v>0.012</x:v>
      </x:c>
    </x:row>
    <x:row r="108" ht="34" customHeight="1">
      <x:c r="A108" s="12" t="str">
        <x:v>BASE</x:v>
      </x:c>
      <x:c r="B108" s="12" t="str">
        <x:v>U14</x:v>
      </x:c>
      <x:c r="C108" s="12" t="str">
        <x:v>intent_audio</x:v>
      </x:c>
      <x:c r="D108" s="12" t="str">
        <x:v>request</x:v>
      </x:c>
      <x:c r="E108" s="12" t="str">
        <x:v>text_input</x:v>
      </x:c>
      <x:c r="F108" s="15" t="n">
        <x:v>24</x:v>
      </x:c>
      <x:c r="G108" s="17" t="n">
        <x:v>0.000001</x:v>
      </x:c>
      <x:c r="H108" s="15" t="n">
        <x:f>F108*G108</x:f>
        <x:v>0.000024</x:v>
      </x:c>
    </x:row>
    <x:row r="109" ht="34" customHeight="1">
      <x:c r="A109" s="7" t="str">
        <x:v>BASE</x:v>
      </x:c>
      <x:c r="B109" s="7" t="str">
        <x:v>U14</x:v>
      </x:c>
      <x:c r="C109" s="7" t="str">
        <x:v>intent_audio</x:v>
      </x:c>
      <x:c r="D109" s="7" t="str">
        <x:v>request</x:v>
      </x:c>
      <x:c r="E109" s="7" t="str">
        <x:v>audio_output</x:v>
      </x:c>
      <x:c r="F109" s="16" t="n">
        <x:v>3</x:v>
      </x:c>
      <x:c r="G109" s="18" t="n">
        <x:v>0.002</x:v>
      </x:c>
      <x:c r="H109" s="16" t="n">
        <x:f>F109*G109</x:f>
        <x:v>0.006</x:v>
      </x:c>
    </x:row>
    <x:row r="110" ht="34" customHeight="1">
      <x:c r="A110" s="12" t="str">
        <x:v>BASE</x:v>
      </x:c>
      <x:c r="B110" s="12" t="str">
        <x:v>U14</x:v>
      </x:c>
      <x:c r="C110" s="12" t="str">
        <x:v>input_end</x:v>
      </x:c>
      <x:c r="D110" s="12" t="str">
        <x:v>input</x:v>
      </x:c>
      <x:c r="E110" s="12" t="str">
        <x:v>audio_input</x:v>
      </x:c>
      <x:c r="F110" s="15" t="n">
        <x:v>3</x:v>
      </x:c>
      <x:c r="G110" s="17" t="n">
        <x:v>0.001</x:v>
      </x:c>
      <x:c r="H110" s="15" t="n">
        <x:f>F110*G110</x:f>
        <x:v>0.003</x:v>
      </x:c>
    </x:row>
    <x:row r="111" ht="34" customHeight="1">
      <x:c r="A111" s="7" t="str">
        <x:v>BASE</x:v>
      </x:c>
      <x:c r="B111" s="7" t="str">
        <x:v>U15</x:v>
      </x:c>
      <x:c r="C111" s="7" t="str">
        <x:v>meaning</x:v>
      </x:c>
      <x:c r="D111" s="7" t="str">
        <x:v>request</x:v>
      </x:c>
      <x:c r="E111" s="7" t="str">
        <x:v>text_input</x:v>
      </x:c>
      <x:c r="F111" s="16" t="n">
        <x:v>600</x:v>
      </x:c>
      <x:c r="G111" s="18" t="n">
        <x:v>0.000001</x:v>
      </x:c>
      <x:c r="H111" s="16" t="n">
        <x:f>F111*G111</x:f>
        <x:v>0.0006</x:v>
      </x:c>
    </x:row>
    <x:row r="112" ht="34" customHeight="1">
      <x:c r="A112" s="12" t="str">
        <x:v>BASE</x:v>
      </x:c>
      <x:c r="B112" s="12" t="str">
        <x:v>U15</x:v>
      </x:c>
      <x:c r="C112" s="12" t="str">
        <x:v>meaning</x:v>
      </x:c>
      <x:c r="D112" s="12" t="str">
        <x:v>request</x:v>
      </x:c>
      <x:c r="E112" s="12" t="str">
        <x:v>text_output</x:v>
      </x:c>
      <x:c r="F112" s="15" t="n">
        <x:v>64</x:v>
      </x:c>
      <x:c r="G112" s="17" t="n">
        <x:v>0.000004</x:v>
      </x:c>
      <x:c r="H112" s="15" t="n">
        <x:f>F112*G112</x:f>
        <x:v>0.000256</x:v>
      </x:c>
    </x:row>
    <x:row r="113" ht="34" customHeight="1">
      <x:c r="A113" s="7" t="str">
        <x:v>BASE</x:v>
      </x:c>
      <x:c r="B113" s="7" t="str">
        <x:v>U15</x:v>
      </x:c>
      <x:c r="C113" s="7" t="str">
        <x:v>response_audio</x:v>
      </x:c>
      <x:c r="D113" s="7" t="str">
        <x:v>request</x:v>
      </x:c>
      <x:c r="E113" s="7" t="str">
        <x:v>text_input</x:v>
      </x:c>
      <x:c r="F113" s="16" t="n">
        <x:v>48</x:v>
      </x:c>
      <x:c r="G113" s="18" t="n">
        <x:v>0.000001</x:v>
      </x:c>
      <x:c r="H113" s="16" t="n">
        <x:f>F113*G113</x:f>
        <x:v>0.000048</x:v>
      </x:c>
    </x:row>
    <x:row r="114" ht="34" customHeight="1">
      <x:c r="A114" s="12" t="str">
        <x:v>BASE</x:v>
      </x:c>
      <x:c r="B114" s="12" t="str">
        <x:v>U15</x:v>
      </x:c>
      <x:c r="C114" s="12" t="str">
        <x:v>response_audio</x:v>
      </x:c>
      <x:c r="D114" s="12" t="str">
        <x:v>request</x:v>
      </x:c>
      <x:c r="E114" s="12" t="str">
        <x:v>audio_output</x:v>
      </x:c>
      <x:c r="F114" s="15" t="n">
        <x:v>6</x:v>
      </x:c>
      <x:c r="G114" s="17" t="n">
        <x:v>0.002</x:v>
      </x:c>
      <x:c r="H114" s="15" t="n">
        <x:f>F114*G114</x:f>
        <x:v>0.012</x:v>
      </x:c>
    </x:row>
    <x:row r="115" ht="34" customHeight="1">
      <x:c r="A115" s="7" t="str">
        <x:v>BASE</x:v>
      </x:c>
      <x:c r="B115" s="7" t="str">
        <x:v>U15</x:v>
      </x:c>
      <x:c r="C115" s="7" t="str">
        <x:v>intent_audio</x:v>
      </x:c>
      <x:c r="D115" s="7" t="str">
        <x:v>request</x:v>
      </x:c>
      <x:c r="E115" s="7" t="str">
        <x:v>text_input</x:v>
      </x:c>
      <x:c r="F115" s="16" t="n">
        <x:v>24</x:v>
      </x:c>
      <x:c r="G115" s="18" t="n">
        <x:v>0.000001</x:v>
      </x:c>
      <x:c r="H115" s="16" t="n">
        <x:f>F115*G115</x:f>
        <x:v>0.000024</x:v>
      </x:c>
    </x:row>
    <x:row r="116" ht="34" customHeight="1">
      <x:c r="A116" s="12" t="str">
        <x:v>BASE</x:v>
      </x:c>
      <x:c r="B116" s="12" t="str">
        <x:v>U15</x:v>
      </x:c>
      <x:c r="C116" s="12" t="str">
        <x:v>intent_audio</x:v>
      </x:c>
      <x:c r="D116" s="12" t="str">
        <x:v>request</x:v>
      </x:c>
      <x:c r="E116" s="12" t="str">
        <x:v>audio_output</x:v>
      </x:c>
      <x:c r="F116" s="15" t="n">
        <x:v>3</x:v>
      </x:c>
      <x:c r="G116" s="17" t="n">
        <x:v>0.002</x:v>
      </x:c>
      <x:c r="H116" s="15" t="n">
        <x:f>F116*G116</x:f>
        <x:v>0.006</x:v>
      </x:c>
    </x:row>
    <x:row r="117" ht="34" customHeight="1">
      <x:c r="A117" s="7" t="str">
        <x:v>BASE</x:v>
      </x:c>
      <x:c r="B117" s="7" t="str">
        <x:v>U16</x:v>
      </x:c>
      <x:c r="C117" s="7" t="str">
        <x:v>meaning</x:v>
      </x:c>
      <x:c r="D117" s="7" t="str">
        <x:v>request</x:v>
      </x:c>
      <x:c r="E117" s="7" t="str">
        <x:v>text_input</x:v>
      </x:c>
      <x:c r="F117" s="16" t="n">
        <x:v>3000</x:v>
      </x:c>
      <x:c r="G117" s="18" t="n">
        <x:v>0.000001</x:v>
      </x:c>
      <x:c r="H117" s="16" t="n">
        <x:f>F117*G117</x:f>
        <x:v>0.003</x:v>
      </x:c>
    </x:row>
    <x:row r="118" ht="34" customHeight="1">
      <x:c r="A118" s="12" t="str">
        <x:v>BASE</x:v>
      </x:c>
      <x:c r="B118" s="12" t="str">
        <x:v>U16</x:v>
      </x:c>
      <x:c r="C118" s="12" t="str">
        <x:v>meaning</x:v>
      </x:c>
      <x:c r="D118" s="12" t="str">
        <x:v>request</x:v>
      </x:c>
      <x:c r="E118" s="12" t="str">
        <x:v>text_output</x:v>
      </x:c>
      <x:c r="F118" s="15" t="n">
        <x:v>64</x:v>
      </x:c>
      <x:c r="G118" s="17" t="n">
        <x:v>0.000004</x:v>
      </x:c>
      <x:c r="H118" s="15" t="n">
        <x:f>F118*G118</x:f>
        <x:v>0.000256</x:v>
      </x:c>
    </x:row>
    <x:row r="119" ht="34" customHeight="1">
      <x:c r="A119" s="7" t="str">
        <x:v>BASE</x:v>
      </x:c>
      <x:c r="B119" s="7" t="str">
        <x:v>U16</x:v>
      </x:c>
      <x:c r="C119" s="7" t="str">
        <x:v>response_audio</x:v>
      </x:c>
      <x:c r="D119" s="7" t="str">
        <x:v>request</x:v>
      </x:c>
      <x:c r="E119" s="7" t="str">
        <x:v>text_input</x:v>
      </x:c>
      <x:c r="F119" s="16" t="n">
        <x:v>48</x:v>
      </x:c>
      <x:c r="G119" s="18" t="n">
        <x:v>0.000001</x:v>
      </x:c>
      <x:c r="H119" s="16" t="n">
        <x:f>F119*G119</x:f>
        <x:v>0.000048</x:v>
      </x:c>
    </x:row>
    <x:row r="120" ht="34" customHeight="1">
      <x:c r="A120" s="12" t="str">
        <x:v>BASE</x:v>
      </x:c>
      <x:c r="B120" s="12" t="str">
        <x:v>U16</x:v>
      </x:c>
      <x:c r="C120" s="12" t="str">
        <x:v>response_audio</x:v>
      </x:c>
      <x:c r="D120" s="12" t="str">
        <x:v>request</x:v>
      </x:c>
      <x:c r="E120" s="12" t="str">
        <x:v>audio_output</x:v>
      </x:c>
      <x:c r="F120" s="15" t="n">
        <x:v>6</x:v>
      </x:c>
      <x:c r="G120" s="17" t="n">
        <x:v>0.002</x:v>
      </x:c>
      <x:c r="H120" s="15" t="n">
        <x:f>F120*G120</x:f>
        <x:v>0.012</x:v>
      </x:c>
    </x:row>
    <x:row r="121" ht="34" customHeight="1">
      <x:c r="A121" s="7" t="str">
        <x:v>BASE</x:v>
      </x:c>
      <x:c r="B121" s="7" t="str">
        <x:v>U16</x:v>
      </x:c>
      <x:c r="C121" s="7" t="str">
        <x:v>intent_audio</x:v>
      </x:c>
      <x:c r="D121" s="7" t="str">
        <x:v>request</x:v>
      </x:c>
      <x:c r="E121" s="7" t="str">
        <x:v>text_input</x:v>
      </x:c>
      <x:c r="F121" s="16" t="n">
        <x:v>24</x:v>
      </x:c>
      <x:c r="G121" s="18" t="n">
        <x:v>0.000001</x:v>
      </x:c>
      <x:c r="H121" s="16" t="n">
        <x:f>F121*G121</x:f>
        <x:v>0.000024</x:v>
      </x:c>
    </x:row>
    <x:row r="122" ht="34" customHeight="1">
      <x:c r="A122" s="12" t="str">
        <x:v>BASE</x:v>
      </x:c>
      <x:c r="B122" s="12" t="str">
        <x:v>U16</x:v>
      </x:c>
      <x:c r="C122" s="12" t="str">
        <x:v>intent_audio</x:v>
      </x:c>
      <x:c r="D122" s="12" t="str">
        <x:v>request</x:v>
      </x:c>
      <x:c r="E122" s="12" t="str">
        <x:v>audio_output</x:v>
      </x:c>
      <x:c r="F122" s="15" t="n">
        <x:v>3</x:v>
      </x:c>
      <x:c r="G122" s="17" t="n">
        <x:v>0.002</x:v>
      </x:c>
      <x:c r="H122" s="15" t="n">
        <x:f>F122*G122</x:f>
        <x:v>0.006</x:v>
      </x:c>
    </x:row>
    <x:row r="123" ht="34" customHeight="1">
      <x:c r="A123" s="7" t="str">
        <x:v>BASE</x:v>
      </x:c>
      <x:c r="B123" s="7" t="str">
        <x:v>U16</x:v>
      </x:c>
      <x:c r="C123" s="7" t="str">
        <x:v>input_end</x:v>
      </x:c>
      <x:c r="D123" s="7" t="str">
        <x:v>input</x:v>
      </x:c>
      <x:c r="E123" s="7" t="str">
        <x:v>audio_input</x:v>
      </x:c>
      <x:c r="F123" s="16" t="n">
        <x:v>3</x:v>
      </x:c>
      <x:c r="G123" s="18" t="n">
        <x:v>0.001</x:v>
      </x:c>
      <x:c r="H123" s="16" t="n">
        <x:f>F123*G123</x:f>
        <x:v>0.003</x:v>
      </x:c>
    </x:row>
    <x:row r="124" ht="34" customHeight="1">
      <x:c r="A124" s="12" t="str">
        <x:v>BASE</x:v>
      </x:c>
      <x:c r="B124" s="12" t="str">
        <x:v>U17</x:v>
      </x:c>
      <x:c r="C124" s="12" t="str">
        <x:v>meaning</x:v>
      </x:c>
      <x:c r="D124" s="12" t="str">
        <x:v>request</x:v>
      </x:c>
      <x:c r="E124" s="12" t="str">
        <x:v>text_input</x:v>
      </x:c>
      <x:c r="F124" s="15" t="n">
        <x:v>600</x:v>
      </x:c>
      <x:c r="G124" s="17" t="n">
        <x:v>0.000001</x:v>
      </x:c>
      <x:c r="H124" s="15" t="n">
        <x:f>F124*G124</x:f>
        <x:v>0.0006</x:v>
      </x:c>
    </x:row>
    <x:row r="125" ht="34" customHeight="1">
      <x:c r="A125" s="7" t="str">
        <x:v>BASE</x:v>
      </x:c>
      <x:c r="B125" s="7" t="str">
        <x:v>U17</x:v>
      </x:c>
      <x:c r="C125" s="7" t="str">
        <x:v>meaning</x:v>
      </x:c>
      <x:c r="D125" s="7" t="str">
        <x:v>request</x:v>
      </x:c>
      <x:c r="E125" s="7" t="str">
        <x:v>text_output</x:v>
      </x:c>
      <x:c r="F125" s="16" t="n">
        <x:v>64</x:v>
      </x:c>
      <x:c r="G125" s="18" t="n">
        <x:v>0.000004</x:v>
      </x:c>
      <x:c r="H125" s="16" t="n">
        <x:f>F125*G125</x:f>
        <x:v>0.000256</x:v>
      </x:c>
    </x:row>
    <x:row r="126" ht="34" customHeight="1">
      <x:c r="A126" s="12" t="str">
        <x:v>BASE</x:v>
      </x:c>
      <x:c r="B126" s="12" t="str">
        <x:v>U17</x:v>
      </x:c>
      <x:c r="C126" s="12" t="str">
        <x:v>question_audio</x:v>
      </x:c>
      <x:c r="D126" s="12" t="str">
        <x:v>preparation</x:v>
      </x:c>
      <x:c r="E126" s="12" t="str">
        <x:v>text_input</x:v>
      </x:c>
      <x:c r="F126" s="15" t="n">
        <x:v>64</x:v>
      </x:c>
      <x:c r="G126" s="17" t="n">
        <x:v>0.000001</x:v>
      </x:c>
      <x:c r="H126" s="15" t="n">
        <x:f>F126*G126</x:f>
        <x:v>0.000064</x:v>
      </x:c>
    </x:row>
    <x:row r="127" ht="34" customHeight="1">
      <x:c r="A127" s="7" t="str">
        <x:v>BASE</x:v>
      </x:c>
      <x:c r="B127" s="7" t="str">
        <x:v>U17</x:v>
      </x:c>
      <x:c r="C127" s="7" t="str">
        <x:v>question_audio</x:v>
      </x:c>
      <x:c r="D127" s="7" t="str">
        <x:v>preparation</x:v>
      </x:c>
      <x:c r="E127" s="7" t="str">
        <x:v>audio_output</x:v>
      </x:c>
      <x:c r="F127" s="16" t="n">
        <x:v>8</x:v>
      </x:c>
      <x:c r="G127" s="18" t="n">
        <x:v>0.002</x:v>
      </x:c>
      <x:c r="H127" s="16" t="n">
        <x:f>F127*G127</x:f>
        <x:v>0.016</x:v>
      </x:c>
    </x:row>
    <x:row r="128" ht="34" customHeight="1">
      <x:c r="A128" s="12" t="str">
        <x:v>BASE</x:v>
      </x:c>
      <x:c r="B128" s="12" t="str">
        <x:v>U17</x:v>
      </x:c>
      <x:c r="C128" s="12" t="str">
        <x:v>input_end</x:v>
      </x:c>
      <x:c r="D128" s="12" t="str">
        <x:v>input</x:v>
      </x:c>
      <x:c r="E128" s="12" t="str">
        <x:v>audio_input</x:v>
      </x:c>
      <x:c r="F128" s="15" t="n">
        <x:v>3</x:v>
      </x:c>
      <x:c r="G128" s="17" t="n">
        <x:v>0.001</x:v>
      </x:c>
      <x:c r="H128" s="15" t="n">
        <x:f>F128*G128</x:f>
        <x:v>0.003</x:v>
      </x:c>
    </x:row>
    <x:row r="129" ht="34" customHeight="1">
      <x:c r="A129" s="7" t="str">
        <x:v>BASE</x:v>
      </x:c>
      <x:c r="B129" s="7" t="str">
        <x:v>U18</x:v>
      </x:c>
      <x:c r="C129" s="7" t="str">
        <x:v>meaning</x:v>
      </x:c>
      <x:c r="D129" s="7" t="str">
        <x:v>request</x:v>
      </x:c>
      <x:c r="E129" s="7" t="str">
        <x:v>text_input</x:v>
      </x:c>
      <x:c r="F129" s="16" t="n">
        <x:v>600</x:v>
      </x:c>
      <x:c r="G129" s="18" t="n">
        <x:v>0.000001</x:v>
      </x:c>
      <x:c r="H129" s="16" t="n">
        <x:f>F129*G129</x:f>
        <x:v>0.0006</x:v>
      </x:c>
    </x:row>
    <x:row r="130" ht="34" customHeight="1">
      <x:c r="A130" s="12" t="str">
        <x:v>BASE</x:v>
      </x:c>
      <x:c r="B130" s="12" t="str">
        <x:v>U18</x:v>
      </x:c>
      <x:c r="C130" s="12" t="str">
        <x:v>meaning</x:v>
      </x:c>
      <x:c r="D130" s="12" t="str">
        <x:v>request</x:v>
      </x:c>
      <x:c r="E130" s="12" t="str">
        <x:v>text_output</x:v>
      </x:c>
      <x:c r="F130" s="15" t="n">
        <x:v>64</x:v>
      </x:c>
      <x:c r="G130" s="17" t="n">
        <x:v>0.000004</x:v>
      </x:c>
      <x:c r="H130" s="15" t="n">
        <x:f>F130*G130</x:f>
        <x:v>0.000256</x:v>
      </x:c>
    </x:row>
    <x:row r="131" ht="34" customHeight="1">
      <x:c r="A131" s="7" t="str">
        <x:v>BASE</x:v>
      </x:c>
      <x:c r="B131" s="7" t="str">
        <x:v>U18</x:v>
      </x:c>
      <x:c r="C131" s="7" t="str">
        <x:v>question_audio</x:v>
      </x:c>
      <x:c r="D131" s="7" t="str">
        <x:v>preparation</x:v>
      </x:c>
      <x:c r="E131" s="7" t="str">
        <x:v>text_input</x:v>
      </x:c>
      <x:c r="F131" s="16" t="n">
        <x:v>64</x:v>
      </x:c>
      <x:c r="G131" s="18" t="n">
        <x:v>0.000001</x:v>
      </x:c>
      <x:c r="H131" s="16" t="n">
        <x:f>F131*G131</x:f>
        <x:v>0.000064</x:v>
      </x:c>
    </x:row>
    <x:row r="132" ht="34" customHeight="1">
      <x:c r="A132" s="12" t="str">
        <x:v>BASE</x:v>
      </x:c>
      <x:c r="B132" s="12" t="str">
        <x:v>U18</x:v>
      </x:c>
      <x:c r="C132" s="12" t="str">
        <x:v>question_audio</x:v>
      </x:c>
      <x:c r="D132" s="12" t="str">
        <x:v>preparation</x:v>
      </x:c>
      <x:c r="E132" s="12" t="str">
        <x:v>audio_output</x:v>
      </x:c>
      <x:c r="F132" s="15" t="n">
        <x:v>8</x:v>
      </x:c>
      <x:c r="G132" s="17" t="n">
        <x:v>0.002</x:v>
      </x:c>
      <x:c r="H132" s="15" t="n">
        <x:f>F132*G132</x:f>
        <x:v>0.016</x:v>
      </x:c>
    </x:row>
    <x:row r="133" ht="34" customHeight="1">
      <x:c r="A133" s="7" t="str">
        <x:v>BASE</x:v>
      </x:c>
      <x:c r="B133" s="7" t="str">
        <x:v>U18</x:v>
      </x:c>
      <x:c r="C133" s="7" t="str">
        <x:v>obsolete_audio</x:v>
      </x:c>
      <x:c r="D133" s="7" t="str">
        <x:v>preparation</x:v>
      </x:c>
      <x:c r="E133" s="7" t="str">
        <x:v>text_input</x:v>
      </x:c>
      <x:c r="F133" s="16" t="n">
        <x:v>80</x:v>
      </x:c>
      <x:c r="G133" s="18" t="n">
        <x:v>0.000001</x:v>
      </x:c>
      <x:c r="H133" s="16" t="n">
        <x:f>F133*G133</x:f>
        <x:v>0.00007999999999999999</x:v>
      </x:c>
    </x:row>
    <x:row r="134" ht="34" customHeight="1">
      <x:c r="A134" s="12" t="str">
        <x:v>BASE</x:v>
      </x:c>
      <x:c r="B134" s="12" t="str">
        <x:v>U18</x:v>
      </x:c>
      <x:c r="C134" s="12" t="str">
        <x:v>obsolete_audio</x:v>
      </x:c>
      <x:c r="D134" s="12" t="str">
        <x:v>preparation</x:v>
      </x:c>
      <x:c r="E134" s="12" t="str">
        <x:v>audio_output</x:v>
      </x:c>
      <x:c r="F134" s="15" t="n">
        <x:v>10</x:v>
      </x:c>
      <x:c r="G134" s="17" t="n">
        <x:v>0.002</x:v>
      </x:c>
      <x:c r="H134" s="15" t="n">
        <x:f>F134*G134</x:f>
        <x:v>0.02</x:v>
      </x:c>
    </x:row>
    <x:row r="135" ht="34" customHeight="1">
      <x:c r="A135" s="7" t="str">
        <x:v>BASE</x:v>
      </x:c>
      <x:c r="B135" s="7" t="str">
        <x:v>U18</x:v>
      </x:c>
      <x:c r="C135" s="7" t="str">
        <x:v>input_end</x:v>
      </x:c>
      <x:c r="D135" s="7" t="str">
        <x:v>input</x:v>
      </x:c>
      <x:c r="E135" s="7" t="str">
        <x:v>audio_input</x:v>
      </x:c>
      <x:c r="F135" s="16" t="n">
        <x:v>3</x:v>
      </x:c>
      <x:c r="G135" s="18" t="n">
        <x:v>0.001</x:v>
      </x:c>
      <x:c r="H135" s="16" t="n">
        <x:f>F135*G135</x:f>
        <x:v>0.003</x:v>
      </x:c>
    </x:row>
    <x:row r="136" ht="34" customHeight="1">
      <x:c r="A136" s="12" t="str">
        <x:v>BASE</x:v>
      </x:c>
      <x:c r="B136" s="12" t="str">
        <x:v>U19</x:v>
      </x:c>
      <x:c r="C136" s="12" t="str">
        <x:v>meaning</x:v>
      </x:c>
      <x:c r="D136" s="12" t="str">
        <x:v>request</x:v>
      </x:c>
      <x:c r="E136" s="12" t="str">
        <x:v>text_input</x:v>
      </x:c>
      <x:c r="F136" s="15" t="n">
        <x:v>600</x:v>
      </x:c>
      <x:c r="G136" s="17" t="n">
        <x:v>0.000001</x:v>
      </x:c>
      <x:c r="H136" s="15" t="n">
        <x:f>F136*G136</x:f>
        <x:v>0.0006</x:v>
      </x:c>
    </x:row>
    <x:row r="137" ht="34" customHeight="1">
      <x:c r="A137" s="7" t="str">
        <x:v>BASE</x:v>
      </x:c>
      <x:c r="B137" s="7" t="str">
        <x:v>U19</x:v>
      </x:c>
      <x:c r="C137" s="7" t="str">
        <x:v>meaning</x:v>
      </x:c>
      <x:c r="D137" s="7" t="str">
        <x:v>request</x:v>
      </x:c>
      <x:c r="E137" s="7" t="str">
        <x:v>text_output</x:v>
      </x:c>
      <x:c r="F137" s="16" t="n">
        <x:v>64</x:v>
      </x:c>
      <x:c r="G137" s="18" t="n">
        <x:v>0.000004</x:v>
      </x:c>
      <x:c r="H137" s="16" t="n">
        <x:f>F137*G137</x:f>
        <x:v>0.000256</x:v>
      </x:c>
    </x:row>
    <x:row r="138" ht="34" customHeight="1">
      <x:c r="A138" s="12" t="str">
        <x:v>BASE</x:v>
      </x:c>
      <x:c r="B138" s="12" t="str">
        <x:v>U19</x:v>
      </x:c>
      <x:c r="C138" s="12" t="str">
        <x:v>question_audio</x:v>
      </x:c>
      <x:c r="D138" s="12" t="str">
        <x:v>preparation</x:v>
      </x:c>
      <x:c r="E138" s="12" t="str">
        <x:v>text_input</x:v>
      </x:c>
      <x:c r="F138" s="15" t="n">
        <x:v>48</x:v>
      </x:c>
      <x:c r="G138" s="17" t="n">
        <x:v>0.000001</x:v>
      </x:c>
      <x:c r="H138" s="15" t="n">
        <x:f>F138*G138</x:f>
        <x:v>0.000048</x:v>
      </x:c>
    </x:row>
    <x:row r="139" ht="34" customHeight="1">
      <x:c r="A139" s="7" t="str">
        <x:v>BASE</x:v>
      </x:c>
      <x:c r="B139" s="7" t="str">
        <x:v>U19</x:v>
      </x:c>
      <x:c r="C139" s="7" t="str">
        <x:v>question_audio</x:v>
      </x:c>
      <x:c r="D139" s="7" t="str">
        <x:v>preparation</x:v>
      </x:c>
      <x:c r="E139" s="7" t="str">
        <x:v>audio_output</x:v>
      </x:c>
      <x:c r="F139" s="16" t="n">
        <x:v>6</x:v>
      </x:c>
      <x:c r="G139" s="18" t="n">
        <x:v>0.002</x:v>
      </x:c>
      <x:c r="H139" s="16" t="n">
        <x:f>F139*G139</x:f>
        <x:v>0.012</x:v>
      </x:c>
    </x:row>
    <x:row r="140" ht="34" customHeight="1">
      <x:c r="A140" s="12" t="str">
        <x:v>BASE</x:v>
      </x:c>
      <x:c r="B140" s="12" t="str">
        <x:v>U19</x:v>
      </x:c>
      <x:c r="C140" s="12" t="str">
        <x:v>old_audio</x:v>
      </x:c>
      <x:c r="D140" s="12" t="str">
        <x:v>preparation</x:v>
      </x:c>
      <x:c r="E140" s="12" t="str">
        <x:v>text_input</x:v>
      </x:c>
      <x:c r="F140" s="15" t="n">
        <x:v>288</x:v>
      </x:c>
      <x:c r="G140" s="17" t="n">
        <x:v>0.000001</x:v>
      </x:c>
      <x:c r="H140" s="15" t="n">
        <x:f>F140*G140</x:f>
        <x:v>0.000288</x:v>
      </x:c>
    </x:row>
    <x:row r="141" ht="34" customHeight="1">
      <x:c r="A141" s="7" t="str">
        <x:v>BASE</x:v>
      </x:c>
      <x:c r="B141" s="7" t="str">
        <x:v>U19</x:v>
      </x:c>
      <x:c r="C141" s="7" t="str">
        <x:v>old_audio</x:v>
      </x:c>
      <x:c r="D141" s="7" t="str">
        <x:v>preparation</x:v>
      </x:c>
      <x:c r="E141" s="7" t="str">
        <x:v>audio_output</x:v>
      </x:c>
      <x:c r="F141" s="16" t="n">
        <x:v>36</x:v>
      </x:c>
      <x:c r="G141" s="18" t="n">
        <x:v>0.002</x:v>
      </x:c>
      <x:c r="H141" s="16" t="n">
        <x:f>F141*G141</x:f>
        <x:v>0.07200000000000001</x:v>
      </x:c>
    </x:row>
    <x:row r="142" ht="34" customHeight="1">
      <x:c r="A142" s="12" t="str">
        <x:v>BASE</x:v>
      </x:c>
      <x:c r="B142" s="12" t="str">
        <x:v>U19</x:v>
      </x:c>
      <x:c r="C142" s="12" t="str">
        <x:v>input_end</x:v>
      </x:c>
      <x:c r="D142" s="12" t="str">
        <x:v>input</x:v>
      </x:c>
      <x:c r="E142" s="12" t="str">
        <x:v>audio_input</x:v>
      </x:c>
      <x:c r="F142" s="15" t="n">
        <x:v>3</x:v>
      </x:c>
      <x:c r="G142" s="17" t="n">
        <x:v>0.001</x:v>
      </x:c>
      <x:c r="H142" s="15" t="n">
        <x:f>F142*G142</x:f>
        <x:v>0.003</x:v>
      </x:c>
    </x:row>
    <x:row r="143" ht="34" customHeight="1">
      <x:c r="A143" s="7" t="str">
        <x:v>BASE</x:v>
      </x:c>
      <x:c r="B143" s="7" t="str">
        <x:v>U20</x:v>
      </x:c>
      <x:c r="C143" s="7" t="str">
        <x:v>meaning</x:v>
      </x:c>
      <x:c r="D143" s="7" t="str">
        <x:v>request</x:v>
      </x:c>
      <x:c r="E143" s="7" t="str">
        <x:v>text_input</x:v>
      </x:c>
      <x:c r="F143" s="16" t="n">
        <x:v>600</x:v>
      </x:c>
      <x:c r="G143" s="18" t="n">
        <x:v>0.000001</x:v>
      </x:c>
      <x:c r="H143" s="16" t="n">
        <x:f>F143*G143</x:f>
        <x:v>0.0006</x:v>
      </x:c>
    </x:row>
    <x:row r="144" ht="34" customHeight="1">
      <x:c r="A144" s="12" t="str">
        <x:v>BASE</x:v>
      </x:c>
      <x:c r="B144" s="12" t="str">
        <x:v>U20</x:v>
      </x:c>
      <x:c r="C144" s="12" t="str">
        <x:v>meaning</x:v>
      </x:c>
      <x:c r="D144" s="12" t="str">
        <x:v>request</x:v>
      </x:c>
      <x:c r="E144" s="12" t="str">
        <x:v>text_output</x:v>
      </x:c>
      <x:c r="F144" s="15" t="n">
        <x:v>64</x:v>
      </x:c>
      <x:c r="G144" s="17" t="n">
        <x:v>0.000004</x:v>
      </x:c>
      <x:c r="H144" s="15" t="n">
        <x:f>F144*G144</x:f>
        <x:v>0.000256</x:v>
      </x:c>
    </x:row>
    <x:row r="145" ht="34" customHeight="1">
      <x:c r="A145" s="7" t="str">
        <x:v>BASE</x:v>
      </x:c>
      <x:c r="B145" s="7" t="str">
        <x:v>U20</x:v>
      </x:c>
      <x:c r="C145" s="7" t="str">
        <x:v>input_end</x:v>
      </x:c>
      <x:c r="D145" s="7" t="str">
        <x:v>input</x:v>
      </x:c>
      <x:c r="E145" s="7" t="str">
        <x:v>audio_input</x:v>
      </x:c>
      <x:c r="F145" s="16" t="n">
        <x:v>3</x:v>
      </x:c>
      <x:c r="G145" s="18" t="n">
        <x:v>0.001</x:v>
      </x:c>
      <x:c r="H145" s="16" t="n">
        <x:f>F145*G145</x:f>
        <x:v>0.003</x:v>
      </x:c>
    </x:row>
    <x:row r="146" ht="34" customHeight="1">
      <x:c r="A146" s="12" t="str">
        <x:v>BASE</x:v>
      </x:c>
      <x:c r="B146" s="12" t="str">
        <x:v>U21</x:v>
      </x:c>
      <x:c r="C146" s="12" t="str">
        <x:v>bg1</x:v>
      </x:c>
      <x:c r="D146" s="12" t="str">
        <x:v>background</x:v>
      </x:c>
      <x:c r="E146" s="12" t="str">
        <x:v>text_input</x:v>
      </x:c>
      <x:c r="F146" s="15" t="n">
        <x:v>1200</x:v>
      </x:c>
      <x:c r="G146" s="17" t="n">
        <x:v>0.000001</x:v>
      </x:c>
      <x:c r="H146" s="15" t="n">
        <x:f>F146*G146</x:f>
        <x:v>0.0012</x:v>
      </x:c>
    </x:row>
    <x:row r="147" ht="34" customHeight="1">
      <x:c r="A147" s="7" t="str">
        <x:v>BASE</x:v>
      </x:c>
      <x:c r="B147" s="7" t="str">
        <x:v>U21</x:v>
      </x:c>
      <x:c r="C147" s="7" t="str">
        <x:v>bg1</x:v>
      </x:c>
      <x:c r="D147" s="7" t="str">
        <x:v>background</x:v>
      </x:c>
      <x:c r="E147" s="7" t="str">
        <x:v>text_output</x:v>
      </x:c>
      <x:c r="F147" s="16" t="n">
        <x:v>240</x:v>
      </x:c>
      <x:c r="G147" s="18" t="n">
        <x:v>0.000004</x:v>
      </x:c>
      <x:c r="H147" s="16" t="n">
        <x:f>F147*G147</x:f>
        <x:v>0.0009599999999999999</x:v>
      </x:c>
    </x:row>
    <x:row r="148" ht="34" customHeight="1">
      <x:c r="A148" s="12" t="str">
        <x:v>BASE</x:v>
      </x:c>
      <x:c r="B148" s="12" t="str">
        <x:v>U21</x:v>
      </x:c>
      <x:c r="C148" s="12" t="str">
        <x:v>meaning</x:v>
      </x:c>
      <x:c r="D148" s="12" t="str">
        <x:v>request</x:v>
      </x:c>
      <x:c r="E148" s="12" t="str">
        <x:v>text_input</x:v>
      </x:c>
      <x:c r="F148" s="15" t="n">
        <x:v>4800</x:v>
      </x:c>
      <x:c r="G148" s="17" t="n">
        <x:v>0.000001</x:v>
      </x:c>
      <x:c r="H148" s="15" t="n">
        <x:f>F148*G148</x:f>
        <x:v>0.0048</x:v>
      </x:c>
    </x:row>
    <x:row r="149" ht="34" customHeight="1">
      <x:c r="A149" s="7" t="str">
        <x:v>BASE</x:v>
      </x:c>
      <x:c r="B149" s="7" t="str">
        <x:v>U21</x:v>
      </x:c>
      <x:c r="C149" s="7" t="str">
        <x:v>meaning</x:v>
      </x:c>
      <x:c r="D149" s="7" t="str">
        <x:v>request</x:v>
      </x:c>
      <x:c r="E149" s="7" t="str">
        <x:v>text_output</x:v>
      </x:c>
      <x:c r="F149" s="16" t="n">
        <x:v>64</x:v>
      </x:c>
      <x:c r="G149" s="18" t="n">
        <x:v>0.000004</x:v>
      </x:c>
      <x:c r="H149" s="16" t="n">
        <x:f>F149*G149</x:f>
        <x:v>0.000256</x:v>
      </x:c>
    </x:row>
    <x:row r="150" ht="34" customHeight="1">
      <x:c r="A150" s="12" t="str">
        <x:v>BASE</x:v>
      </x:c>
      <x:c r="B150" s="12" t="str">
        <x:v>U21</x:v>
      </x:c>
      <x:c r="C150" s="12" t="str">
        <x:v>response_audio</x:v>
      </x:c>
      <x:c r="D150" s="12" t="str">
        <x:v>request</x:v>
      </x:c>
      <x:c r="E150" s="12" t="str">
        <x:v>text_input</x:v>
      </x:c>
      <x:c r="F150" s="15" t="n">
        <x:v>48</x:v>
      </x:c>
      <x:c r="G150" s="17" t="n">
        <x:v>0.000001</x:v>
      </x:c>
      <x:c r="H150" s="15" t="n">
        <x:f>F150*G150</x:f>
        <x:v>0.000048</x:v>
      </x:c>
    </x:row>
    <x:row r="151" ht="34" customHeight="1">
      <x:c r="A151" s="7" t="str">
        <x:v>BASE</x:v>
      </x:c>
      <x:c r="B151" s="7" t="str">
        <x:v>U21</x:v>
      </x:c>
      <x:c r="C151" s="7" t="str">
        <x:v>response_audio</x:v>
      </x:c>
      <x:c r="D151" s="7" t="str">
        <x:v>request</x:v>
      </x:c>
      <x:c r="E151" s="7" t="str">
        <x:v>audio_output</x:v>
      </x:c>
      <x:c r="F151" s="16" t="n">
        <x:v>6</x:v>
      </x:c>
      <x:c r="G151" s="18" t="n">
        <x:v>0.002</x:v>
      </x:c>
      <x:c r="H151" s="16" t="n">
        <x:f>F151*G151</x:f>
        <x:v>0.012</x:v>
      </x:c>
    </x:row>
    <x:row r="152" ht="34" customHeight="1">
      <x:c r="A152" s="12" t="str">
        <x:v>BASE</x:v>
      </x:c>
      <x:c r="B152" s="12" t="str">
        <x:v>U21</x:v>
      </x:c>
      <x:c r="C152" s="12" t="str">
        <x:v>intent_audio</x:v>
      </x:c>
      <x:c r="D152" s="12" t="str">
        <x:v>request</x:v>
      </x:c>
      <x:c r="E152" s="12" t="str">
        <x:v>text_input</x:v>
      </x:c>
      <x:c r="F152" s="15" t="n">
        <x:v>24</x:v>
      </x:c>
      <x:c r="G152" s="17" t="n">
        <x:v>0.000001</x:v>
      </x:c>
      <x:c r="H152" s="15" t="n">
        <x:f>F152*G152</x:f>
        <x:v>0.000024</x:v>
      </x:c>
    </x:row>
    <x:row r="153" ht="34" customHeight="1">
      <x:c r="A153" s="7" t="str">
        <x:v>BASE</x:v>
      </x:c>
      <x:c r="B153" s="7" t="str">
        <x:v>U21</x:v>
      </x:c>
      <x:c r="C153" s="7" t="str">
        <x:v>intent_audio</x:v>
      </x:c>
      <x:c r="D153" s="7" t="str">
        <x:v>request</x:v>
      </x:c>
      <x:c r="E153" s="7" t="str">
        <x:v>audio_output</x:v>
      </x:c>
      <x:c r="F153" s="16" t="n">
        <x:v>3</x:v>
      </x:c>
      <x:c r="G153" s="18" t="n">
        <x:v>0.002</x:v>
      </x:c>
      <x:c r="H153" s="16" t="n">
        <x:f>F153*G153</x:f>
        <x:v>0.006</x:v>
      </x:c>
    </x:row>
    <x:row r="154" ht="34" customHeight="1">
      <x:c r="A154" s="12" t="str">
        <x:v>BASE</x:v>
      </x:c>
      <x:c r="B154" s="12" t="str">
        <x:v>U21</x:v>
      </x:c>
      <x:c r="C154" s="12" t="str">
        <x:v>input_end</x:v>
      </x:c>
      <x:c r="D154" s="12" t="str">
        <x:v>input</x:v>
      </x:c>
      <x:c r="E154" s="12" t="str">
        <x:v>audio_input</x:v>
      </x:c>
      <x:c r="F154" s="15" t="n">
        <x:v>3</x:v>
      </x:c>
      <x:c r="G154" s="17" t="n">
        <x:v>0.001</x:v>
      </x:c>
      <x:c r="H154" s="15" t="n">
        <x:f>F154*G154</x:f>
        <x:v>0.003</x:v>
      </x:c>
    </x:row>
    <x:row r="155" ht="34" customHeight="1">
      <x:c r="A155" s="7" t="str">
        <x:v>BASE</x:v>
      </x:c>
      <x:c r="B155" s="7" t="str">
        <x:v>U22</x:v>
      </x:c>
      <x:c r="C155" s="7" t="str">
        <x:v>pre_raw</x:v>
      </x:c>
      <x:c r="D155" s="7" t="str">
        <x:v>preparation</x:v>
      </x:c>
      <x:c r="E155" s="7" t="str">
        <x:v>text_input</x:v>
      </x:c>
      <x:c r="F155" s="16" t="n">
        <x:v>2400</x:v>
      </x:c>
      <x:c r="G155" s="18" t="n">
        <x:v>0.000001</x:v>
      </x:c>
      <x:c r="H155" s="16" t="n">
        <x:f>F155*G155</x:f>
        <x:v>0.0024</x:v>
      </x:c>
    </x:row>
    <x:row r="156" ht="34" customHeight="1">
      <x:c r="A156" s="12" t="str">
        <x:v>BASE</x:v>
      </x:c>
      <x:c r="B156" s="12" t="str">
        <x:v>U22</x:v>
      </x:c>
      <x:c r="C156" s="12" t="str">
        <x:v>pre_raw</x:v>
      </x:c>
      <x:c r="D156" s="12" t="str">
        <x:v>preparation</x:v>
      </x:c>
      <x:c r="E156" s="12" t="str">
        <x:v>text_output</x:v>
      </x:c>
      <x:c r="F156" s="15" t="n">
        <x:v>64</x:v>
      </x:c>
      <x:c r="G156" s="17" t="n">
        <x:v>0.000004</x:v>
      </x:c>
      <x:c r="H156" s="15" t="n">
        <x:f>F156*G156</x:f>
        <x:v>0.000256</x:v>
      </x:c>
    </x:row>
    <x:row r="157" ht="34" customHeight="1">
      <x:c r="A157" s="7" t="str">
        <x:v>BASE</x:v>
      </x:c>
      <x:c r="B157" s="7" t="str">
        <x:v>U22</x:v>
      </x:c>
      <x:c r="C157" s="7" t="str">
        <x:v>meaning</x:v>
      </x:c>
      <x:c r="D157" s="7" t="str">
        <x:v>request</x:v>
      </x:c>
      <x:c r="E157" s="7" t="str">
        <x:v>text_input</x:v>
      </x:c>
      <x:c r="F157" s="16" t="n">
        <x:v>2400</x:v>
      </x:c>
      <x:c r="G157" s="18" t="n">
        <x:v>0.000001</x:v>
      </x:c>
      <x:c r="H157" s="16" t="n">
        <x:f>F157*G157</x:f>
        <x:v>0.0024</x:v>
      </x:c>
    </x:row>
    <x:row r="158" ht="34" customHeight="1">
      <x:c r="A158" s="12" t="str">
        <x:v>BASE</x:v>
      </x:c>
      <x:c r="B158" s="12" t="str">
        <x:v>U22</x:v>
      </x:c>
      <x:c r="C158" s="12" t="str">
        <x:v>meaning</x:v>
      </x:c>
      <x:c r="D158" s="12" t="str">
        <x:v>request</x:v>
      </x:c>
      <x:c r="E158" s="12" t="str">
        <x:v>text_output</x:v>
      </x:c>
      <x:c r="F158" s="15" t="n">
        <x:v>64</x:v>
      </x:c>
      <x:c r="G158" s="17" t="n">
        <x:v>0.000004</x:v>
      </x:c>
      <x:c r="H158" s="15" t="n">
        <x:f>F158*G158</x:f>
        <x:v>0.000256</x:v>
      </x:c>
    </x:row>
    <x:row r="159" ht="34" customHeight="1">
      <x:c r="A159" s="7" t="str">
        <x:v>BASE</x:v>
      </x:c>
      <x:c r="B159" s="7" t="str">
        <x:v>U22</x:v>
      </x:c>
      <x:c r="C159" s="7" t="str">
        <x:v>question_audio</x:v>
      </x:c>
      <x:c r="D159" s="7" t="str">
        <x:v>preparation</x:v>
      </x:c>
      <x:c r="E159" s="7" t="str">
        <x:v>text_input</x:v>
      </x:c>
      <x:c r="F159" s="16" t="n">
        <x:v>48</x:v>
      </x:c>
      <x:c r="G159" s="18" t="n">
        <x:v>0.000001</x:v>
      </x:c>
      <x:c r="H159" s="16" t="n">
        <x:f>F159*G159</x:f>
        <x:v>0.000048</x:v>
      </x:c>
    </x:row>
    <x:row r="160" ht="34" customHeight="1">
      <x:c r="A160" s="12" t="str">
        <x:v>BASE</x:v>
      </x:c>
      <x:c r="B160" s="12" t="str">
        <x:v>U22</x:v>
      </x:c>
      <x:c r="C160" s="12" t="str">
        <x:v>question_audio</x:v>
      </x:c>
      <x:c r="D160" s="12" t="str">
        <x:v>preparation</x:v>
      </x:c>
      <x:c r="E160" s="12" t="str">
        <x:v>audio_output</x:v>
      </x:c>
      <x:c r="F160" s="15" t="n">
        <x:v>6</x:v>
      </x:c>
      <x:c r="G160" s="17" t="n">
        <x:v>0.002</x:v>
      </x:c>
      <x:c r="H160" s="15" t="n">
        <x:f>F160*G160</x:f>
        <x:v>0.012</x:v>
      </x:c>
    </x:row>
    <x:row r="161" ht="34" customHeight="1">
      <x:c r="A161" s="7" t="str">
        <x:v>BASE</x:v>
      </x:c>
      <x:c r="B161" s="7" t="str">
        <x:v>U22</x:v>
      </x:c>
      <x:c r="C161" s="7" t="str">
        <x:v>final_result_audio</x:v>
      </x:c>
      <x:c r="D161" s="7" t="str">
        <x:v>request</x:v>
      </x:c>
      <x:c r="E161" s="7" t="str">
        <x:v>text_input</x:v>
      </x:c>
      <x:c r="F161" s="16" t="n">
        <x:v>48</x:v>
      </x:c>
      <x:c r="G161" s="18" t="n">
        <x:v>0.000001</x:v>
      </x:c>
      <x:c r="H161" s="16" t="n">
        <x:f>F161*G161</x:f>
        <x:v>0.000048</x:v>
      </x:c>
    </x:row>
    <x:row r="162" ht="34" customHeight="1">
      <x:c r="A162" s="12" t="str">
        <x:v>BASE</x:v>
      </x:c>
      <x:c r="B162" s="12" t="str">
        <x:v>U22</x:v>
      </x:c>
      <x:c r="C162" s="12" t="str">
        <x:v>final_result_audio</x:v>
      </x:c>
      <x:c r="D162" s="12" t="str">
        <x:v>request</x:v>
      </x:c>
      <x:c r="E162" s="12" t="str">
        <x:v>audio_output</x:v>
      </x:c>
      <x:c r="F162" s="15" t="n">
        <x:v>6</x:v>
      </x:c>
      <x:c r="G162" s="17" t="n">
        <x:v>0.002</x:v>
      </x:c>
      <x:c r="H162" s="15" t="n">
        <x:f>F162*G162</x:f>
        <x:v>0.012</x:v>
      </x:c>
    </x:row>
    <x:row r="163" ht="34" customHeight="1">
      <x:c r="A163" s="7" t="str">
        <x:v>BASE</x:v>
      </x:c>
      <x:c r="B163" s="7" t="str">
        <x:v>U22</x:v>
      </x:c>
      <x:c r="C163" s="7" t="str">
        <x:v>input_end</x:v>
      </x:c>
      <x:c r="D163" s="7" t="str">
        <x:v>input</x:v>
      </x:c>
      <x:c r="E163" s="7" t="str">
        <x:v>audio_input</x:v>
      </x:c>
      <x:c r="F163" s="16" t="n">
        <x:v>3</x:v>
      </x:c>
      <x:c r="G163" s="18" t="n">
        <x:v>0.001</x:v>
      </x:c>
      <x:c r="H163" s="16" t="n">
        <x:f>F163*G163</x:f>
        <x:v>0.003</x:v>
      </x:c>
    </x:row>
    <x:row r="164" ht="34" customHeight="1">
      <x:c r="A164" s="12" t="str">
        <x:v>BASE</x:v>
      </x:c>
      <x:c r="B164" s="12" t="str">
        <x:v>U23</x:v>
      </x:c>
      <x:c r="C164" s="12" t="str">
        <x:v>meaning</x:v>
      </x:c>
      <x:c r="D164" s="12" t="str">
        <x:v>request</x:v>
      </x:c>
      <x:c r="E164" s="12" t="str">
        <x:v>text_input</x:v>
      </x:c>
      <x:c r="F164" s="15" t="n">
        <x:v>3000</x:v>
      </x:c>
      <x:c r="G164" s="17" t="n">
        <x:v>0.000001</x:v>
      </x:c>
      <x:c r="H164" s="15" t="n">
        <x:f>F164*G164</x:f>
        <x:v>0.003</x:v>
      </x:c>
    </x:row>
    <x:row r="165" ht="34" customHeight="1">
      <x:c r="A165" s="7" t="str">
        <x:v>BASE</x:v>
      </x:c>
      <x:c r="B165" s="7" t="str">
        <x:v>U23</x:v>
      </x:c>
      <x:c r="C165" s="7" t="str">
        <x:v>meaning</x:v>
      </x:c>
      <x:c r="D165" s="7" t="str">
        <x:v>request</x:v>
      </x:c>
      <x:c r="E165" s="7" t="str">
        <x:v>text_output</x:v>
      </x:c>
      <x:c r="F165" s="16" t="n">
        <x:v>64</x:v>
      </x:c>
      <x:c r="G165" s="18" t="n">
        <x:v>0.000004</x:v>
      </x:c>
      <x:c r="H165" s="16" t="n">
        <x:f>F165*G165</x:f>
        <x:v>0.000256</x:v>
      </x:c>
    </x:row>
    <x:row r="166" ht="34" customHeight="1">
      <x:c r="A166" s="12" t="str">
        <x:v>BASE</x:v>
      </x:c>
      <x:c r="B166" s="12" t="str">
        <x:v>U23</x:v>
      </x:c>
      <x:c r="C166" s="12" t="str">
        <x:v>question_audio</x:v>
      </x:c>
      <x:c r="D166" s="12" t="str">
        <x:v>preparation</x:v>
      </x:c>
      <x:c r="E166" s="12" t="str">
        <x:v>text_input</x:v>
      </x:c>
      <x:c r="F166" s="15" t="n">
        <x:v>48</x:v>
      </x:c>
      <x:c r="G166" s="17" t="n">
        <x:v>0.000001</x:v>
      </x:c>
      <x:c r="H166" s="15" t="n">
        <x:f>F166*G166</x:f>
        <x:v>0.000048</x:v>
      </x:c>
    </x:row>
    <x:row r="167" ht="34" customHeight="1">
      <x:c r="A167" s="7" t="str">
        <x:v>BASE</x:v>
      </x:c>
      <x:c r="B167" s="7" t="str">
        <x:v>U23</x:v>
      </x:c>
      <x:c r="C167" s="7" t="str">
        <x:v>question_audio</x:v>
      </x:c>
      <x:c r="D167" s="7" t="str">
        <x:v>preparation</x:v>
      </x:c>
      <x:c r="E167" s="7" t="str">
        <x:v>audio_output</x:v>
      </x:c>
      <x:c r="F167" s="16" t="n">
        <x:v>6</x:v>
      </x:c>
      <x:c r="G167" s="18" t="n">
        <x:v>0.002</x:v>
      </x:c>
      <x:c r="H167" s="16" t="n">
        <x:f>F167*G167</x:f>
        <x:v>0.012</x:v>
      </x:c>
    </x:row>
    <x:row r="168" ht="34" customHeight="1">
      <x:c r="A168" s="12" t="str">
        <x:v>BASE</x:v>
      </x:c>
      <x:c r="B168" s="12" t="str">
        <x:v>U23</x:v>
      </x:c>
      <x:c r="C168" s="12" t="str">
        <x:v>final_result_audio</x:v>
      </x:c>
      <x:c r="D168" s="12" t="str">
        <x:v>request</x:v>
      </x:c>
      <x:c r="E168" s="12" t="str">
        <x:v>text_input</x:v>
      </x:c>
      <x:c r="F168" s="15" t="n">
        <x:v>48</x:v>
      </x:c>
      <x:c r="G168" s="17" t="n">
        <x:v>0.000001</x:v>
      </x:c>
      <x:c r="H168" s="15" t="n">
        <x:f>F168*G168</x:f>
        <x:v>0.000048</x:v>
      </x:c>
    </x:row>
    <x:row r="169" ht="34" customHeight="1">
      <x:c r="A169" s="7" t="str">
        <x:v>BASE</x:v>
      </x:c>
      <x:c r="B169" s="7" t="str">
        <x:v>U23</x:v>
      </x:c>
      <x:c r="C169" s="7" t="str">
        <x:v>final_result_audio</x:v>
      </x:c>
      <x:c r="D169" s="7" t="str">
        <x:v>request</x:v>
      </x:c>
      <x:c r="E169" s="7" t="str">
        <x:v>audio_output</x:v>
      </x:c>
      <x:c r="F169" s="16" t="n">
        <x:v>6</x:v>
      </x:c>
      <x:c r="G169" s="18" t="n">
        <x:v>0.002</x:v>
      </x:c>
      <x:c r="H169" s="16" t="n">
        <x:f>F169*G169</x:f>
        <x:v>0.012</x:v>
      </x:c>
    </x:row>
    <x:row r="170" ht="34" customHeight="1">
      <x:c r="A170" s="12" t="str">
        <x:v>BASE</x:v>
      </x:c>
      <x:c r="B170" s="12" t="str">
        <x:v>U24</x:v>
      </x:c>
      <x:c r="C170" s="12" t="str">
        <x:v>bg1</x:v>
      </x:c>
      <x:c r="D170" s="12" t="str">
        <x:v>background</x:v>
      </x:c>
      <x:c r="E170" s="12" t="str">
        <x:v>text_input</x:v>
      </x:c>
      <x:c r="F170" s="15" t="n">
        <x:v>1200</x:v>
      </x:c>
      <x:c r="G170" s="17" t="n">
        <x:v>0.000001</x:v>
      </x:c>
      <x:c r="H170" s="15" t="n">
        <x:f>F170*G170</x:f>
        <x:v>0.0012</x:v>
      </x:c>
    </x:row>
    <x:row r="171" ht="34" customHeight="1">
      <x:c r="A171" s="7" t="str">
        <x:v>BASE</x:v>
      </x:c>
      <x:c r="B171" s="7" t="str">
        <x:v>U24</x:v>
      </x:c>
      <x:c r="C171" s="7" t="str">
        <x:v>bg1</x:v>
      </x:c>
      <x:c r="D171" s="7" t="str">
        <x:v>background</x:v>
      </x:c>
      <x:c r="E171" s="7" t="str">
        <x:v>text_output</x:v>
      </x:c>
      <x:c r="F171" s="16" t="n">
        <x:v>240</x:v>
      </x:c>
      <x:c r="G171" s="18" t="n">
        <x:v>0.000004</x:v>
      </x:c>
      <x:c r="H171" s="16" t="n">
        <x:f>F171*G171</x:f>
        <x:v>0.0009599999999999999</x:v>
      </x:c>
    </x:row>
    <x:row r="172" ht="34" customHeight="1">
      <x:c r="A172" s="12" t="str">
        <x:v>BASE</x:v>
      </x:c>
      <x:c r="B172" s="12" t="str">
        <x:v>U24</x:v>
      </x:c>
      <x:c r="C172" s="12" t="str">
        <x:v>meaning</x:v>
      </x:c>
      <x:c r="D172" s="12" t="str">
        <x:v>request</x:v>
      </x:c>
      <x:c r="E172" s="12" t="str">
        <x:v>text_input</x:v>
      </x:c>
      <x:c r="F172" s="15" t="n">
        <x:v>6600</x:v>
      </x:c>
      <x:c r="G172" s="17" t="n">
        <x:v>0.000001</x:v>
      </x:c>
      <x:c r="H172" s="15" t="n">
        <x:f>F172*G172</x:f>
        <x:v>0.0066</x:v>
      </x:c>
    </x:row>
    <x:row r="173" ht="34" customHeight="1">
      <x:c r="A173" s="7" t="str">
        <x:v>BASE</x:v>
      </x:c>
      <x:c r="B173" s="7" t="str">
        <x:v>U24</x:v>
      </x:c>
      <x:c r="C173" s="7" t="str">
        <x:v>meaning</x:v>
      </x:c>
      <x:c r="D173" s="7" t="str">
        <x:v>request</x:v>
      </x:c>
      <x:c r="E173" s="7" t="str">
        <x:v>text_output</x:v>
      </x:c>
      <x:c r="F173" s="16" t="n">
        <x:v>64</x:v>
      </x:c>
      <x:c r="G173" s="18" t="n">
        <x:v>0.000004</x:v>
      </x:c>
      <x:c r="H173" s="16" t="n">
        <x:f>F173*G173</x:f>
        <x:v>0.000256</x:v>
      </x:c>
    </x:row>
    <x:row r="174" ht="34" customHeight="1">
      <x:c r="A174" s="12" t="str">
        <x:v>BASE</x:v>
      </x:c>
      <x:c r="B174" s="12" t="str">
        <x:v>U24</x:v>
      </x:c>
      <x:c r="C174" s="12" t="str">
        <x:v>response_audio</x:v>
      </x:c>
      <x:c r="D174" s="12" t="str">
        <x:v>request</x:v>
      </x:c>
      <x:c r="E174" s="12" t="str">
        <x:v>text_input</x:v>
      </x:c>
      <x:c r="F174" s="15" t="n">
        <x:v>48</x:v>
      </x:c>
      <x:c r="G174" s="17" t="n">
        <x:v>0.000001</x:v>
      </x:c>
      <x:c r="H174" s="15" t="n">
        <x:f>F174*G174</x:f>
        <x:v>0.000048</x:v>
      </x:c>
    </x:row>
    <x:row r="175" ht="34" customHeight="1">
      <x:c r="A175" s="7" t="str">
        <x:v>BASE</x:v>
      </x:c>
      <x:c r="B175" s="7" t="str">
        <x:v>U24</x:v>
      </x:c>
      <x:c r="C175" s="7" t="str">
        <x:v>response_audio</x:v>
      </x:c>
      <x:c r="D175" s="7" t="str">
        <x:v>request</x:v>
      </x:c>
      <x:c r="E175" s="7" t="str">
        <x:v>audio_output</x:v>
      </x:c>
      <x:c r="F175" s="16" t="n">
        <x:v>6</x:v>
      </x:c>
      <x:c r="G175" s="18" t="n">
        <x:v>0.002</x:v>
      </x:c>
      <x:c r="H175" s="16" t="n">
        <x:f>F175*G175</x:f>
        <x:v>0.012</x:v>
      </x:c>
    </x:row>
    <x:row r="176" ht="34" customHeight="1">
      <x:c r="A176" s="12" t="str">
        <x:v>BASE</x:v>
      </x:c>
      <x:c r="B176" s="12" t="str">
        <x:v>U24</x:v>
      </x:c>
      <x:c r="C176" s="12" t="str">
        <x:v>intent_audio</x:v>
      </x:c>
      <x:c r="D176" s="12" t="str">
        <x:v>request</x:v>
      </x:c>
      <x:c r="E176" s="12" t="str">
        <x:v>text_input</x:v>
      </x:c>
      <x:c r="F176" s="15" t="n">
        <x:v>24</x:v>
      </x:c>
      <x:c r="G176" s="17" t="n">
        <x:v>0.000001</x:v>
      </x:c>
      <x:c r="H176" s="15" t="n">
        <x:f>F176*G176</x:f>
        <x:v>0.000024</x:v>
      </x:c>
    </x:row>
    <x:row r="177" ht="34" customHeight="1">
      <x:c r="A177" s="7" t="str">
        <x:v>BASE</x:v>
      </x:c>
      <x:c r="B177" s="7" t="str">
        <x:v>U24</x:v>
      </x:c>
      <x:c r="C177" s="7" t="str">
        <x:v>intent_audio</x:v>
      </x:c>
      <x:c r="D177" s="7" t="str">
        <x:v>request</x:v>
      </x:c>
      <x:c r="E177" s="7" t="str">
        <x:v>audio_output</x:v>
      </x:c>
      <x:c r="F177" s="16" t="n">
        <x:v>3</x:v>
      </x:c>
      <x:c r="G177" s="18" t="n">
        <x:v>0.002</x:v>
      </x:c>
      <x:c r="H177" s="16" t="n">
        <x:f>F177*G177</x:f>
        <x:v>0.006</x:v>
      </x:c>
    </x:row>
    <x:row r="178" ht="34" customHeight="1">
      <x:c r="A178" s="12" t="str">
        <x:v>BASE</x:v>
      </x:c>
      <x:c r="B178" s="12" t="str">
        <x:v>U24</x:v>
      </x:c>
      <x:c r="C178" s="12" t="str">
        <x:v>input_end</x:v>
      </x:c>
      <x:c r="D178" s="12" t="str">
        <x:v>input</x:v>
      </x:c>
      <x:c r="E178" s="12" t="str">
        <x:v>audio_input</x:v>
      </x:c>
      <x:c r="F178" s="15" t="n">
        <x:v>3</x:v>
      </x:c>
      <x:c r="G178" s="17" t="n">
        <x:v>0.001</x:v>
      </x:c>
      <x:c r="H178" s="15" t="n">
        <x:f>F178*G178</x:f>
        <x:v>0.003</x:v>
      </x:c>
    </x:row>
    <x:row r="179" ht="34" customHeight="1">
      <x:c r="A179" s="7" t="str">
        <x:v>DP2-B</x:v>
      </x:c>
      <x:c r="B179" s="7" t="str">
        <x:v>U01</x:v>
      </x:c>
      <x:c r="C179" s="7" t="str">
        <x:v>meaning</x:v>
      </x:c>
      <x:c r="D179" s="7" t="str">
        <x:v>request</x:v>
      </x:c>
      <x:c r="E179" s="7" t="str">
        <x:v>text_input</x:v>
      </x:c>
      <x:c r="F179" s="16" t="n">
        <x:v>600</x:v>
      </x:c>
      <x:c r="G179" s="18" t="n">
        <x:v>0.000001</x:v>
      </x:c>
      <x:c r="H179" s="16" t="n">
        <x:f>F179*G179</x:f>
        <x:v>0.0006</x:v>
      </x:c>
    </x:row>
    <x:row r="180" ht="34" customHeight="1">
      <x:c r="A180" s="12" t="str">
        <x:v>DP2-B</x:v>
      </x:c>
      <x:c r="B180" s="12" t="str">
        <x:v>U01</x:v>
      </x:c>
      <x:c r="C180" s="12" t="str">
        <x:v>meaning</x:v>
      </x:c>
      <x:c r="D180" s="12" t="str">
        <x:v>request</x:v>
      </x:c>
      <x:c r="E180" s="12" t="str">
        <x:v>text_output</x:v>
      </x:c>
      <x:c r="F180" s="15" t="n">
        <x:v>64</x:v>
      </x:c>
      <x:c r="G180" s="17" t="n">
        <x:v>0.000004</x:v>
      </x:c>
      <x:c r="H180" s="15" t="n">
        <x:f>F180*G180</x:f>
        <x:v>0.000256</x:v>
      </x:c>
    </x:row>
    <x:row r="181" ht="34" customHeight="1">
      <x:c r="A181" s="7" t="str">
        <x:v>DP2-B</x:v>
      </x:c>
      <x:c r="B181" s="7" t="str">
        <x:v>U01</x:v>
      </x:c>
      <x:c r="C181" s="7" t="str">
        <x:v>response_audio</x:v>
      </x:c>
      <x:c r="D181" s="7" t="str">
        <x:v>request</x:v>
      </x:c>
      <x:c r="E181" s="7" t="str">
        <x:v>text_input</x:v>
      </x:c>
      <x:c r="F181" s="16" t="n">
        <x:v>48</x:v>
      </x:c>
      <x:c r="G181" s="18" t="n">
        <x:v>0.000001</x:v>
      </x:c>
      <x:c r="H181" s="16" t="n">
        <x:f>F181*G181</x:f>
        <x:v>0.000048</x:v>
      </x:c>
    </x:row>
    <x:row r="182" ht="34" customHeight="1">
      <x:c r="A182" s="12" t="str">
        <x:v>DP2-B</x:v>
      </x:c>
      <x:c r="B182" s="12" t="str">
        <x:v>U01</x:v>
      </x:c>
      <x:c r="C182" s="12" t="str">
        <x:v>response_audio</x:v>
      </x:c>
      <x:c r="D182" s="12" t="str">
        <x:v>request</x:v>
      </x:c>
      <x:c r="E182" s="12" t="str">
        <x:v>audio_output</x:v>
      </x:c>
      <x:c r="F182" s="15" t="n">
        <x:v>6</x:v>
      </x:c>
      <x:c r="G182" s="17" t="n">
        <x:v>0.002</x:v>
      </x:c>
      <x:c r="H182" s="15" t="n">
        <x:f>F182*G182</x:f>
        <x:v>0.012</x:v>
      </x:c>
    </x:row>
    <x:row r="183" ht="34" customHeight="1">
      <x:c r="A183" s="7" t="str">
        <x:v>DP2-B</x:v>
      </x:c>
      <x:c r="B183" s="7" t="str">
        <x:v>U02</x:v>
      </x:c>
      <x:c r="C183" s="7" t="str">
        <x:v>meaning</x:v>
      </x:c>
      <x:c r="D183" s="7" t="str">
        <x:v>request</x:v>
      </x:c>
      <x:c r="E183" s="7" t="str">
        <x:v>text_input</x:v>
      </x:c>
      <x:c r="F183" s="16" t="n">
        <x:v>600</x:v>
      </x:c>
      <x:c r="G183" s="18" t="n">
        <x:v>0.000001</x:v>
      </x:c>
      <x:c r="H183" s="16" t="n">
        <x:f>F183*G183</x:f>
        <x:v>0.0006</x:v>
      </x:c>
    </x:row>
    <x:row r="184" ht="34" customHeight="1">
      <x:c r="A184" s="12" t="str">
        <x:v>DP2-B</x:v>
      </x:c>
      <x:c r="B184" s="12" t="str">
        <x:v>U02</x:v>
      </x:c>
      <x:c r="C184" s="12" t="str">
        <x:v>meaning</x:v>
      </x:c>
      <x:c r="D184" s="12" t="str">
        <x:v>request</x:v>
      </x:c>
      <x:c r="E184" s="12" t="str">
        <x:v>text_output</x:v>
      </x:c>
      <x:c r="F184" s="15" t="n">
        <x:v>64</x:v>
      </x:c>
      <x:c r="G184" s="17" t="n">
        <x:v>0.000004</x:v>
      </x:c>
      <x:c r="H184" s="15" t="n">
        <x:f>F184*G184</x:f>
        <x:v>0.000256</x:v>
      </x:c>
    </x:row>
    <x:row r="185" ht="34" customHeight="1">
      <x:c r="A185" s="7" t="str">
        <x:v>DP2-B</x:v>
      </x:c>
      <x:c r="B185" s="7" t="str">
        <x:v>U02</x:v>
      </x:c>
      <x:c r="C185" s="7" t="str">
        <x:v>response_audio</x:v>
      </x:c>
      <x:c r="D185" s="7" t="str">
        <x:v>request</x:v>
      </x:c>
      <x:c r="E185" s="7" t="str">
        <x:v>text_input</x:v>
      </x:c>
      <x:c r="F185" s="16" t="n">
        <x:v>24</x:v>
      </x:c>
      <x:c r="G185" s="18" t="n">
        <x:v>0.000001</x:v>
      </x:c>
      <x:c r="H185" s="16" t="n">
        <x:f>F185*G185</x:f>
        <x:v>0.000024</x:v>
      </x:c>
    </x:row>
    <x:row r="186" ht="34" customHeight="1">
      <x:c r="A186" s="12" t="str">
        <x:v>DP2-B</x:v>
      </x:c>
      <x:c r="B186" s="12" t="str">
        <x:v>U02</x:v>
      </x:c>
      <x:c r="C186" s="12" t="str">
        <x:v>response_audio</x:v>
      </x:c>
      <x:c r="D186" s="12" t="str">
        <x:v>request</x:v>
      </x:c>
      <x:c r="E186" s="12" t="str">
        <x:v>audio_output</x:v>
      </x:c>
      <x:c r="F186" s="15" t="n">
        <x:v>3</x:v>
      </x:c>
      <x:c r="G186" s="17" t="n">
        <x:v>0.002</x:v>
      </x:c>
      <x:c r="H186" s="15" t="n">
        <x:f>F186*G186</x:f>
        <x:v>0.006</x:v>
      </x:c>
    </x:row>
    <x:row r="187" ht="34" customHeight="1">
      <x:c r="A187" s="7" t="str">
        <x:v>DP2-B</x:v>
      </x:c>
      <x:c r="B187" s="7" t="str">
        <x:v>U02</x:v>
      </x:c>
      <x:c r="C187" s="7" t="str">
        <x:v>input_end</x:v>
      </x:c>
      <x:c r="D187" s="7" t="str">
        <x:v>input</x:v>
      </x:c>
      <x:c r="E187" s="7" t="str">
        <x:v>audio_input</x:v>
      </x:c>
      <x:c r="F187" s="16" t="n">
        <x:v>3</x:v>
      </x:c>
      <x:c r="G187" s="18" t="n">
        <x:v>0.001</x:v>
      </x:c>
      <x:c r="H187" s="16" t="n">
        <x:f>F187*G187</x:f>
        <x:v>0.003</x:v>
      </x:c>
    </x:row>
    <x:row r="188" ht="34" customHeight="1">
      <x:c r="A188" s="12" t="str">
        <x:v>DP2-B</x:v>
      </x:c>
      <x:c r="B188" s="12" t="str">
        <x:v>U03</x:v>
      </x:c>
      <x:c r="C188" s="12" t="str">
        <x:v>meaning</x:v>
      </x:c>
      <x:c r="D188" s="12" t="str">
        <x:v>request</x:v>
      </x:c>
      <x:c r="E188" s="12" t="str">
        <x:v>text_input</x:v>
      </x:c>
      <x:c r="F188" s="15" t="n">
        <x:v>780</x:v>
      </x:c>
      <x:c r="G188" s="17" t="n">
        <x:v>0.000001</x:v>
      </x:c>
      <x:c r="H188" s="15" t="n">
        <x:f>F188*G188</x:f>
        <x:v>0.00078</x:v>
      </x:c>
    </x:row>
    <x:row r="189" ht="34" customHeight="1">
      <x:c r="A189" s="7" t="str">
        <x:v>DP2-B</x:v>
      </x:c>
      <x:c r="B189" s="7" t="str">
        <x:v>U03</x:v>
      </x:c>
      <x:c r="C189" s="7" t="str">
        <x:v>meaning</x:v>
      </x:c>
      <x:c r="D189" s="7" t="str">
        <x:v>request</x:v>
      </x:c>
      <x:c r="E189" s="7" t="str">
        <x:v>text_output</x:v>
      </x:c>
      <x:c r="F189" s="16" t="n">
        <x:v>64</x:v>
      </x:c>
      <x:c r="G189" s="18" t="n">
        <x:v>0.000004</x:v>
      </x:c>
      <x:c r="H189" s="16" t="n">
        <x:f>F189*G189</x:f>
        <x:v>0.000256</x:v>
      </x:c>
    </x:row>
    <x:row r="190" ht="34" customHeight="1">
      <x:c r="A190" s="12" t="str">
        <x:v>DP2-B</x:v>
      </x:c>
      <x:c r="B190" s="12" t="str">
        <x:v>U03</x:v>
      </x:c>
      <x:c r="C190" s="12" t="str">
        <x:v>long_work</x:v>
      </x:c>
      <x:c r="D190" s="12" t="str">
        <x:v>request</x:v>
      </x:c>
      <x:c r="E190" s="12" t="str">
        <x:v>text_input</x:v>
      </x:c>
      <x:c r="F190" s="15" t="n">
        <x:v>1380</x:v>
      </x:c>
      <x:c r="G190" s="17" t="n">
        <x:v>0.000001</x:v>
      </x:c>
      <x:c r="H190" s="15" t="n">
        <x:f>F190*G190</x:f>
        <x:v>0.00138</x:v>
      </x:c>
    </x:row>
    <x:row r="191" ht="34" customHeight="1">
      <x:c r="A191" s="7" t="str">
        <x:v>DP2-B</x:v>
      </x:c>
      <x:c r="B191" s="7" t="str">
        <x:v>U03</x:v>
      </x:c>
      <x:c r="C191" s="7" t="str">
        <x:v>long_work</x:v>
      </x:c>
      <x:c r="D191" s="7" t="str">
        <x:v>request</x:v>
      </x:c>
      <x:c r="E191" s="7" t="str">
        <x:v>text_output</x:v>
      </x:c>
      <x:c r="F191" s="16" t="n">
        <x:v>96</x:v>
      </x:c>
      <x:c r="G191" s="18" t="n">
        <x:v>0.000004</x:v>
      </x:c>
      <x:c r="H191" s="16" t="n">
        <x:f>F191*G191</x:f>
        <x:v>0.000384</x:v>
      </x:c>
    </x:row>
    <x:row r="192" ht="34" customHeight="1">
      <x:c r="A192" s="12" t="str">
        <x:v>DP2-B</x:v>
      </x:c>
      <x:c r="B192" s="12" t="str">
        <x:v>U03</x:v>
      </x:c>
      <x:c r="C192" s="12" t="str">
        <x:v>response_audio</x:v>
      </x:c>
      <x:c r="D192" s="12" t="str">
        <x:v>request</x:v>
      </x:c>
      <x:c r="E192" s="12" t="str">
        <x:v>text_input</x:v>
      </x:c>
      <x:c r="F192" s="15" t="n">
        <x:v>48</x:v>
      </x:c>
      <x:c r="G192" s="17" t="n">
        <x:v>0.000001</x:v>
      </x:c>
      <x:c r="H192" s="15" t="n">
        <x:f>F192*G192</x:f>
        <x:v>0.000048</x:v>
      </x:c>
    </x:row>
    <x:row r="193" ht="34" customHeight="1">
      <x:c r="A193" s="7" t="str">
        <x:v>DP2-B</x:v>
      </x:c>
      <x:c r="B193" s="7" t="str">
        <x:v>U03</x:v>
      </x:c>
      <x:c r="C193" s="7" t="str">
        <x:v>response_audio</x:v>
      </x:c>
      <x:c r="D193" s="7" t="str">
        <x:v>request</x:v>
      </x:c>
      <x:c r="E193" s="7" t="str">
        <x:v>audio_output</x:v>
      </x:c>
      <x:c r="F193" s="16" t="n">
        <x:v>6</x:v>
      </x:c>
      <x:c r="G193" s="18" t="n">
        <x:v>0.002</x:v>
      </x:c>
      <x:c r="H193" s="16" t="n">
        <x:f>F193*G193</x:f>
        <x:v>0.012</x:v>
      </x:c>
    </x:row>
    <x:row r="194" ht="34" customHeight="1">
      <x:c r="A194" s="12" t="str">
        <x:v>DP2-B</x:v>
      </x:c>
      <x:c r="B194" s="12" t="str">
        <x:v>U03</x:v>
      </x:c>
      <x:c r="C194" s="12" t="str">
        <x:v>intent_audio</x:v>
      </x:c>
      <x:c r="D194" s="12" t="str">
        <x:v>request</x:v>
      </x:c>
      <x:c r="E194" s="12" t="str">
        <x:v>text_input</x:v>
      </x:c>
      <x:c r="F194" s="15" t="n">
        <x:v>24</x:v>
      </x:c>
      <x:c r="G194" s="17" t="n">
        <x:v>0.000001</x:v>
      </x:c>
      <x:c r="H194" s="15" t="n">
        <x:f>F194*G194</x:f>
        <x:v>0.000024</x:v>
      </x:c>
    </x:row>
    <x:row r="195" ht="34" customHeight="1">
      <x:c r="A195" s="7" t="str">
        <x:v>DP2-B</x:v>
      </x:c>
      <x:c r="B195" s="7" t="str">
        <x:v>U03</x:v>
      </x:c>
      <x:c r="C195" s="7" t="str">
        <x:v>intent_audio</x:v>
      </x:c>
      <x:c r="D195" s="7" t="str">
        <x:v>request</x:v>
      </x:c>
      <x:c r="E195" s="7" t="str">
        <x:v>audio_output</x:v>
      </x:c>
      <x:c r="F195" s="16" t="n">
        <x:v>3</x:v>
      </x:c>
      <x:c r="G195" s="18" t="n">
        <x:v>0.002</x:v>
      </x:c>
      <x:c r="H195" s="16" t="n">
        <x:f>F195*G195</x:f>
        <x:v>0.006</x:v>
      </x:c>
    </x:row>
    <x:row r="196" ht="34" customHeight="1">
      <x:c r="A196" s="12" t="str">
        <x:v>DP2-B</x:v>
      </x:c>
      <x:c r="B196" s="12" t="str">
        <x:v>U04</x:v>
      </x:c>
      <x:c r="C196" s="12" t="str">
        <x:v>meaning</x:v>
      </x:c>
      <x:c r="D196" s="12" t="str">
        <x:v>request</x:v>
      </x:c>
      <x:c r="E196" s="12" t="str">
        <x:v>text_input</x:v>
      </x:c>
      <x:c r="F196" s="15" t="n">
        <x:v>600</x:v>
      </x:c>
      <x:c r="G196" s="17" t="n">
        <x:v>0.000001</x:v>
      </x:c>
      <x:c r="H196" s="15" t="n">
        <x:f>F196*G196</x:f>
        <x:v>0.0006</x:v>
      </x:c>
    </x:row>
    <x:row r="197" ht="34" customHeight="1">
      <x:c r="A197" s="7" t="str">
        <x:v>DP2-B</x:v>
      </x:c>
      <x:c r="B197" s="7" t="str">
        <x:v>U04</x:v>
      </x:c>
      <x:c r="C197" s="7" t="str">
        <x:v>meaning</x:v>
      </x:c>
      <x:c r="D197" s="7" t="str">
        <x:v>request</x:v>
      </x:c>
      <x:c r="E197" s="7" t="str">
        <x:v>text_output</x:v>
      </x:c>
      <x:c r="F197" s="16" t="n">
        <x:v>64</x:v>
      </x:c>
      <x:c r="G197" s="18" t="n">
        <x:v>0.000004</x:v>
      </x:c>
      <x:c r="H197" s="16" t="n">
        <x:f>F197*G197</x:f>
        <x:v>0.000256</x:v>
      </x:c>
    </x:row>
    <x:row r="198" ht="34" customHeight="1">
      <x:c r="A198" s="12" t="str">
        <x:v>DP2-B</x:v>
      </x:c>
      <x:c r="B198" s="12" t="str">
        <x:v>U04</x:v>
      </x:c>
      <x:c r="C198" s="12" t="str">
        <x:v>response_audio</x:v>
      </x:c>
      <x:c r="D198" s="12" t="str">
        <x:v>request</x:v>
      </x:c>
      <x:c r="E198" s="12" t="str">
        <x:v>text_input</x:v>
      </x:c>
      <x:c r="F198" s="15" t="n">
        <x:v>48</x:v>
      </x:c>
      <x:c r="G198" s="17" t="n">
        <x:v>0.000001</x:v>
      </x:c>
      <x:c r="H198" s="15" t="n">
        <x:f>F198*G198</x:f>
        <x:v>0.000048</x:v>
      </x:c>
    </x:row>
    <x:row r="199" ht="34" customHeight="1">
      <x:c r="A199" s="7" t="str">
        <x:v>DP2-B</x:v>
      </x:c>
      <x:c r="B199" s="7" t="str">
        <x:v>U04</x:v>
      </x:c>
      <x:c r="C199" s="7" t="str">
        <x:v>response_audio</x:v>
      </x:c>
      <x:c r="D199" s="7" t="str">
        <x:v>request</x:v>
      </x:c>
      <x:c r="E199" s="7" t="str">
        <x:v>audio_output</x:v>
      </x:c>
      <x:c r="F199" s="16" t="n">
        <x:v>6</x:v>
      </x:c>
      <x:c r="G199" s="18" t="n">
        <x:v>0.002</x:v>
      </x:c>
      <x:c r="H199" s="16" t="n">
        <x:f>F199*G199</x:f>
        <x:v>0.012</x:v>
      </x:c>
    </x:row>
    <x:row r="200" ht="34" customHeight="1">
      <x:c r="A200" s="12" t="str">
        <x:v>DP2-B</x:v>
      </x:c>
      <x:c r="B200" s="12" t="str">
        <x:v>U04</x:v>
      </x:c>
      <x:c r="C200" s="12" t="str">
        <x:v>input_end</x:v>
      </x:c>
      <x:c r="D200" s="12" t="str">
        <x:v>input</x:v>
      </x:c>
      <x:c r="E200" s="12" t="str">
        <x:v>audio_input</x:v>
      </x:c>
      <x:c r="F200" s="15" t="n">
        <x:v>3</x:v>
      </x:c>
      <x:c r="G200" s="17" t="n">
        <x:v>0.001</x:v>
      </x:c>
      <x:c r="H200" s="15" t="n">
        <x:f>F200*G200</x:f>
        <x:v>0.003</x:v>
      </x:c>
    </x:row>
    <x:row r="201" ht="34" customHeight="1">
      <x:c r="A201" s="7" t="str">
        <x:v>DP2-B</x:v>
      </x:c>
      <x:c r="B201" s="7" t="str">
        <x:v>U05</x:v>
      </x:c>
      <x:c r="C201" s="7" t="str">
        <x:v>bg1</x:v>
      </x:c>
      <x:c r="D201" s="7" t="str">
        <x:v>background</x:v>
      </x:c>
      <x:c r="E201" s="7" t="str">
        <x:v>text_input</x:v>
      </x:c>
      <x:c r="F201" s="16" t="n">
        <x:v>1200</x:v>
      </x:c>
      <x:c r="G201" s="18" t="n">
        <x:v>0.000001</x:v>
      </x:c>
      <x:c r="H201" s="16" t="n">
        <x:f>F201*G201</x:f>
        <x:v>0.0012</x:v>
      </x:c>
    </x:row>
    <x:row r="202" ht="34" customHeight="1">
      <x:c r="A202" s="12" t="str">
        <x:v>DP2-B</x:v>
      </x:c>
      <x:c r="B202" s="12" t="str">
        <x:v>U05</x:v>
      </x:c>
      <x:c r="C202" s="12" t="str">
        <x:v>bg1</x:v>
      </x:c>
      <x:c r="D202" s="12" t="str">
        <x:v>background</x:v>
      </x:c>
      <x:c r="E202" s="12" t="str">
        <x:v>text_output</x:v>
      </x:c>
      <x:c r="F202" s="15" t="n">
        <x:v>240</x:v>
      </x:c>
      <x:c r="G202" s="17" t="n">
        <x:v>0.000004</x:v>
      </x:c>
      <x:c r="H202" s="15" t="n">
        <x:f>F202*G202</x:f>
        <x:v>0.0009599999999999999</x:v>
      </x:c>
    </x:row>
    <x:row r="203" ht="34" customHeight="1">
      <x:c r="A203" s="7" t="str">
        <x:v>DP2-B</x:v>
      </x:c>
      <x:c r="B203" s="7" t="str">
        <x:v>U05</x:v>
      </x:c>
      <x:c r="C203" s="7" t="str">
        <x:v>meaning</x:v>
      </x:c>
      <x:c r="D203" s="7" t="str">
        <x:v>request</x:v>
      </x:c>
      <x:c r="E203" s="7" t="str">
        <x:v>text_input</x:v>
      </x:c>
      <x:c r="F203" s="16" t="n">
        <x:v>780</x:v>
      </x:c>
      <x:c r="G203" s="18" t="n">
        <x:v>0.000001</x:v>
      </x:c>
      <x:c r="H203" s="16" t="n">
        <x:f>F203*G203</x:f>
        <x:v>0.00078</x:v>
      </x:c>
    </x:row>
    <x:row r="204" ht="34" customHeight="1">
      <x:c r="A204" s="12" t="str">
        <x:v>DP2-B</x:v>
      </x:c>
      <x:c r="B204" s="12" t="str">
        <x:v>U05</x:v>
      </x:c>
      <x:c r="C204" s="12" t="str">
        <x:v>meaning</x:v>
      </x:c>
      <x:c r="D204" s="12" t="str">
        <x:v>request</x:v>
      </x:c>
      <x:c r="E204" s="12" t="str">
        <x:v>text_output</x:v>
      </x:c>
      <x:c r="F204" s="15" t="n">
        <x:v>64</x:v>
      </x:c>
      <x:c r="G204" s="17" t="n">
        <x:v>0.000004</x:v>
      </x:c>
      <x:c r="H204" s="15" t="n">
        <x:f>F204*G204</x:f>
        <x:v>0.000256</x:v>
      </x:c>
    </x:row>
    <x:row r="205" ht="34" customHeight="1">
      <x:c r="A205" s="7" t="str">
        <x:v>DP2-B</x:v>
      </x:c>
      <x:c r="B205" s="7" t="str">
        <x:v>U05</x:v>
      </x:c>
      <x:c r="C205" s="7" t="str">
        <x:v>response_audio</x:v>
      </x:c>
      <x:c r="D205" s="7" t="str">
        <x:v>request</x:v>
      </x:c>
      <x:c r="E205" s="7" t="str">
        <x:v>text_input</x:v>
      </x:c>
      <x:c r="F205" s="16" t="n">
        <x:v>48</x:v>
      </x:c>
      <x:c r="G205" s="18" t="n">
        <x:v>0.000001</x:v>
      </x:c>
      <x:c r="H205" s="16" t="n">
        <x:f>F205*G205</x:f>
        <x:v>0.000048</x:v>
      </x:c>
    </x:row>
    <x:row r="206" ht="34" customHeight="1">
      <x:c r="A206" s="12" t="str">
        <x:v>DP2-B</x:v>
      </x:c>
      <x:c r="B206" s="12" t="str">
        <x:v>U05</x:v>
      </x:c>
      <x:c r="C206" s="12" t="str">
        <x:v>response_audio</x:v>
      </x:c>
      <x:c r="D206" s="12" t="str">
        <x:v>request</x:v>
      </x:c>
      <x:c r="E206" s="12" t="str">
        <x:v>audio_output</x:v>
      </x:c>
      <x:c r="F206" s="15" t="n">
        <x:v>6</x:v>
      </x:c>
      <x:c r="G206" s="17" t="n">
        <x:v>0.002</x:v>
      </x:c>
      <x:c r="H206" s="15" t="n">
        <x:f>F206*G206</x:f>
        <x:v>0.012</x:v>
      </x:c>
    </x:row>
    <x:row r="207" ht="34" customHeight="1">
      <x:c r="A207" s="7" t="str">
        <x:v>DP2-B</x:v>
      </x:c>
      <x:c r="B207" s="7" t="str">
        <x:v>U05</x:v>
      </x:c>
      <x:c r="C207" s="7" t="str">
        <x:v>input_end</x:v>
      </x:c>
      <x:c r="D207" s="7" t="str">
        <x:v>input</x:v>
      </x:c>
      <x:c r="E207" s="7" t="str">
        <x:v>audio_input</x:v>
      </x:c>
      <x:c r="F207" s="16" t="n">
        <x:v>3</x:v>
      </x:c>
      <x:c r="G207" s="18" t="n">
        <x:v>0.001</x:v>
      </x:c>
      <x:c r="H207" s="16" t="n">
        <x:f>F207*G207</x:f>
        <x:v>0.003</x:v>
      </x:c>
    </x:row>
    <x:row r="208" ht="34" customHeight="1">
      <x:c r="A208" s="12" t="str">
        <x:v>DP2-B</x:v>
      </x:c>
      <x:c r="B208" s="12" t="str">
        <x:v>U06</x:v>
      </x:c>
      <x:c r="C208" s="12" t="str">
        <x:v>bg1</x:v>
      </x:c>
      <x:c r="D208" s="12" t="str">
        <x:v>background</x:v>
      </x:c>
      <x:c r="E208" s="12" t="str">
        <x:v>text_input</x:v>
      </x:c>
      <x:c r="F208" s="15" t="n">
        <x:v>1200</x:v>
      </x:c>
      <x:c r="G208" s="17" t="n">
        <x:v>0.000001</x:v>
      </x:c>
      <x:c r="H208" s="15" t="n">
        <x:f>F208*G208</x:f>
        <x:v>0.0012</x:v>
      </x:c>
    </x:row>
    <x:row r="209" ht="34" customHeight="1">
      <x:c r="A209" s="7" t="str">
        <x:v>DP2-B</x:v>
      </x:c>
      <x:c r="B209" s="7" t="str">
        <x:v>U06</x:v>
      </x:c>
      <x:c r="C209" s="7" t="str">
        <x:v>bg1</x:v>
      </x:c>
      <x:c r="D209" s="7" t="str">
        <x:v>background</x:v>
      </x:c>
      <x:c r="E209" s="7" t="str">
        <x:v>text_output</x:v>
      </x:c>
      <x:c r="F209" s="16" t="n">
        <x:v>240</x:v>
      </x:c>
      <x:c r="G209" s="18" t="n">
        <x:v>0.000004</x:v>
      </x:c>
      <x:c r="H209" s="16" t="n">
        <x:f>F209*G209</x:f>
        <x:v>0.0009599999999999999</x:v>
      </x:c>
    </x:row>
    <x:row r="210" ht="34" customHeight="1">
      <x:c r="A210" s="12" t="str">
        <x:v>DP2-B</x:v>
      </x:c>
      <x:c r="B210" s="12" t="str">
        <x:v>U06</x:v>
      </x:c>
      <x:c r="C210" s="12" t="str">
        <x:v>meaning</x:v>
      </x:c>
      <x:c r="D210" s="12" t="str">
        <x:v>request</x:v>
      </x:c>
      <x:c r="E210" s="12" t="str">
        <x:v>text_input</x:v>
      </x:c>
      <x:c r="F210" s="15" t="n">
        <x:v>780</x:v>
      </x:c>
      <x:c r="G210" s="17" t="n">
        <x:v>0.000001</x:v>
      </x:c>
      <x:c r="H210" s="15" t="n">
        <x:f>F210*G210</x:f>
        <x:v>0.00078</x:v>
      </x:c>
    </x:row>
    <x:row r="211" ht="34" customHeight="1">
      <x:c r="A211" s="7" t="str">
        <x:v>DP2-B</x:v>
      </x:c>
      <x:c r="B211" s="7" t="str">
        <x:v>U06</x:v>
      </x:c>
      <x:c r="C211" s="7" t="str">
        <x:v>meaning</x:v>
      </x:c>
      <x:c r="D211" s="7" t="str">
        <x:v>request</x:v>
      </x:c>
      <x:c r="E211" s="7" t="str">
        <x:v>text_output</x:v>
      </x:c>
      <x:c r="F211" s="16" t="n">
        <x:v>64</x:v>
      </x:c>
      <x:c r="G211" s="18" t="n">
        <x:v>0.000004</x:v>
      </x:c>
      <x:c r="H211" s="16" t="n">
        <x:f>F211*G211</x:f>
        <x:v>0.000256</x:v>
      </x:c>
    </x:row>
    <x:row r="212" ht="34" customHeight="1">
      <x:c r="A212" s="12" t="str">
        <x:v>DP2-B</x:v>
      </x:c>
      <x:c r="B212" s="12" t="str">
        <x:v>U06</x:v>
      </x:c>
      <x:c r="C212" s="12" t="str">
        <x:v>long_work</x:v>
      </x:c>
      <x:c r="D212" s="12" t="str">
        <x:v>request</x:v>
      </x:c>
      <x:c r="E212" s="12" t="str">
        <x:v>text_input</x:v>
      </x:c>
      <x:c r="F212" s="15" t="n">
        <x:v>1380</x:v>
      </x:c>
      <x:c r="G212" s="17" t="n">
        <x:v>0.000001</x:v>
      </x:c>
      <x:c r="H212" s="15" t="n">
        <x:f>F212*G212</x:f>
        <x:v>0.00138</x:v>
      </x:c>
    </x:row>
    <x:row r="213" ht="34" customHeight="1">
      <x:c r="A213" s="7" t="str">
        <x:v>DP2-B</x:v>
      </x:c>
      <x:c r="B213" s="7" t="str">
        <x:v>U06</x:v>
      </x:c>
      <x:c r="C213" s="7" t="str">
        <x:v>long_work</x:v>
      </x:c>
      <x:c r="D213" s="7" t="str">
        <x:v>request</x:v>
      </x:c>
      <x:c r="E213" s="7" t="str">
        <x:v>text_output</x:v>
      </x:c>
      <x:c r="F213" s="16" t="n">
        <x:v>96</x:v>
      </x:c>
      <x:c r="G213" s="18" t="n">
        <x:v>0.000004</x:v>
      </x:c>
      <x:c r="H213" s="16" t="n">
        <x:f>F213*G213</x:f>
        <x:v>0.000384</x:v>
      </x:c>
    </x:row>
    <x:row r="214" ht="34" customHeight="1">
      <x:c r="A214" s="12" t="str">
        <x:v>DP2-B</x:v>
      </x:c>
      <x:c r="B214" s="12" t="str">
        <x:v>U06</x:v>
      </x:c>
      <x:c r="C214" s="12" t="str">
        <x:v>response_audio</x:v>
      </x:c>
      <x:c r="D214" s="12" t="str">
        <x:v>request</x:v>
      </x:c>
      <x:c r="E214" s="12" t="str">
        <x:v>text_input</x:v>
      </x:c>
      <x:c r="F214" s="15" t="n">
        <x:v>48</x:v>
      </x:c>
      <x:c r="G214" s="17" t="n">
        <x:v>0.000001</x:v>
      </x:c>
      <x:c r="H214" s="15" t="n">
        <x:f>F214*G214</x:f>
        <x:v>0.000048</x:v>
      </x:c>
    </x:row>
    <x:row r="215" ht="34" customHeight="1">
      <x:c r="A215" s="7" t="str">
        <x:v>DP2-B</x:v>
      </x:c>
      <x:c r="B215" s="7" t="str">
        <x:v>U06</x:v>
      </x:c>
      <x:c r="C215" s="7" t="str">
        <x:v>response_audio</x:v>
      </x:c>
      <x:c r="D215" s="7" t="str">
        <x:v>request</x:v>
      </x:c>
      <x:c r="E215" s="7" t="str">
        <x:v>audio_output</x:v>
      </x:c>
      <x:c r="F215" s="16" t="n">
        <x:v>6</x:v>
      </x:c>
      <x:c r="G215" s="18" t="n">
        <x:v>0.002</x:v>
      </x:c>
      <x:c r="H215" s="16" t="n">
        <x:f>F215*G215</x:f>
        <x:v>0.012</x:v>
      </x:c>
    </x:row>
    <x:row r="216" ht="34" customHeight="1">
      <x:c r="A216" s="12" t="str">
        <x:v>DP2-B</x:v>
      </x:c>
      <x:c r="B216" s="12" t="str">
        <x:v>U06</x:v>
      </x:c>
      <x:c r="C216" s="12" t="str">
        <x:v>intent_audio</x:v>
      </x:c>
      <x:c r="D216" s="12" t="str">
        <x:v>request</x:v>
      </x:c>
      <x:c r="E216" s="12" t="str">
        <x:v>text_input</x:v>
      </x:c>
      <x:c r="F216" s="15" t="n">
        <x:v>24</x:v>
      </x:c>
      <x:c r="G216" s="17" t="n">
        <x:v>0.000001</x:v>
      </x:c>
      <x:c r="H216" s="15" t="n">
        <x:f>F216*G216</x:f>
        <x:v>0.000024</x:v>
      </x:c>
    </x:row>
    <x:row r="217" ht="34" customHeight="1">
      <x:c r="A217" s="7" t="str">
        <x:v>DP2-B</x:v>
      </x:c>
      <x:c r="B217" s="7" t="str">
        <x:v>U06</x:v>
      </x:c>
      <x:c r="C217" s="7" t="str">
        <x:v>intent_audio</x:v>
      </x:c>
      <x:c r="D217" s="7" t="str">
        <x:v>request</x:v>
      </x:c>
      <x:c r="E217" s="7" t="str">
        <x:v>audio_output</x:v>
      </x:c>
      <x:c r="F217" s="16" t="n">
        <x:v>3</x:v>
      </x:c>
      <x:c r="G217" s="18" t="n">
        <x:v>0.002</x:v>
      </x:c>
      <x:c r="H217" s="16" t="n">
        <x:f>F217*G217</x:f>
        <x:v>0.006</x:v>
      </x:c>
    </x:row>
    <x:row r="218" ht="34" customHeight="1">
      <x:c r="A218" s="12" t="str">
        <x:v>DP2-B</x:v>
      </x:c>
      <x:c r="B218" s="12" t="str">
        <x:v>U07</x:v>
      </x:c>
      <x:c r="C218" s="12" t="str">
        <x:v>bg1</x:v>
      </x:c>
      <x:c r="D218" s="12" t="str">
        <x:v>background</x:v>
      </x:c>
      <x:c r="E218" s="12" t="str">
        <x:v>text_input</x:v>
      </x:c>
      <x:c r="F218" s="15" t="n">
        <x:v>1200</x:v>
      </x:c>
      <x:c r="G218" s="17" t="n">
        <x:v>0.000001</x:v>
      </x:c>
      <x:c r="H218" s="15" t="n">
        <x:f>F218*G218</x:f>
        <x:v>0.0012</x:v>
      </x:c>
    </x:row>
    <x:row r="219" ht="34" customHeight="1">
      <x:c r="A219" s="7" t="str">
        <x:v>DP2-B</x:v>
      </x:c>
      <x:c r="B219" s="7" t="str">
        <x:v>U07</x:v>
      </x:c>
      <x:c r="C219" s="7" t="str">
        <x:v>bg1</x:v>
      </x:c>
      <x:c r="D219" s="7" t="str">
        <x:v>background</x:v>
      </x:c>
      <x:c r="E219" s="7" t="str">
        <x:v>text_output</x:v>
      </x:c>
      <x:c r="F219" s="16" t="n">
        <x:v>240</x:v>
      </x:c>
      <x:c r="G219" s="18" t="n">
        <x:v>0.000004</x:v>
      </x:c>
      <x:c r="H219" s="16" t="n">
        <x:f>F219*G219</x:f>
        <x:v>0.0009599999999999999</x:v>
      </x:c>
    </x:row>
    <x:row r="220" ht="34" customHeight="1">
      <x:c r="A220" s="12" t="str">
        <x:v>DP2-B</x:v>
      </x:c>
      <x:c r="B220" s="12" t="str">
        <x:v>U07</x:v>
      </x:c>
      <x:c r="C220" s="12" t="str">
        <x:v>bg2</x:v>
      </x:c>
      <x:c r="D220" s="12" t="str">
        <x:v>background</x:v>
      </x:c>
      <x:c r="E220" s="12" t="str">
        <x:v>text_input</x:v>
      </x:c>
      <x:c r="F220" s="15" t="n">
        <x:v>1200</x:v>
      </x:c>
      <x:c r="G220" s="17" t="n">
        <x:v>0.000001</x:v>
      </x:c>
      <x:c r="H220" s="15" t="n">
        <x:f>F220*G220</x:f>
        <x:v>0.0012</x:v>
      </x:c>
    </x:row>
    <x:row r="221" ht="34" customHeight="1">
      <x:c r="A221" s="7" t="str">
        <x:v>DP2-B</x:v>
      </x:c>
      <x:c r="B221" s="7" t="str">
        <x:v>U07</x:v>
      </x:c>
      <x:c r="C221" s="7" t="str">
        <x:v>bg2</x:v>
      </x:c>
      <x:c r="D221" s="7" t="str">
        <x:v>background</x:v>
      </x:c>
      <x:c r="E221" s="7" t="str">
        <x:v>text_output</x:v>
      </x:c>
      <x:c r="F221" s="16" t="n">
        <x:v>240</x:v>
      </x:c>
      <x:c r="G221" s="18" t="n">
        <x:v>0.000004</x:v>
      </x:c>
      <x:c r="H221" s="16" t="n">
        <x:f>F221*G221</x:f>
        <x:v>0.0009599999999999999</x:v>
      </x:c>
    </x:row>
    <x:row r="222" ht="34" customHeight="1">
      <x:c r="A222" s="12" t="str">
        <x:v>DP2-B</x:v>
      </x:c>
      <x:c r="B222" s="12" t="str">
        <x:v>U07</x:v>
      </x:c>
      <x:c r="C222" s="12" t="str">
        <x:v>meaning</x:v>
      </x:c>
      <x:c r="D222" s="12" t="str">
        <x:v>request</x:v>
      </x:c>
      <x:c r="E222" s="12" t="str">
        <x:v>text_input</x:v>
      </x:c>
      <x:c r="F222" s="15" t="n">
        <x:v>780</x:v>
      </x:c>
      <x:c r="G222" s="17" t="n">
        <x:v>0.000001</x:v>
      </x:c>
      <x:c r="H222" s="15" t="n">
        <x:f>F222*G222</x:f>
        <x:v>0.00078</x:v>
      </x:c>
    </x:row>
    <x:row r="223" ht="34" customHeight="1">
      <x:c r="A223" s="7" t="str">
        <x:v>DP2-B</x:v>
      </x:c>
      <x:c r="B223" s="7" t="str">
        <x:v>U07</x:v>
      </x:c>
      <x:c r="C223" s="7" t="str">
        <x:v>meaning</x:v>
      </x:c>
      <x:c r="D223" s="7" t="str">
        <x:v>request</x:v>
      </x:c>
      <x:c r="E223" s="7" t="str">
        <x:v>text_output</x:v>
      </x:c>
      <x:c r="F223" s="16" t="n">
        <x:v>64</x:v>
      </x:c>
      <x:c r="G223" s="18" t="n">
        <x:v>0.000004</x:v>
      </x:c>
      <x:c r="H223" s="16" t="n">
        <x:f>F223*G223</x:f>
        <x:v>0.000256</x:v>
      </x:c>
    </x:row>
    <x:row r="224" ht="34" customHeight="1">
      <x:c r="A224" s="12" t="str">
        <x:v>DP2-B</x:v>
      </x:c>
      <x:c r="B224" s="12" t="str">
        <x:v>U07</x:v>
      </x:c>
      <x:c r="C224" s="12" t="str">
        <x:v>long_work</x:v>
      </x:c>
      <x:c r="D224" s="12" t="str">
        <x:v>request</x:v>
      </x:c>
      <x:c r="E224" s="12" t="str">
        <x:v>text_input</x:v>
      </x:c>
      <x:c r="F224" s="15" t="n">
        <x:v>1380</x:v>
      </x:c>
      <x:c r="G224" s="17" t="n">
        <x:v>0.000001</x:v>
      </x:c>
      <x:c r="H224" s="15" t="n">
        <x:f>F224*G224</x:f>
        <x:v>0.00138</x:v>
      </x:c>
    </x:row>
    <x:row r="225" ht="34" customHeight="1">
      <x:c r="A225" s="7" t="str">
        <x:v>DP2-B</x:v>
      </x:c>
      <x:c r="B225" s="7" t="str">
        <x:v>U07</x:v>
      </x:c>
      <x:c r="C225" s="7" t="str">
        <x:v>long_work</x:v>
      </x:c>
      <x:c r="D225" s="7" t="str">
        <x:v>request</x:v>
      </x:c>
      <x:c r="E225" s="7" t="str">
        <x:v>text_output</x:v>
      </x:c>
      <x:c r="F225" s="16" t="n">
        <x:v>96</x:v>
      </x:c>
      <x:c r="G225" s="18" t="n">
        <x:v>0.000004</x:v>
      </x:c>
      <x:c r="H225" s="16" t="n">
        <x:f>F225*G225</x:f>
        <x:v>0.000384</x:v>
      </x:c>
    </x:row>
    <x:row r="226" ht="34" customHeight="1">
      <x:c r="A226" s="12" t="str">
        <x:v>DP2-B</x:v>
      </x:c>
      <x:c r="B226" s="12" t="str">
        <x:v>U07</x:v>
      </x:c>
      <x:c r="C226" s="12" t="str">
        <x:v>response_audio</x:v>
      </x:c>
      <x:c r="D226" s="12" t="str">
        <x:v>request</x:v>
      </x:c>
      <x:c r="E226" s="12" t="str">
        <x:v>text_input</x:v>
      </x:c>
      <x:c r="F226" s="15" t="n">
        <x:v>48</x:v>
      </x:c>
      <x:c r="G226" s="17" t="n">
        <x:v>0.000001</x:v>
      </x:c>
      <x:c r="H226" s="15" t="n">
        <x:f>F226*G226</x:f>
        <x:v>0.000048</x:v>
      </x:c>
    </x:row>
    <x:row r="227" ht="34" customHeight="1">
      <x:c r="A227" s="7" t="str">
        <x:v>DP2-B</x:v>
      </x:c>
      <x:c r="B227" s="7" t="str">
        <x:v>U07</x:v>
      </x:c>
      <x:c r="C227" s="7" t="str">
        <x:v>response_audio</x:v>
      </x:c>
      <x:c r="D227" s="7" t="str">
        <x:v>request</x:v>
      </x:c>
      <x:c r="E227" s="7" t="str">
        <x:v>audio_output</x:v>
      </x:c>
      <x:c r="F227" s="16" t="n">
        <x:v>6</x:v>
      </x:c>
      <x:c r="G227" s="18" t="n">
        <x:v>0.002</x:v>
      </x:c>
      <x:c r="H227" s="16" t="n">
        <x:f>F227*G227</x:f>
        <x:v>0.012</x:v>
      </x:c>
    </x:row>
    <x:row r="228" ht="34" customHeight="1">
      <x:c r="A228" s="12" t="str">
        <x:v>DP2-B</x:v>
      </x:c>
      <x:c r="B228" s="12" t="str">
        <x:v>U07</x:v>
      </x:c>
      <x:c r="C228" s="12" t="str">
        <x:v>intent_audio</x:v>
      </x:c>
      <x:c r="D228" s="12" t="str">
        <x:v>request</x:v>
      </x:c>
      <x:c r="E228" s="12" t="str">
        <x:v>text_input</x:v>
      </x:c>
      <x:c r="F228" s="15" t="n">
        <x:v>24</x:v>
      </x:c>
      <x:c r="G228" s="17" t="n">
        <x:v>0.000001</x:v>
      </x:c>
      <x:c r="H228" s="15" t="n">
        <x:f>F228*G228</x:f>
        <x:v>0.000024</x:v>
      </x:c>
    </x:row>
    <x:row r="229" ht="34" customHeight="1">
      <x:c r="A229" s="7" t="str">
        <x:v>DP2-B</x:v>
      </x:c>
      <x:c r="B229" s="7" t="str">
        <x:v>U07</x:v>
      </x:c>
      <x:c r="C229" s="7" t="str">
        <x:v>intent_audio</x:v>
      </x:c>
      <x:c r="D229" s="7" t="str">
        <x:v>request</x:v>
      </x:c>
      <x:c r="E229" s="7" t="str">
        <x:v>audio_output</x:v>
      </x:c>
      <x:c r="F229" s="16" t="n">
        <x:v>3</x:v>
      </x:c>
      <x:c r="G229" s="18" t="n">
        <x:v>0.002</x:v>
      </x:c>
      <x:c r="H229" s="16" t="n">
        <x:f>F229*G229</x:f>
        <x:v>0.006</x:v>
      </x:c>
    </x:row>
    <x:row r="230" ht="34" customHeight="1">
      <x:c r="A230" s="12" t="str">
        <x:v>DP2-B</x:v>
      </x:c>
      <x:c r="B230" s="12" t="str">
        <x:v>U07</x:v>
      </x:c>
      <x:c r="C230" s="12" t="str">
        <x:v>input_end</x:v>
      </x:c>
      <x:c r="D230" s="12" t="str">
        <x:v>input</x:v>
      </x:c>
      <x:c r="E230" s="12" t="str">
        <x:v>audio_input</x:v>
      </x:c>
      <x:c r="F230" s="15" t="n">
        <x:v>3</x:v>
      </x:c>
      <x:c r="G230" s="17" t="n">
        <x:v>0.001</x:v>
      </x:c>
      <x:c r="H230" s="15" t="n">
        <x:f>F230*G230</x:f>
        <x:v>0.003</x:v>
      </x:c>
    </x:row>
    <x:row r="231" ht="34" customHeight="1">
      <x:c r="A231" s="7" t="str">
        <x:v>DP2-B</x:v>
      </x:c>
      <x:c r="B231" s="7" t="str">
        <x:v>U08</x:v>
      </x:c>
      <x:c r="C231" s="7" t="str">
        <x:v>bg1</x:v>
      </x:c>
      <x:c r="D231" s="7" t="str">
        <x:v>background</x:v>
      </x:c>
      <x:c r="E231" s="7" t="str">
        <x:v>text_input</x:v>
      </x:c>
      <x:c r="F231" s="16" t="n">
        <x:v>1200</x:v>
      </x:c>
      <x:c r="G231" s="18" t="n">
        <x:v>0.000001</x:v>
      </x:c>
      <x:c r="H231" s="16" t="n">
        <x:f>F231*G231</x:f>
        <x:v>0.0012</x:v>
      </x:c>
    </x:row>
    <x:row r="232" ht="34" customHeight="1">
      <x:c r="A232" s="12" t="str">
        <x:v>DP2-B</x:v>
      </x:c>
      <x:c r="B232" s="12" t="str">
        <x:v>U08</x:v>
      </x:c>
      <x:c r="C232" s="12" t="str">
        <x:v>bg1</x:v>
      </x:c>
      <x:c r="D232" s="12" t="str">
        <x:v>background</x:v>
      </x:c>
      <x:c r="E232" s="12" t="str">
        <x:v>text_output</x:v>
      </x:c>
      <x:c r="F232" s="15" t="n">
        <x:v>240</x:v>
      </x:c>
      <x:c r="G232" s="17" t="n">
        <x:v>0.000004</x:v>
      </x:c>
      <x:c r="H232" s="15" t="n">
        <x:f>F232*G232</x:f>
        <x:v>0.0009599999999999999</x:v>
      </x:c>
    </x:row>
    <x:row r="233" ht="34" customHeight="1">
      <x:c r="A233" s="7" t="str">
        <x:v>DP2-B</x:v>
      </x:c>
      <x:c r="B233" s="7" t="str">
        <x:v>U08</x:v>
      </x:c>
      <x:c r="C233" s="7" t="str">
        <x:v>meaning</x:v>
      </x:c>
      <x:c r="D233" s="7" t="str">
        <x:v>request</x:v>
      </x:c>
      <x:c r="E233" s="7" t="str">
        <x:v>text_input</x:v>
      </x:c>
      <x:c r="F233" s="16" t="n">
        <x:v>780</x:v>
      </x:c>
      <x:c r="G233" s="18" t="n">
        <x:v>0.000001</x:v>
      </x:c>
      <x:c r="H233" s="16" t="n">
        <x:f>F233*G233</x:f>
        <x:v>0.00078</x:v>
      </x:c>
    </x:row>
    <x:row r="234" ht="34" customHeight="1">
      <x:c r="A234" s="12" t="str">
        <x:v>DP2-B</x:v>
      </x:c>
      <x:c r="B234" s="12" t="str">
        <x:v>U08</x:v>
      </x:c>
      <x:c r="C234" s="12" t="str">
        <x:v>meaning</x:v>
      </x:c>
      <x:c r="D234" s="12" t="str">
        <x:v>request</x:v>
      </x:c>
      <x:c r="E234" s="12" t="str">
        <x:v>text_output</x:v>
      </x:c>
      <x:c r="F234" s="15" t="n">
        <x:v>64</x:v>
      </x:c>
      <x:c r="G234" s="17" t="n">
        <x:v>0.000004</x:v>
      </x:c>
      <x:c r="H234" s="15" t="n">
        <x:f>F234*G234</x:f>
        <x:v>0.000256</x:v>
      </x:c>
    </x:row>
    <x:row r="235" ht="34" customHeight="1">
      <x:c r="A235" s="7" t="str">
        <x:v>DP2-B</x:v>
      </x:c>
      <x:c r="B235" s="7" t="str">
        <x:v>U08</x:v>
      </x:c>
      <x:c r="C235" s="7" t="str">
        <x:v>long_work</x:v>
      </x:c>
      <x:c r="D235" s="7" t="str">
        <x:v>request</x:v>
      </x:c>
      <x:c r="E235" s="7" t="str">
        <x:v>text_input</x:v>
      </x:c>
      <x:c r="F235" s="16" t="n">
        <x:v>1380</x:v>
      </x:c>
      <x:c r="G235" s="18" t="n">
        <x:v>0.000001</x:v>
      </x:c>
      <x:c r="H235" s="16" t="n">
        <x:f>F235*G235</x:f>
        <x:v>0.00138</x:v>
      </x:c>
    </x:row>
    <x:row r="236" ht="34" customHeight="1">
      <x:c r="A236" s="12" t="str">
        <x:v>DP2-B</x:v>
      </x:c>
      <x:c r="B236" s="12" t="str">
        <x:v>U08</x:v>
      </x:c>
      <x:c r="C236" s="12" t="str">
        <x:v>long_work</x:v>
      </x:c>
      <x:c r="D236" s="12" t="str">
        <x:v>request</x:v>
      </x:c>
      <x:c r="E236" s="12" t="str">
        <x:v>text_output</x:v>
      </x:c>
      <x:c r="F236" s="15" t="n">
        <x:v>96</x:v>
      </x:c>
      <x:c r="G236" s="17" t="n">
        <x:v>0.000004</x:v>
      </x:c>
      <x:c r="H236" s="15" t="n">
        <x:f>F236*G236</x:f>
        <x:v>0.000384</x:v>
      </x:c>
    </x:row>
    <x:row r="237" ht="34" customHeight="1">
      <x:c r="A237" s="7" t="str">
        <x:v>DP2-B</x:v>
      </x:c>
      <x:c r="B237" s="7" t="str">
        <x:v>U08</x:v>
      </x:c>
      <x:c r="C237" s="7" t="str">
        <x:v>response_audio</x:v>
      </x:c>
      <x:c r="D237" s="7" t="str">
        <x:v>request</x:v>
      </x:c>
      <x:c r="E237" s="7" t="str">
        <x:v>text_input</x:v>
      </x:c>
      <x:c r="F237" s="16" t="n">
        <x:v>48</x:v>
      </x:c>
      <x:c r="G237" s="18" t="n">
        <x:v>0.000001</x:v>
      </x:c>
      <x:c r="H237" s="16" t="n">
        <x:f>F237*G237</x:f>
        <x:v>0.000048</x:v>
      </x:c>
    </x:row>
    <x:row r="238" ht="34" customHeight="1">
      <x:c r="A238" s="12" t="str">
        <x:v>DP2-B</x:v>
      </x:c>
      <x:c r="B238" s="12" t="str">
        <x:v>U08</x:v>
      </x:c>
      <x:c r="C238" s="12" t="str">
        <x:v>response_audio</x:v>
      </x:c>
      <x:c r="D238" s="12" t="str">
        <x:v>request</x:v>
      </x:c>
      <x:c r="E238" s="12" t="str">
        <x:v>audio_output</x:v>
      </x:c>
      <x:c r="F238" s="15" t="n">
        <x:v>6</x:v>
      </x:c>
      <x:c r="G238" s="17" t="n">
        <x:v>0.002</x:v>
      </x:c>
      <x:c r="H238" s="15" t="n">
        <x:f>F238*G238</x:f>
        <x:v>0.012</x:v>
      </x:c>
    </x:row>
    <x:row r="239" ht="34" customHeight="1">
      <x:c r="A239" s="7" t="str">
        <x:v>DP2-B</x:v>
      </x:c>
      <x:c r="B239" s="7" t="str">
        <x:v>U08</x:v>
      </x:c>
      <x:c r="C239" s="7" t="str">
        <x:v>intent_audio</x:v>
      </x:c>
      <x:c r="D239" s="7" t="str">
        <x:v>request</x:v>
      </x:c>
      <x:c r="E239" s="7" t="str">
        <x:v>text_input</x:v>
      </x:c>
      <x:c r="F239" s="16" t="n">
        <x:v>24</x:v>
      </x:c>
      <x:c r="G239" s="18" t="n">
        <x:v>0.000001</x:v>
      </x:c>
      <x:c r="H239" s="16" t="n">
        <x:f>F239*G239</x:f>
        <x:v>0.000024</x:v>
      </x:c>
    </x:row>
    <x:row r="240" ht="34" customHeight="1">
      <x:c r="A240" s="12" t="str">
        <x:v>DP2-B</x:v>
      </x:c>
      <x:c r="B240" s="12" t="str">
        <x:v>U08</x:v>
      </x:c>
      <x:c r="C240" s="12" t="str">
        <x:v>intent_audio</x:v>
      </x:c>
      <x:c r="D240" s="12" t="str">
        <x:v>request</x:v>
      </x:c>
      <x:c r="E240" s="12" t="str">
        <x:v>audio_output</x:v>
      </x:c>
      <x:c r="F240" s="15" t="n">
        <x:v>3</x:v>
      </x:c>
      <x:c r="G240" s="17" t="n">
        <x:v>0.002</x:v>
      </x:c>
      <x:c r="H240" s="15" t="n">
        <x:f>F240*G240</x:f>
        <x:v>0.006</x:v>
      </x:c>
    </x:row>
    <x:row r="241" ht="34" customHeight="1">
      <x:c r="A241" s="7" t="str">
        <x:v>DP2-B</x:v>
      </x:c>
      <x:c r="B241" s="7" t="str">
        <x:v>U09</x:v>
      </x:c>
      <x:c r="C241" s="7" t="str">
        <x:v>meaning</x:v>
      </x:c>
      <x:c r="D241" s="7" t="str">
        <x:v>request</x:v>
      </x:c>
      <x:c r="E241" s="7" t="str">
        <x:v>text_input</x:v>
      </x:c>
      <x:c r="F241" s="16" t="n">
        <x:v>600</x:v>
      </x:c>
      <x:c r="G241" s="18" t="n">
        <x:v>0.000001</x:v>
      </x:c>
      <x:c r="H241" s="16" t="n">
        <x:f>F241*G241</x:f>
        <x:v>0.0006</x:v>
      </x:c>
    </x:row>
    <x:row r="242" ht="34" customHeight="1">
      <x:c r="A242" s="12" t="str">
        <x:v>DP2-B</x:v>
      </x:c>
      <x:c r="B242" s="12" t="str">
        <x:v>U09</x:v>
      </x:c>
      <x:c r="C242" s="12" t="str">
        <x:v>meaning</x:v>
      </x:c>
      <x:c r="D242" s="12" t="str">
        <x:v>request</x:v>
      </x:c>
      <x:c r="E242" s="12" t="str">
        <x:v>text_output</x:v>
      </x:c>
      <x:c r="F242" s="15" t="n">
        <x:v>64</x:v>
      </x:c>
      <x:c r="G242" s="17" t="n">
        <x:v>0.000004</x:v>
      </x:c>
      <x:c r="H242" s="15" t="n">
        <x:f>F242*G242</x:f>
        <x:v>0.000256</x:v>
      </x:c>
    </x:row>
    <x:row r="243" ht="34" customHeight="1">
      <x:c r="A243" s="7" t="str">
        <x:v>DP2-B</x:v>
      </x:c>
      <x:c r="B243" s="7" t="str">
        <x:v>U09</x:v>
      </x:c>
      <x:c r="C243" s="7" t="str">
        <x:v>response_audio</x:v>
      </x:c>
      <x:c r="D243" s="7" t="str">
        <x:v>request</x:v>
      </x:c>
      <x:c r="E243" s="7" t="str">
        <x:v>text_input</x:v>
      </x:c>
      <x:c r="F243" s="16" t="n">
        <x:v>48</x:v>
      </x:c>
      <x:c r="G243" s="18" t="n">
        <x:v>0.000001</x:v>
      </x:c>
      <x:c r="H243" s="16" t="n">
        <x:f>F243*G243</x:f>
        <x:v>0.000048</x:v>
      </x:c>
    </x:row>
    <x:row r="244" ht="34" customHeight="1">
      <x:c r="A244" s="12" t="str">
        <x:v>DP2-B</x:v>
      </x:c>
      <x:c r="B244" s="12" t="str">
        <x:v>U09</x:v>
      </x:c>
      <x:c r="C244" s="12" t="str">
        <x:v>response_audio</x:v>
      </x:c>
      <x:c r="D244" s="12" t="str">
        <x:v>request</x:v>
      </x:c>
      <x:c r="E244" s="12" t="str">
        <x:v>audio_output</x:v>
      </x:c>
      <x:c r="F244" s="15" t="n">
        <x:v>6</x:v>
      </x:c>
      <x:c r="G244" s="17" t="n">
        <x:v>0.002</x:v>
      </x:c>
      <x:c r="H244" s="15" t="n">
        <x:f>F244*G244</x:f>
        <x:v>0.012</x:v>
      </x:c>
    </x:row>
    <x:row r="245" ht="34" customHeight="1">
      <x:c r="A245" s="7" t="str">
        <x:v>DP2-B</x:v>
      </x:c>
      <x:c r="B245" s="7" t="str">
        <x:v>U09</x:v>
      </x:c>
      <x:c r="C245" s="7" t="str">
        <x:v>intent_audio</x:v>
      </x:c>
      <x:c r="D245" s="7" t="str">
        <x:v>request</x:v>
      </x:c>
      <x:c r="E245" s="7" t="str">
        <x:v>text_input</x:v>
      </x:c>
      <x:c r="F245" s="16" t="n">
        <x:v>24</x:v>
      </x:c>
      <x:c r="G245" s="18" t="n">
        <x:v>0.000001</x:v>
      </x:c>
      <x:c r="H245" s="16" t="n">
        <x:f>F245*G245</x:f>
        <x:v>0.000024</x:v>
      </x:c>
    </x:row>
    <x:row r="246" ht="34" customHeight="1">
      <x:c r="A246" s="12" t="str">
        <x:v>DP2-B</x:v>
      </x:c>
      <x:c r="B246" s="12" t="str">
        <x:v>U09</x:v>
      </x:c>
      <x:c r="C246" s="12" t="str">
        <x:v>intent_audio</x:v>
      </x:c>
      <x:c r="D246" s="12" t="str">
        <x:v>request</x:v>
      </x:c>
      <x:c r="E246" s="12" t="str">
        <x:v>audio_output</x:v>
      </x:c>
      <x:c r="F246" s="15" t="n">
        <x:v>3</x:v>
      </x:c>
      <x:c r="G246" s="17" t="n">
        <x:v>0.002</x:v>
      </x:c>
      <x:c r="H246" s="15" t="n">
        <x:f>F246*G246</x:f>
        <x:v>0.006</x:v>
      </x:c>
    </x:row>
    <x:row r="247" ht="34" customHeight="1">
      <x:c r="A247" s="7" t="str">
        <x:v>DP2-B</x:v>
      </x:c>
      <x:c r="B247" s="7" t="str">
        <x:v>U09</x:v>
      </x:c>
      <x:c r="C247" s="7" t="str">
        <x:v>input_end</x:v>
      </x:c>
      <x:c r="D247" s="7" t="str">
        <x:v>input</x:v>
      </x:c>
      <x:c r="E247" s="7" t="str">
        <x:v>audio_input</x:v>
      </x:c>
      <x:c r="F247" s="16" t="n">
        <x:v>3</x:v>
      </x:c>
      <x:c r="G247" s="18" t="n">
        <x:v>0.001</x:v>
      </x:c>
      <x:c r="H247" s="16" t="n">
        <x:f>F247*G247</x:f>
        <x:v>0.003</x:v>
      </x:c>
    </x:row>
    <x:row r="248" ht="34" customHeight="1">
      <x:c r="A248" s="12" t="str">
        <x:v>DP2-B</x:v>
      </x:c>
      <x:c r="B248" s="12" t="str">
        <x:v>U10</x:v>
      </x:c>
      <x:c r="C248" s="12" t="str">
        <x:v>meaning</x:v>
      </x:c>
      <x:c r="D248" s="12" t="str">
        <x:v>request</x:v>
      </x:c>
      <x:c r="E248" s="12" t="str">
        <x:v>text_input</x:v>
      </x:c>
      <x:c r="F248" s="15" t="n">
        <x:v>2400</x:v>
      </x:c>
      <x:c r="G248" s="17" t="n">
        <x:v>0.000001</x:v>
      </x:c>
      <x:c r="H248" s="15" t="n">
        <x:f>F248*G248</x:f>
        <x:v>0.0024</x:v>
      </x:c>
    </x:row>
    <x:row r="249" ht="34" customHeight="1">
      <x:c r="A249" s="7" t="str">
        <x:v>DP2-B</x:v>
      </x:c>
      <x:c r="B249" s="7" t="str">
        <x:v>U10</x:v>
      </x:c>
      <x:c r="C249" s="7" t="str">
        <x:v>meaning</x:v>
      </x:c>
      <x:c r="D249" s="7" t="str">
        <x:v>request</x:v>
      </x:c>
      <x:c r="E249" s="7" t="str">
        <x:v>text_output</x:v>
      </x:c>
      <x:c r="F249" s="16" t="n">
        <x:v>64</x:v>
      </x:c>
      <x:c r="G249" s="18" t="n">
        <x:v>0.000004</x:v>
      </x:c>
      <x:c r="H249" s="16" t="n">
        <x:f>F249*G249</x:f>
        <x:v>0.000256</x:v>
      </x:c>
    </x:row>
    <x:row r="250" ht="34" customHeight="1">
      <x:c r="A250" s="12" t="str">
        <x:v>DP2-B</x:v>
      </x:c>
      <x:c r="B250" s="12" t="str">
        <x:v>U10</x:v>
      </x:c>
      <x:c r="C250" s="12" t="str">
        <x:v>response_audio</x:v>
      </x:c>
      <x:c r="D250" s="12" t="str">
        <x:v>request</x:v>
      </x:c>
      <x:c r="E250" s="12" t="str">
        <x:v>text_input</x:v>
      </x:c>
      <x:c r="F250" s="15" t="n">
        <x:v>48</x:v>
      </x:c>
      <x:c r="G250" s="17" t="n">
        <x:v>0.000001</x:v>
      </x:c>
      <x:c r="H250" s="15" t="n">
        <x:f>F250*G250</x:f>
        <x:v>0.000048</x:v>
      </x:c>
    </x:row>
    <x:row r="251" ht="34" customHeight="1">
      <x:c r="A251" s="7" t="str">
        <x:v>DP2-B</x:v>
      </x:c>
      <x:c r="B251" s="7" t="str">
        <x:v>U10</x:v>
      </x:c>
      <x:c r="C251" s="7" t="str">
        <x:v>response_audio</x:v>
      </x:c>
      <x:c r="D251" s="7" t="str">
        <x:v>request</x:v>
      </x:c>
      <x:c r="E251" s="7" t="str">
        <x:v>audio_output</x:v>
      </x:c>
      <x:c r="F251" s="16" t="n">
        <x:v>6</x:v>
      </x:c>
      <x:c r="G251" s="18" t="n">
        <x:v>0.002</x:v>
      </x:c>
      <x:c r="H251" s="16" t="n">
        <x:f>F251*G251</x:f>
        <x:v>0.012</x:v>
      </x:c>
    </x:row>
    <x:row r="252" ht="34" customHeight="1">
      <x:c r="A252" s="12" t="str">
        <x:v>DP2-B</x:v>
      </x:c>
      <x:c r="B252" s="12" t="str">
        <x:v>U10</x:v>
      </x:c>
      <x:c r="C252" s="12" t="str">
        <x:v>intent_audio</x:v>
      </x:c>
      <x:c r="D252" s="12" t="str">
        <x:v>request</x:v>
      </x:c>
      <x:c r="E252" s="12" t="str">
        <x:v>text_input</x:v>
      </x:c>
      <x:c r="F252" s="15" t="n">
        <x:v>24</x:v>
      </x:c>
      <x:c r="G252" s="17" t="n">
        <x:v>0.000001</x:v>
      </x:c>
      <x:c r="H252" s="15" t="n">
        <x:f>F252*G252</x:f>
        <x:v>0.000024</x:v>
      </x:c>
    </x:row>
    <x:row r="253" ht="34" customHeight="1">
      <x:c r="A253" s="7" t="str">
        <x:v>DP2-B</x:v>
      </x:c>
      <x:c r="B253" s="7" t="str">
        <x:v>U10</x:v>
      </x:c>
      <x:c r="C253" s="7" t="str">
        <x:v>intent_audio</x:v>
      </x:c>
      <x:c r="D253" s="7" t="str">
        <x:v>request</x:v>
      </x:c>
      <x:c r="E253" s="7" t="str">
        <x:v>audio_output</x:v>
      </x:c>
      <x:c r="F253" s="16" t="n">
        <x:v>3</x:v>
      </x:c>
      <x:c r="G253" s="18" t="n">
        <x:v>0.002</x:v>
      </x:c>
      <x:c r="H253" s="16" t="n">
        <x:f>F253*G253</x:f>
        <x:v>0.006</x:v>
      </x:c>
    </x:row>
    <x:row r="254" ht="34" customHeight="1">
      <x:c r="A254" s="12" t="str">
        <x:v>DP2-B</x:v>
      </x:c>
      <x:c r="B254" s="12" t="str">
        <x:v>U10</x:v>
      </x:c>
      <x:c r="C254" s="12" t="str">
        <x:v>input_end</x:v>
      </x:c>
      <x:c r="D254" s="12" t="str">
        <x:v>input</x:v>
      </x:c>
      <x:c r="E254" s="12" t="str">
        <x:v>audio_input</x:v>
      </x:c>
      <x:c r="F254" s="15" t="n">
        <x:v>3</x:v>
      </x:c>
      <x:c r="G254" s="17" t="n">
        <x:v>0.001</x:v>
      </x:c>
      <x:c r="H254" s="15" t="n">
        <x:f>F254*G254</x:f>
        <x:v>0.003</x:v>
      </x:c>
    </x:row>
    <x:row r="255" ht="34" customHeight="1">
      <x:c r="A255" s="7" t="str">
        <x:v>DP2-B</x:v>
      </x:c>
      <x:c r="B255" s="7" t="str">
        <x:v>U11</x:v>
      </x:c>
      <x:c r="C255" s="7" t="str">
        <x:v>meaning</x:v>
      </x:c>
      <x:c r="D255" s="7" t="str">
        <x:v>request</x:v>
      </x:c>
      <x:c r="E255" s="7" t="str">
        <x:v>text_input</x:v>
      </x:c>
      <x:c r="F255" s="16" t="n">
        <x:v>4200</x:v>
      </x:c>
      <x:c r="G255" s="18" t="n">
        <x:v>0.000001</x:v>
      </x:c>
      <x:c r="H255" s="16" t="n">
        <x:f>F255*G255</x:f>
        <x:v>0.0042</x:v>
      </x:c>
    </x:row>
    <x:row r="256" ht="34" customHeight="1">
      <x:c r="A256" s="12" t="str">
        <x:v>DP2-B</x:v>
      </x:c>
      <x:c r="B256" s="12" t="str">
        <x:v>U11</x:v>
      </x:c>
      <x:c r="C256" s="12" t="str">
        <x:v>meaning</x:v>
      </x:c>
      <x:c r="D256" s="12" t="str">
        <x:v>request</x:v>
      </x:c>
      <x:c r="E256" s="12" t="str">
        <x:v>text_output</x:v>
      </x:c>
      <x:c r="F256" s="15" t="n">
        <x:v>64</x:v>
      </x:c>
      <x:c r="G256" s="17" t="n">
        <x:v>0.000004</x:v>
      </x:c>
      <x:c r="H256" s="15" t="n">
        <x:f>F256*G256</x:f>
        <x:v>0.000256</x:v>
      </x:c>
    </x:row>
    <x:row r="257" ht="34" customHeight="1">
      <x:c r="A257" s="7" t="str">
        <x:v>DP2-B</x:v>
      </x:c>
      <x:c r="B257" s="7" t="str">
        <x:v>U11</x:v>
      </x:c>
      <x:c r="C257" s="7" t="str">
        <x:v>response_audio</x:v>
      </x:c>
      <x:c r="D257" s="7" t="str">
        <x:v>request</x:v>
      </x:c>
      <x:c r="E257" s="7" t="str">
        <x:v>text_input</x:v>
      </x:c>
      <x:c r="F257" s="16" t="n">
        <x:v>48</x:v>
      </x:c>
      <x:c r="G257" s="18" t="n">
        <x:v>0.000001</x:v>
      </x:c>
      <x:c r="H257" s="16" t="n">
        <x:f>F257*G257</x:f>
        <x:v>0.000048</x:v>
      </x:c>
    </x:row>
    <x:row r="258" ht="34" customHeight="1">
      <x:c r="A258" s="12" t="str">
        <x:v>DP2-B</x:v>
      </x:c>
      <x:c r="B258" s="12" t="str">
        <x:v>U11</x:v>
      </x:c>
      <x:c r="C258" s="12" t="str">
        <x:v>response_audio</x:v>
      </x:c>
      <x:c r="D258" s="12" t="str">
        <x:v>request</x:v>
      </x:c>
      <x:c r="E258" s="12" t="str">
        <x:v>audio_output</x:v>
      </x:c>
      <x:c r="F258" s="15" t="n">
        <x:v>6</x:v>
      </x:c>
      <x:c r="G258" s="17" t="n">
        <x:v>0.002</x:v>
      </x:c>
      <x:c r="H258" s="15" t="n">
        <x:f>F258*G258</x:f>
        <x:v>0.012</x:v>
      </x:c>
    </x:row>
    <x:row r="259" ht="34" customHeight="1">
      <x:c r="A259" s="7" t="str">
        <x:v>DP2-B</x:v>
      </x:c>
      <x:c r="B259" s="7" t="str">
        <x:v>U11</x:v>
      </x:c>
      <x:c r="C259" s="7" t="str">
        <x:v>intent_audio</x:v>
      </x:c>
      <x:c r="D259" s="7" t="str">
        <x:v>request</x:v>
      </x:c>
      <x:c r="E259" s="7" t="str">
        <x:v>text_input</x:v>
      </x:c>
      <x:c r="F259" s="16" t="n">
        <x:v>24</x:v>
      </x:c>
      <x:c r="G259" s="18" t="n">
        <x:v>0.000001</x:v>
      </x:c>
      <x:c r="H259" s="16" t="n">
        <x:f>F259*G259</x:f>
        <x:v>0.000024</x:v>
      </x:c>
    </x:row>
    <x:row r="260" ht="34" customHeight="1">
      <x:c r="A260" s="12" t="str">
        <x:v>DP2-B</x:v>
      </x:c>
      <x:c r="B260" s="12" t="str">
        <x:v>U11</x:v>
      </x:c>
      <x:c r="C260" s="12" t="str">
        <x:v>intent_audio</x:v>
      </x:c>
      <x:c r="D260" s="12" t="str">
        <x:v>request</x:v>
      </x:c>
      <x:c r="E260" s="12" t="str">
        <x:v>audio_output</x:v>
      </x:c>
      <x:c r="F260" s="15" t="n">
        <x:v>3</x:v>
      </x:c>
      <x:c r="G260" s="17" t="n">
        <x:v>0.002</x:v>
      </x:c>
      <x:c r="H260" s="15" t="n">
        <x:f>F260*G260</x:f>
        <x:v>0.006</x:v>
      </x:c>
    </x:row>
    <x:row r="261" ht="34" customHeight="1">
      <x:c r="A261" s="7" t="str">
        <x:v>DP2-B</x:v>
      </x:c>
      <x:c r="B261" s="7" t="str">
        <x:v>U11</x:v>
      </x:c>
      <x:c r="C261" s="7" t="str">
        <x:v>input_end</x:v>
      </x:c>
      <x:c r="D261" s="7" t="str">
        <x:v>input</x:v>
      </x:c>
      <x:c r="E261" s="7" t="str">
        <x:v>audio_input</x:v>
      </x:c>
      <x:c r="F261" s="16" t="n">
        <x:v>3</x:v>
      </x:c>
      <x:c r="G261" s="18" t="n">
        <x:v>0.001</x:v>
      </x:c>
      <x:c r="H261" s="16" t="n">
        <x:f>F261*G261</x:f>
        <x:v>0.003</x:v>
      </x:c>
    </x:row>
    <x:row r="262" ht="34" customHeight="1">
      <x:c r="A262" s="12" t="str">
        <x:v>DP2-B</x:v>
      </x:c>
      <x:c r="B262" s="12" t="str">
        <x:v>U12</x:v>
      </x:c>
      <x:c r="C262" s="12" t="str">
        <x:v>pre_raw</x:v>
      </x:c>
      <x:c r="D262" s="12" t="str">
        <x:v>preparation</x:v>
      </x:c>
      <x:c r="E262" s="12" t="str">
        <x:v>text_input</x:v>
      </x:c>
      <x:c r="F262" s="15" t="n">
        <x:v>2400</x:v>
      </x:c>
      <x:c r="G262" s="17" t="n">
        <x:v>0.000001</x:v>
      </x:c>
      <x:c r="H262" s="15" t="n">
        <x:f>F262*G262</x:f>
        <x:v>0.0024</x:v>
      </x:c>
    </x:row>
    <x:row r="263" ht="34" customHeight="1">
      <x:c r="A263" s="7" t="str">
        <x:v>DP2-B</x:v>
      </x:c>
      <x:c r="B263" s="7" t="str">
        <x:v>U12</x:v>
      </x:c>
      <x:c r="C263" s="7" t="str">
        <x:v>pre_raw</x:v>
      </x:c>
      <x:c r="D263" s="7" t="str">
        <x:v>preparation</x:v>
      </x:c>
      <x:c r="E263" s="7" t="str">
        <x:v>text_output</x:v>
      </x:c>
      <x:c r="F263" s="16" t="n">
        <x:v>64</x:v>
      </x:c>
      <x:c r="G263" s="18" t="n">
        <x:v>0.000004</x:v>
      </x:c>
      <x:c r="H263" s="16" t="n">
        <x:f>F263*G263</x:f>
        <x:v>0.000256</x:v>
      </x:c>
    </x:row>
    <x:row r="264" ht="34" customHeight="1">
      <x:c r="A264" s="12" t="str">
        <x:v>DP2-B</x:v>
      </x:c>
      <x:c r="B264" s="12" t="str">
        <x:v>U12</x:v>
      </x:c>
      <x:c r="C264" s="12" t="str">
        <x:v>meaning</x:v>
      </x:c>
      <x:c r="D264" s="12" t="str">
        <x:v>request</x:v>
      </x:c>
      <x:c r="E264" s="12" t="str">
        <x:v>text_input</x:v>
      </x:c>
      <x:c r="F264" s="15" t="n">
        <x:v>600</x:v>
      </x:c>
      <x:c r="G264" s="17" t="n">
        <x:v>0.000001</x:v>
      </x:c>
      <x:c r="H264" s="15" t="n">
        <x:f>F264*G264</x:f>
        <x:v>0.0006</x:v>
      </x:c>
    </x:row>
    <x:row r="265" ht="34" customHeight="1">
      <x:c r="A265" s="7" t="str">
        <x:v>DP2-B</x:v>
      </x:c>
      <x:c r="B265" s="7" t="str">
        <x:v>U12</x:v>
      </x:c>
      <x:c r="C265" s="7" t="str">
        <x:v>meaning</x:v>
      </x:c>
      <x:c r="D265" s="7" t="str">
        <x:v>request</x:v>
      </x:c>
      <x:c r="E265" s="7" t="str">
        <x:v>text_output</x:v>
      </x:c>
      <x:c r="F265" s="16" t="n">
        <x:v>64</x:v>
      </x:c>
      <x:c r="G265" s="18" t="n">
        <x:v>0.000004</x:v>
      </x:c>
      <x:c r="H265" s="16" t="n">
        <x:f>F265*G265</x:f>
        <x:v>0.000256</x:v>
      </x:c>
    </x:row>
    <x:row r="266" ht="34" customHeight="1">
      <x:c r="A266" s="12" t="str">
        <x:v>DP2-B</x:v>
      </x:c>
      <x:c r="B266" s="12" t="str">
        <x:v>U12</x:v>
      </x:c>
      <x:c r="C266" s="12" t="str">
        <x:v>response_audio</x:v>
      </x:c>
      <x:c r="D266" s="12" t="str">
        <x:v>request</x:v>
      </x:c>
      <x:c r="E266" s="12" t="str">
        <x:v>text_input</x:v>
      </x:c>
      <x:c r="F266" s="15" t="n">
        <x:v>48</x:v>
      </x:c>
      <x:c r="G266" s="17" t="n">
        <x:v>0.000001</x:v>
      </x:c>
      <x:c r="H266" s="15" t="n">
        <x:f>F266*G266</x:f>
        <x:v>0.000048</x:v>
      </x:c>
    </x:row>
    <x:row r="267" ht="34" customHeight="1">
      <x:c r="A267" s="7" t="str">
        <x:v>DP2-B</x:v>
      </x:c>
      <x:c r="B267" s="7" t="str">
        <x:v>U12</x:v>
      </x:c>
      <x:c r="C267" s="7" t="str">
        <x:v>response_audio</x:v>
      </x:c>
      <x:c r="D267" s="7" t="str">
        <x:v>request</x:v>
      </x:c>
      <x:c r="E267" s="7" t="str">
        <x:v>audio_output</x:v>
      </x:c>
      <x:c r="F267" s="16" t="n">
        <x:v>6</x:v>
      </x:c>
      <x:c r="G267" s="18" t="n">
        <x:v>0.002</x:v>
      </x:c>
      <x:c r="H267" s="16" t="n">
        <x:f>F267*G267</x:f>
        <x:v>0.012</x:v>
      </x:c>
    </x:row>
    <x:row r="268" ht="34" customHeight="1">
      <x:c r="A268" s="12" t="str">
        <x:v>DP2-B</x:v>
      </x:c>
      <x:c r="B268" s="12" t="str">
        <x:v>U12</x:v>
      </x:c>
      <x:c r="C268" s="12" t="str">
        <x:v>intent_audio</x:v>
      </x:c>
      <x:c r="D268" s="12" t="str">
        <x:v>request</x:v>
      </x:c>
      <x:c r="E268" s="12" t="str">
        <x:v>text_input</x:v>
      </x:c>
      <x:c r="F268" s="15" t="n">
        <x:v>24</x:v>
      </x:c>
      <x:c r="G268" s="17" t="n">
        <x:v>0.000001</x:v>
      </x:c>
      <x:c r="H268" s="15" t="n">
        <x:f>F268*G268</x:f>
        <x:v>0.000024</x:v>
      </x:c>
    </x:row>
    <x:row r="269" ht="34" customHeight="1">
      <x:c r="A269" s="7" t="str">
        <x:v>DP2-B</x:v>
      </x:c>
      <x:c r="B269" s="7" t="str">
        <x:v>U12</x:v>
      </x:c>
      <x:c r="C269" s="7" t="str">
        <x:v>intent_audio</x:v>
      </x:c>
      <x:c r="D269" s="7" t="str">
        <x:v>request</x:v>
      </x:c>
      <x:c r="E269" s="7" t="str">
        <x:v>audio_output</x:v>
      </x:c>
      <x:c r="F269" s="16" t="n">
        <x:v>3</x:v>
      </x:c>
      <x:c r="G269" s="18" t="n">
        <x:v>0.002</x:v>
      </x:c>
      <x:c r="H269" s="16" t="n">
        <x:f>F269*G269</x:f>
        <x:v>0.006</x:v>
      </x:c>
    </x:row>
    <x:row r="270" ht="34" customHeight="1">
      <x:c r="A270" s="12" t="str">
        <x:v>DP2-B</x:v>
      </x:c>
      <x:c r="B270" s="12" t="str">
        <x:v>U12</x:v>
      </x:c>
      <x:c r="C270" s="12" t="str">
        <x:v>input_end</x:v>
      </x:c>
      <x:c r="D270" s="12" t="str">
        <x:v>input</x:v>
      </x:c>
      <x:c r="E270" s="12" t="str">
        <x:v>audio_input</x:v>
      </x:c>
      <x:c r="F270" s="15" t="n">
        <x:v>3</x:v>
      </x:c>
      <x:c r="G270" s="17" t="n">
        <x:v>0.001</x:v>
      </x:c>
      <x:c r="H270" s="15" t="n">
        <x:f>F270*G270</x:f>
        <x:v>0.003</x:v>
      </x:c>
    </x:row>
    <x:row r="271" ht="34" customHeight="1">
      <x:c r="A271" s="7" t="str">
        <x:v>DP2-B</x:v>
      </x:c>
      <x:c r="B271" s="7" t="str">
        <x:v>U13</x:v>
      </x:c>
      <x:c r="C271" s="7" t="str">
        <x:v>meaning</x:v>
      </x:c>
      <x:c r="D271" s="7" t="str">
        <x:v>request</x:v>
      </x:c>
      <x:c r="E271" s="7" t="str">
        <x:v>text_input</x:v>
      </x:c>
      <x:c r="F271" s="16" t="n">
        <x:v>600</x:v>
      </x:c>
      <x:c r="G271" s="18" t="n">
        <x:v>0.000001</x:v>
      </x:c>
      <x:c r="H271" s="16" t="n">
        <x:f>F271*G271</x:f>
        <x:v>0.0006</x:v>
      </x:c>
    </x:row>
    <x:row r="272" ht="34" customHeight="1">
      <x:c r="A272" s="12" t="str">
        <x:v>DP2-B</x:v>
      </x:c>
      <x:c r="B272" s="12" t="str">
        <x:v>U13</x:v>
      </x:c>
      <x:c r="C272" s="12" t="str">
        <x:v>meaning</x:v>
      </x:c>
      <x:c r="D272" s="12" t="str">
        <x:v>request</x:v>
      </x:c>
      <x:c r="E272" s="12" t="str">
        <x:v>text_output</x:v>
      </x:c>
      <x:c r="F272" s="15" t="n">
        <x:v>64</x:v>
      </x:c>
      <x:c r="G272" s="17" t="n">
        <x:v>0.000004</x:v>
      </x:c>
      <x:c r="H272" s="15" t="n">
        <x:f>F272*G272</x:f>
        <x:v>0.000256</x:v>
      </x:c>
    </x:row>
    <x:row r="273" ht="34" customHeight="1">
      <x:c r="A273" s="7" t="str">
        <x:v>DP2-B</x:v>
      </x:c>
      <x:c r="B273" s="7" t="str">
        <x:v>U13</x:v>
      </x:c>
      <x:c r="C273" s="7" t="str">
        <x:v>response_audio</x:v>
      </x:c>
      <x:c r="D273" s="7" t="str">
        <x:v>request</x:v>
      </x:c>
      <x:c r="E273" s="7" t="str">
        <x:v>text_input</x:v>
      </x:c>
      <x:c r="F273" s="16" t="n">
        <x:v>48</x:v>
      </x:c>
      <x:c r="G273" s="18" t="n">
        <x:v>0.000001</x:v>
      </x:c>
      <x:c r="H273" s="16" t="n">
        <x:f>F273*G273</x:f>
        <x:v>0.000048</x:v>
      </x:c>
    </x:row>
    <x:row r="274" ht="34" customHeight="1">
      <x:c r="A274" s="12" t="str">
        <x:v>DP2-B</x:v>
      </x:c>
      <x:c r="B274" s="12" t="str">
        <x:v>U13</x:v>
      </x:c>
      <x:c r="C274" s="12" t="str">
        <x:v>response_audio</x:v>
      </x:c>
      <x:c r="D274" s="12" t="str">
        <x:v>request</x:v>
      </x:c>
      <x:c r="E274" s="12" t="str">
        <x:v>audio_output</x:v>
      </x:c>
      <x:c r="F274" s="15" t="n">
        <x:v>6</x:v>
      </x:c>
      <x:c r="G274" s="17" t="n">
        <x:v>0.002</x:v>
      </x:c>
      <x:c r="H274" s="15" t="n">
        <x:f>F274*G274</x:f>
        <x:v>0.012</x:v>
      </x:c>
    </x:row>
    <x:row r="275" ht="34" customHeight="1">
      <x:c r="A275" s="7" t="str">
        <x:v>DP2-B</x:v>
      </x:c>
      <x:c r="B275" s="7" t="str">
        <x:v>U13</x:v>
      </x:c>
      <x:c r="C275" s="7" t="str">
        <x:v>intent_audio</x:v>
      </x:c>
      <x:c r="D275" s="7" t="str">
        <x:v>request</x:v>
      </x:c>
      <x:c r="E275" s="7" t="str">
        <x:v>text_input</x:v>
      </x:c>
      <x:c r="F275" s="16" t="n">
        <x:v>24</x:v>
      </x:c>
      <x:c r="G275" s="18" t="n">
        <x:v>0.000001</x:v>
      </x:c>
      <x:c r="H275" s="16" t="n">
        <x:f>F275*G275</x:f>
        <x:v>0.000024</x:v>
      </x:c>
    </x:row>
    <x:row r="276" ht="34" customHeight="1">
      <x:c r="A276" s="12" t="str">
        <x:v>DP2-B</x:v>
      </x:c>
      <x:c r="B276" s="12" t="str">
        <x:v>U13</x:v>
      </x:c>
      <x:c r="C276" s="12" t="str">
        <x:v>intent_audio</x:v>
      </x:c>
      <x:c r="D276" s="12" t="str">
        <x:v>request</x:v>
      </x:c>
      <x:c r="E276" s="12" t="str">
        <x:v>audio_output</x:v>
      </x:c>
      <x:c r="F276" s="15" t="n">
        <x:v>3</x:v>
      </x:c>
      <x:c r="G276" s="17" t="n">
        <x:v>0.002</x:v>
      </x:c>
      <x:c r="H276" s="15" t="n">
        <x:f>F276*G276</x:f>
        <x:v>0.006</x:v>
      </x:c>
    </x:row>
    <x:row r="277" ht="34" customHeight="1">
      <x:c r="A277" s="7" t="str">
        <x:v>DP2-B</x:v>
      </x:c>
      <x:c r="B277" s="7" t="str">
        <x:v>U14</x:v>
      </x:c>
      <x:c r="C277" s="7" t="str">
        <x:v>meaning</x:v>
      </x:c>
      <x:c r="D277" s="7" t="str">
        <x:v>request</x:v>
      </x:c>
      <x:c r="E277" s="7" t="str">
        <x:v>text_input</x:v>
      </x:c>
      <x:c r="F277" s="16" t="n">
        <x:v>3000</x:v>
      </x:c>
      <x:c r="G277" s="18" t="n">
        <x:v>0.000001</x:v>
      </x:c>
      <x:c r="H277" s="16" t="n">
        <x:f>F277*G277</x:f>
        <x:v>0.003</x:v>
      </x:c>
    </x:row>
    <x:row r="278" ht="34" customHeight="1">
      <x:c r="A278" s="12" t="str">
        <x:v>DP2-B</x:v>
      </x:c>
      <x:c r="B278" s="12" t="str">
        <x:v>U14</x:v>
      </x:c>
      <x:c r="C278" s="12" t="str">
        <x:v>meaning</x:v>
      </x:c>
      <x:c r="D278" s="12" t="str">
        <x:v>request</x:v>
      </x:c>
      <x:c r="E278" s="12" t="str">
        <x:v>text_output</x:v>
      </x:c>
      <x:c r="F278" s="15" t="n">
        <x:v>64</x:v>
      </x:c>
      <x:c r="G278" s="17" t="n">
        <x:v>0.000004</x:v>
      </x:c>
      <x:c r="H278" s="15" t="n">
        <x:f>F278*G278</x:f>
        <x:v>0.000256</x:v>
      </x:c>
    </x:row>
    <x:row r="279" ht="34" customHeight="1">
      <x:c r="A279" s="7" t="str">
        <x:v>DP2-B</x:v>
      </x:c>
      <x:c r="B279" s="7" t="str">
        <x:v>U14</x:v>
      </x:c>
      <x:c r="C279" s="7" t="str">
        <x:v>response_audio</x:v>
      </x:c>
      <x:c r="D279" s="7" t="str">
        <x:v>request</x:v>
      </x:c>
      <x:c r="E279" s="7" t="str">
        <x:v>text_input</x:v>
      </x:c>
      <x:c r="F279" s="16" t="n">
        <x:v>48</x:v>
      </x:c>
      <x:c r="G279" s="18" t="n">
        <x:v>0.000001</x:v>
      </x:c>
      <x:c r="H279" s="16" t="n">
        <x:f>F279*G279</x:f>
        <x:v>0.000048</x:v>
      </x:c>
    </x:row>
    <x:row r="280" ht="34" customHeight="1">
      <x:c r="A280" s="12" t="str">
        <x:v>DP2-B</x:v>
      </x:c>
      <x:c r="B280" s="12" t="str">
        <x:v>U14</x:v>
      </x:c>
      <x:c r="C280" s="12" t="str">
        <x:v>response_audio</x:v>
      </x:c>
      <x:c r="D280" s="12" t="str">
        <x:v>request</x:v>
      </x:c>
      <x:c r="E280" s="12" t="str">
        <x:v>audio_output</x:v>
      </x:c>
      <x:c r="F280" s="15" t="n">
        <x:v>6</x:v>
      </x:c>
      <x:c r="G280" s="17" t="n">
        <x:v>0.002</x:v>
      </x:c>
      <x:c r="H280" s="15" t="n">
        <x:f>F280*G280</x:f>
        <x:v>0.012</x:v>
      </x:c>
    </x:row>
    <x:row r="281" ht="34" customHeight="1">
      <x:c r="A281" s="7" t="str">
        <x:v>DP2-B</x:v>
      </x:c>
      <x:c r="B281" s="7" t="str">
        <x:v>U14</x:v>
      </x:c>
      <x:c r="C281" s="7" t="str">
        <x:v>intent_audio</x:v>
      </x:c>
      <x:c r="D281" s="7" t="str">
        <x:v>request</x:v>
      </x:c>
      <x:c r="E281" s="7" t="str">
        <x:v>text_input</x:v>
      </x:c>
      <x:c r="F281" s="16" t="n">
        <x:v>24</x:v>
      </x:c>
      <x:c r="G281" s="18" t="n">
        <x:v>0.000001</x:v>
      </x:c>
      <x:c r="H281" s="16" t="n">
        <x:f>F281*G281</x:f>
        <x:v>0.000024</x:v>
      </x:c>
    </x:row>
    <x:row r="282" ht="34" customHeight="1">
      <x:c r="A282" s="12" t="str">
        <x:v>DP2-B</x:v>
      </x:c>
      <x:c r="B282" s="12" t="str">
        <x:v>U14</x:v>
      </x:c>
      <x:c r="C282" s="12" t="str">
        <x:v>intent_audio</x:v>
      </x:c>
      <x:c r="D282" s="12" t="str">
        <x:v>request</x:v>
      </x:c>
      <x:c r="E282" s="12" t="str">
        <x:v>audio_output</x:v>
      </x:c>
      <x:c r="F282" s="15" t="n">
        <x:v>3</x:v>
      </x:c>
      <x:c r="G282" s="17" t="n">
        <x:v>0.002</x:v>
      </x:c>
      <x:c r="H282" s="15" t="n">
        <x:f>F282*G282</x:f>
        <x:v>0.006</x:v>
      </x:c>
    </x:row>
    <x:row r="283" ht="34" customHeight="1">
      <x:c r="A283" s="7" t="str">
        <x:v>DP2-B</x:v>
      </x:c>
      <x:c r="B283" s="7" t="str">
        <x:v>U14</x:v>
      </x:c>
      <x:c r="C283" s="7" t="str">
        <x:v>input_end</x:v>
      </x:c>
      <x:c r="D283" s="7" t="str">
        <x:v>input</x:v>
      </x:c>
      <x:c r="E283" s="7" t="str">
        <x:v>audio_input</x:v>
      </x:c>
      <x:c r="F283" s="16" t="n">
        <x:v>3</x:v>
      </x:c>
      <x:c r="G283" s="18" t="n">
        <x:v>0.001</x:v>
      </x:c>
      <x:c r="H283" s="16" t="n">
        <x:f>F283*G283</x:f>
        <x:v>0.003</x:v>
      </x:c>
    </x:row>
    <x:row r="284" ht="34" customHeight="1">
      <x:c r="A284" s="12" t="str">
        <x:v>DP2-B</x:v>
      </x:c>
      <x:c r="B284" s="12" t="str">
        <x:v>U15</x:v>
      </x:c>
      <x:c r="C284" s="12" t="str">
        <x:v>meaning</x:v>
      </x:c>
      <x:c r="D284" s="12" t="str">
        <x:v>request</x:v>
      </x:c>
      <x:c r="E284" s="12" t="str">
        <x:v>text_input</x:v>
      </x:c>
      <x:c r="F284" s="15" t="n">
        <x:v>600</x:v>
      </x:c>
      <x:c r="G284" s="17" t="n">
        <x:v>0.000001</x:v>
      </x:c>
      <x:c r="H284" s="15" t="n">
        <x:f>F284*G284</x:f>
        <x:v>0.0006</x:v>
      </x:c>
    </x:row>
    <x:row r="285" ht="34" customHeight="1">
      <x:c r="A285" s="7" t="str">
        <x:v>DP2-B</x:v>
      </x:c>
      <x:c r="B285" s="7" t="str">
        <x:v>U15</x:v>
      </x:c>
      <x:c r="C285" s="7" t="str">
        <x:v>meaning</x:v>
      </x:c>
      <x:c r="D285" s="7" t="str">
        <x:v>request</x:v>
      </x:c>
      <x:c r="E285" s="7" t="str">
        <x:v>text_output</x:v>
      </x:c>
      <x:c r="F285" s="16" t="n">
        <x:v>64</x:v>
      </x:c>
      <x:c r="G285" s="18" t="n">
        <x:v>0.000004</x:v>
      </x:c>
      <x:c r="H285" s="16" t="n">
        <x:f>F285*G285</x:f>
        <x:v>0.000256</x:v>
      </x:c>
    </x:row>
    <x:row r="286" ht="34" customHeight="1">
      <x:c r="A286" s="12" t="str">
        <x:v>DP2-B</x:v>
      </x:c>
      <x:c r="B286" s="12" t="str">
        <x:v>U15</x:v>
      </x:c>
      <x:c r="C286" s="12" t="str">
        <x:v>response_audio</x:v>
      </x:c>
      <x:c r="D286" s="12" t="str">
        <x:v>request</x:v>
      </x:c>
      <x:c r="E286" s="12" t="str">
        <x:v>text_input</x:v>
      </x:c>
      <x:c r="F286" s="15" t="n">
        <x:v>48</x:v>
      </x:c>
      <x:c r="G286" s="17" t="n">
        <x:v>0.000001</x:v>
      </x:c>
      <x:c r="H286" s="15" t="n">
        <x:f>F286*G286</x:f>
        <x:v>0.000048</x:v>
      </x:c>
    </x:row>
    <x:row r="287" ht="34" customHeight="1">
      <x:c r="A287" s="7" t="str">
        <x:v>DP2-B</x:v>
      </x:c>
      <x:c r="B287" s="7" t="str">
        <x:v>U15</x:v>
      </x:c>
      <x:c r="C287" s="7" t="str">
        <x:v>response_audio</x:v>
      </x:c>
      <x:c r="D287" s="7" t="str">
        <x:v>request</x:v>
      </x:c>
      <x:c r="E287" s="7" t="str">
        <x:v>audio_output</x:v>
      </x:c>
      <x:c r="F287" s="16" t="n">
        <x:v>6</x:v>
      </x:c>
      <x:c r="G287" s="18" t="n">
        <x:v>0.002</x:v>
      </x:c>
      <x:c r="H287" s="16" t="n">
        <x:f>F287*G287</x:f>
        <x:v>0.012</x:v>
      </x:c>
    </x:row>
    <x:row r="288" ht="34" customHeight="1">
      <x:c r="A288" s="12" t="str">
        <x:v>DP2-B</x:v>
      </x:c>
      <x:c r="B288" s="12" t="str">
        <x:v>U15</x:v>
      </x:c>
      <x:c r="C288" s="12" t="str">
        <x:v>intent_audio</x:v>
      </x:c>
      <x:c r="D288" s="12" t="str">
        <x:v>request</x:v>
      </x:c>
      <x:c r="E288" s="12" t="str">
        <x:v>text_input</x:v>
      </x:c>
      <x:c r="F288" s="15" t="n">
        <x:v>24</x:v>
      </x:c>
      <x:c r="G288" s="17" t="n">
        <x:v>0.000001</x:v>
      </x:c>
      <x:c r="H288" s="15" t="n">
        <x:f>F288*G288</x:f>
        <x:v>0.000024</x:v>
      </x:c>
    </x:row>
    <x:row r="289" ht="34" customHeight="1">
      <x:c r="A289" s="7" t="str">
        <x:v>DP2-B</x:v>
      </x:c>
      <x:c r="B289" s="7" t="str">
        <x:v>U15</x:v>
      </x:c>
      <x:c r="C289" s="7" t="str">
        <x:v>intent_audio</x:v>
      </x:c>
      <x:c r="D289" s="7" t="str">
        <x:v>request</x:v>
      </x:c>
      <x:c r="E289" s="7" t="str">
        <x:v>audio_output</x:v>
      </x:c>
      <x:c r="F289" s="16" t="n">
        <x:v>3</x:v>
      </x:c>
      <x:c r="G289" s="18" t="n">
        <x:v>0.002</x:v>
      </x:c>
      <x:c r="H289" s="16" t="n">
        <x:f>F289*G289</x:f>
        <x:v>0.006</x:v>
      </x:c>
    </x:row>
    <x:row r="290" ht="34" customHeight="1">
      <x:c r="A290" s="12" t="str">
        <x:v>DP2-B</x:v>
      </x:c>
      <x:c r="B290" s="12" t="str">
        <x:v>U16</x:v>
      </x:c>
      <x:c r="C290" s="12" t="str">
        <x:v>meaning</x:v>
      </x:c>
      <x:c r="D290" s="12" t="str">
        <x:v>request</x:v>
      </x:c>
      <x:c r="E290" s="12" t="str">
        <x:v>text_input</x:v>
      </x:c>
      <x:c r="F290" s="15" t="n">
        <x:v>3000</x:v>
      </x:c>
      <x:c r="G290" s="17" t="n">
        <x:v>0.000001</x:v>
      </x:c>
      <x:c r="H290" s="15" t="n">
        <x:f>F290*G290</x:f>
        <x:v>0.003</x:v>
      </x:c>
    </x:row>
    <x:row r="291" ht="34" customHeight="1">
      <x:c r="A291" s="7" t="str">
        <x:v>DP2-B</x:v>
      </x:c>
      <x:c r="B291" s="7" t="str">
        <x:v>U16</x:v>
      </x:c>
      <x:c r="C291" s="7" t="str">
        <x:v>meaning</x:v>
      </x:c>
      <x:c r="D291" s="7" t="str">
        <x:v>request</x:v>
      </x:c>
      <x:c r="E291" s="7" t="str">
        <x:v>text_output</x:v>
      </x:c>
      <x:c r="F291" s="16" t="n">
        <x:v>64</x:v>
      </x:c>
      <x:c r="G291" s="18" t="n">
        <x:v>0.000004</x:v>
      </x:c>
      <x:c r="H291" s="16" t="n">
        <x:f>F291*G291</x:f>
        <x:v>0.000256</x:v>
      </x:c>
    </x:row>
    <x:row r="292" ht="34" customHeight="1">
      <x:c r="A292" s="12" t="str">
        <x:v>DP2-B</x:v>
      </x:c>
      <x:c r="B292" s="12" t="str">
        <x:v>U16</x:v>
      </x:c>
      <x:c r="C292" s="12" t="str">
        <x:v>response_audio</x:v>
      </x:c>
      <x:c r="D292" s="12" t="str">
        <x:v>request</x:v>
      </x:c>
      <x:c r="E292" s="12" t="str">
        <x:v>text_input</x:v>
      </x:c>
      <x:c r="F292" s="15" t="n">
        <x:v>48</x:v>
      </x:c>
      <x:c r="G292" s="17" t="n">
        <x:v>0.000001</x:v>
      </x:c>
      <x:c r="H292" s="15" t="n">
        <x:f>F292*G292</x:f>
        <x:v>0.000048</x:v>
      </x:c>
    </x:row>
    <x:row r="293" ht="34" customHeight="1">
      <x:c r="A293" s="7" t="str">
        <x:v>DP2-B</x:v>
      </x:c>
      <x:c r="B293" s="7" t="str">
        <x:v>U16</x:v>
      </x:c>
      <x:c r="C293" s="7" t="str">
        <x:v>response_audio</x:v>
      </x:c>
      <x:c r="D293" s="7" t="str">
        <x:v>request</x:v>
      </x:c>
      <x:c r="E293" s="7" t="str">
        <x:v>audio_output</x:v>
      </x:c>
      <x:c r="F293" s="16" t="n">
        <x:v>6</x:v>
      </x:c>
      <x:c r="G293" s="18" t="n">
        <x:v>0.002</x:v>
      </x:c>
      <x:c r="H293" s="16" t="n">
        <x:f>F293*G293</x:f>
        <x:v>0.012</x:v>
      </x:c>
    </x:row>
    <x:row r="294" ht="34" customHeight="1">
      <x:c r="A294" s="12" t="str">
        <x:v>DP2-B</x:v>
      </x:c>
      <x:c r="B294" s="12" t="str">
        <x:v>U16</x:v>
      </x:c>
      <x:c r="C294" s="12" t="str">
        <x:v>intent_audio</x:v>
      </x:c>
      <x:c r="D294" s="12" t="str">
        <x:v>request</x:v>
      </x:c>
      <x:c r="E294" s="12" t="str">
        <x:v>text_input</x:v>
      </x:c>
      <x:c r="F294" s="15" t="n">
        <x:v>24</x:v>
      </x:c>
      <x:c r="G294" s="17" t="n">
        <x:v>0.000001</x:v>
      </x:c>
      <x:c r="H294" s="15" t="n">
        <x:f>F294*G294</x:f>
        <x:v>0.000024</x:v>
      </x:c>
    </x:row>
    <x:row r="295" ht="34" customHeight="1">
      <x:c r="A295" s="7" t="str">
        <x:v>DP2-B</x:v>
      </x:c>
      <x:c r="B295" s="7" t="str">
        <x:v>U16</x:v>
      </x:c>
      <x:c r="C295" s="7" t="str">
        <x:v>intent_audio</x:v>
      </x:c>
      <x:c r="D295" s="7" t="str">
        <x:v>request</x:v>
      </x:c>
      <x:c r="E295" s="7" t="str">
        <x:v>audio_output</x:v>
      </x:c>
      <x:c r="F295" s="16" t="n">
        <x:v>3</x:v>
      </x:c>
      <x:c r="G295" s="18" t="n">
        <x:v>0.002</x:v>
      </x:c>
      <x:c r="H295" s="16" t="n">
        <x:f>F295*G295</x:f>
        <x:v>0.006</x:v>
      </x:c>
    </x:row>
    <x:row r="296" ht="34" customHeight="1">
      <x:c r="A296" s="12" t="str">
        <x:v>DP2-B</x:v>
      </x:c>
      <x:c r="B296" s="12" t="str">
        <x:v>U16</x:v>
      </x:c>
      <x:c r="C296" s="12" t="str">
        <x:v>input_end</x:v>
      </x:c>
      <x:c r="D296" s="12" t="str">
        <x:v>input</x:v>
      </x:c>
      <x:c r="E296" s="12" t="str">
        <x:v>audio_input</x:v>
      </x:c>
      <x:c r="F296" s="15" t="n">
        <x:v>3</x:v>
      </x:c>
      <x:c r="G296" s="17" t="n">
        <x:v>0.001</x:v>
      </x:c>
      <x:c r="H296" s="15" t="n">
        <x:f>F296*G296</x:f>
        <x:v>0.003</x:v>
      </x:c>
    </x:row>
    <x:row r="297" ht="34" customHeight="1">
      <x:c r="A297" s="7" t="str">
        <x:v>DP2-B</x:v>
      </x:c>
      <x:c r="B297" s="7" t="str">
        <x:v>U17</x:v>
      </x:c>
      <x:c r="C297" s="7" t="str">
        <x:v>meaning</x:v>
      </x:c>
      <x:c r="D297" s="7" t="str">
        <x:v>request</x:v>
      </x:c>
      <x:c r="E297" s="7" t="str">
        <x:v>text_input</x:v>
      </x:c>
      <x:c r="F297" s="16" t="n">
        <x:v>600</x:v>
      </x:c>
      <x:c r="G297" s="18" t="n">
        <x:v>0.000001</x:v>
      </x:c>
      <x:c r="H297" s="16" t="n">
        <x:f>F297*G297</x:f>
        <x:v>0.0006</x:v>
      </x:c>
    </x:row>
    <x:row r="298" ht="34" customHeight="1">
      <x:c r="A298" s="12" t="str">
        <x:v>DP2-B</x:v>
      </x:c>
      <x:c r="B298" s="12" t="str">
        <x:v>U17</x:v>
      </x:c>
      <x:c r="C298" s="12" t="str">
        <x:v>meaning</x:v>
      </x:c>
      <x:c r="D298" s="12" t="str">
        <x:v>request</x:v>
      </x:c>
      <x:c r="E298" s="12" t="str">
        <x:v>text_output</x:v>
      </x:c>
      <x:c r="F298" s="15" t="n">
        <x:v>64</x:v>
      </x:c>
      <x:c r="G298" s="17" t="n">
        <x:v>0.000004</x:v>
      </x:c>
      <x:c r="H298" s="15" t="n">
        <x:f>F298*G298</x:f>
        <x:v>0.000256</x:v>
      </x:c>
    </x:row>
    <x:row r="299" ht="34" customHeight="1">
      <x:c r="A299" s="7" t="str">
        <x:v>DP2-B</x:v>
      </x:c>
      <x:c r="B299" s="7" t="str">
        <x:v>U17</x:v>
      </x:c>
      <x:c r="C299" s="7" t="str">
        <x:v>question_audio</x:v>
      </x:c>
      <x:c r="D299" s="7" t="str">
        <x:v>preparation</x:v>
      </x:c>
      <x:c r="E299" s="7" t="str">
        <x:v>text_input</x:v>
      </x:c>
      <x:c r="F299" s="16" t="n">
        <x:v>64</x:v>
      </x:c>
      <x:c r="G299" s="18" t="n">
        <x:v>0.000001</x:v>
      </x:c>
      <x:c r="H299" s="16" t="n">
        <x:f>F299*G299</x:f>
        <x:v>0.000064</x:v>
      </x:c>
    </x:row>
    <x:row r="300" ht="34" customHeight="1">
      <x:c r="A300" s="12" t="str">
        <x:v>DP2-B</x:v>
      </x:c>
      <x:c r="B300" s="12" t="str">
        <x:v>U17</x:v>
      </x:c>
      <x:c r="C300" s="12" t="str">
        <x:v>question_audio</x:v>
      </x:c>
      <x:c r="D300" s="12" t="str">
        <x:v>preparation</x:v>
      </x:c>
      <x:c r="E300" s="12" t="str">
        <x:v>audio_output</x:v>
      </x:c>
      <x:c r="F300" s="15" t="n">
        <x:v>8</x:v>
      </x:c>
      <x:c r="G300" s="17" t="n">
        <x:v>0.002</x:v>
      </x:c>
      <x:c r="H300" s="15" t="n">
        <x:f>F300*G300</x:f>
        <x:v>0.016</x:v>
      </x:c>
    </x:row>
    <x:row r="301" ht="34" customHeight="1">
      <x:c r="A301" s="7" t="str">
        <x:v>DP2-B</x:v>
      </x:c>
      <x:c r="B301" s="7" t="str">
        <x:v>U17</x:v>
      </x:c>
      <x:c r="C301" s="7" t="str">
        <x:v>input_end</x:v>
      </x:c>
      <x:c r="D301" s="7" t="str">
        <x:v>input</x:v>
      </x:c>
      <x:c r="E301" s="7" t="str">
        <x:v>audio_input</x:v>
      </x:c>
      <x:c r="F301" s="16" t="n">
        <x:v>3</x:v>
      </x:c>
      <x:c r="G301" s="18" t="n">
        <x:v>0.001</x:v>
      </x:c>
      <x:c r="H301" s="16" t="n">
        <x:f>F301*G301</x:f>
        <x:v>0.003</x:v>
      </x:c>
    </x:row>
    <x:row r="302" ht="34" customHeight="1">
      <x:c r="A302" s="12" t="str">
        <x:v>DP2-B</x:v>
      </x:c>
      <x:c r="B302" s="12" t="str">
        <x:v>U18</x:v>
      </x:c>
      <x:c r="C302" s="12" t="str">
        <x:v>meaning</x:v>
      </x:c>
      <x:c r="D302" s="12" t="str">
        <x:v>request</x:v>
      </x:c>
      <x:c r="E302" s="12" t="str">
        <x:v>text_input</x:v>
      </x:c>
      <x:c r="F302" s="15" t="n">
        <x:v>600</x:v>
      </x:c>
      <x:c r="G302" s="17" t="n">
        <x:v>0.000001</x:v>
      </x:c>
      <x:c r="H302" s="15" t="n">
        <x:f>F302*G302</x:f>
        <x:v>0.0006</x:v>
      </x:c>
    </x:row>
    <x:row r="303" ht="34" customHeight="1">
      <x:c r="A303" s="7" t="str">
        <x:v>DP2-B</x:v>
      </x:c>
      <x:c r="B303" s="7" t="str">
        <x:v>U18</x:v>
      </x:c>
      <x:c r="C303" s="7" t="str">
        <x:v>meaning</x:v>
      </x:c>
      <x:c r="D303" s="7" t="str">
        <x:v>request</x:v>
      </x:c>
      <x:c r="E303" s="7" t="str">
        <x:v>text_output</x:v>
      </x:c>
      <x:c r="F303" s="16" t="n">
        <x:v>64</x:v>
      </x:c>
      <x:c r="G303" s="18" t="n">
        <x:v>0.000004</x:v>
      </x:c>
      <x:c r="H303" s="16" t="n">
        <x:f>F303*G303</x:f>
        <x:v>0.000256</x:v>
      </x:c>
    </x:row>
    <x:row r="304" ht="34" customHeight="1">
      <x:c r="A304" s="12" t="str">
        <x:v>DP2-B</x:v>
      </x:c>
      <x:c r="B304" s="12" t="str">
        <x:v>U18</x:v>
      </x:c>
      <x:c r="C304" s="12" t="str">
        <x:v>question_audio</x:v>
      </x:c>
      <x:c r="D304" s="12" t="str">
        <x:v>preparation</x:v>
      </x:c>
      <x:c r="E304" s="12" t="str">
        <x:v>text_input</x:v>
      </x:c>
      <x:c r="F304" s="15" t="n">
        <x:v>64</x:v>
      </x:c>
      <x:c r="G304" s="17" t="n">
        <x:v>0.000001</x:v>
      </x:c>
      <x:c r="H304" s="15" t="n">
        <x:f>F304*G304</x:f>
        <x:v>0.000064</x:v>
      </x:c>
    </x:row>
    <x:row r="305" ht="34" customHeight="1">
      <x:c r="A305" s="7" t="str">
        <x:v>DP2-B</x:v>
      </x:c>
      <x:c r="B305" s="7" t="str">
        <x:v>U18</x:v>
      </x:c>
      <x:c r="C305" s="7" t="str">
        <x:v>question_audio</x:v>
      </x:c>
      <x:c r="D305" s="7" t="str">
        <x:v>preparation</x:v>
      </x:c>
      <x:c r="E305" s="7" t="str">
        <x:v>audio_output</x:v>
      </x:c>
      <x:c r="F305" s="16" t="n">
        <x:v>8</x:v>
      </x:c>
      <x:c r="G305" s="18" t="n">
        <x:v>0.002</x:v>
      </x:c>
      <x:c r="H305" s="16" t="n">
        <x:f>F305*G305</x:f>
        <x:v>0.016</x:v>
      </x:c>
    </x:row>
    <x:row r="306" ht="34" customHeight="1">
      <x:c r="A306" s="12" t="str">
        <x:v>DP2-B</x:v>
      </x:c>
      <x:c r="B306" s="12" t="str">
        <x:v>U18</x:v>
      </x:c>
      <x:c r="C306" s="12" t="str">
        <x:v>obsolete_audio</x:v>
      </x:c>
      <x:c r="D306" s="12" t="str">
        <x:v>preparation</x:v>
      </x:c>
      <x:c r="E306" s="12" t="str">
        <x:v>text_input</x:v>
      </x:c>
      <x:c r="F306" s="15" t="n">
        <x:v>80</x:v>
      </x:c>
      <x:c r="G306" s="17" t="n">
        <x:v>0.000001</x:v>
      </x:c>
      <x:c r="H306" s="15" t="n">
        <x:f>F306*G306</x:f>
        <x:v>0.00007999999999999999</x:v>
      </x:c>
    </x:row>
    <x:row r="307" ht="34" customHeight="1">
      <x:c r="A307" s="7" t="str">
        <x:v>DP2-B</x:v>
      </x:c>
      <x:c r="B307" s="7" t="str">
        <x:v>U18</x:v>
      </x:c>
      <x:c r="C307" s="7" t="str">
        <x:v>obsolete_audio</x:v>
      </x:c>
      <x:c r="D307" s="7" t="str">
        <x:v>preparation</x:v>
      </x:c>
      <x:c r="E307" s="7" t="str">
        <x:v>audio_output</x:v>
      </x:c>
      <x:c r="F307" s="16" t="n">
        <x:v>10</x:v>
      </x:c>
      <x:c r="G307" s="18" t="n">
        <x:v>0.002</x:v>
      </x:c>
      <x:c r="H307" s="16" t="n">
        <x:f>F307*G307</x:f>
        <x:v>0.02</x:v>
      </x:c>
    </x:row>
    <x:row r="308" ht="34" customHeight="1">
      <x:c r="A308" s="12" t="str">
        <x:v>DP2-B</x:v>
      </x:c>
      <x:c r="B308" s="12" t="str">
        <x:v>U18</x:v>
      </x:c>
      <x:c r="C308" s="12" t="str">
        <x:v>input_end</x:v>
      </x:c>
      <x:c r="D308" s="12" t="str">
        <x:v>input</x:v>
      </x:c>
      <x:c r="E308" s="12" t="str">
        <x:v>audio_input</x:v>
      </x:c>
      <x:c r="F308" s="15" t="n">
        <x:v>3</x:v>
      </x:c>
      <x:c r="G308" s="17" t="n">
        <x:v>0.001</x:v>
      </x:c>
      <x:c r="H308" s="15" t="n">
        <x:f>F308*G308</x:f>
        <x:v>0.003</x:v>
      </x:c>
    </x:row>
    <x:row r="309" ht="34" customHeight="1">
      <x:c r="A309" s="7" t="str">
        <x:v>DP2-B</x:v>
      </x:c>
      <x:c r="B309" s="7" t="str">
        <x:v>U19</x:v>
      </x:c>
      <x:c r="C309" s="7" t="str">
        <x:v>meaning</x:v>
      </x:c>
      <x:c r="D309" s="7" t="str">
        <x:v>request</x:v>
      </x:c>
      <x:c r="E309" s="7" t="str">
        <x:v>text_input</x:v>
      </x:c>
      <x:c r="F309" s="16" t="n">
        <x:v>600</x:v>
      </x:c>
      <x:c r="G309" s="18" t="n">
        <x:v>0.000001</x:v>
      </x:c>
      <x:c r="H309" s="16" t="n">
        <x:f>F309*G309</x:f>
        <x:v>0.0006</x:v>
      </x:c>
    </x:row>
    <x:row r="310" ht="34" customHeight="1">
      <x:c r="A310" s="12" t="str">
        <x:v>DP2-B</x:v>
      </x:c>
      <x:c r="B310" s="12" t="str">
        <x:v>U19</x:v>
      </x:c>
      <x:c r="C310" s="12" t="str">
        <x:v>meaning</x:v>
      </x:c>
      <x:c r="D310" s="12" t="str">
        <x:v>request</x:v>
      </x:c>
      <x:c r="E310" s="12" t="str">
        <x:v>text_output</x:v>
      </x:c>
      <x:c r="F310" s="15" t="n">
        <x:v>64</x:v>
      </x:c>
      <x:c r="G310" s="17" t="n">
        <x:v>0.000004</x:v>
      </x:c>
      <x:c r="H310" s="15" t="n">
        <x:f>F310*G310</x:f>
        <x:v>0.000256</x:v>
      </x:c>
    </x:row>
    <x:row r="311" ht="34" customHeight="1">
      <x:c r="A311" s="7" t="str">
        <x:v>DP2-B</x:v>
      </x:c>
      <x:c r="B311" s="7" t="str">
        <x:v>U19</x:v>
      </x:c>
      <x:c r="C311" s="7" t="str">
        <x:v>question_audio</x:v>
      </x:c>
      <x:c r="D311" s="7" t="str">
        <x:v>preparation</x:v>
      </x:c>
      <x:c r="E311" s="7" t="str">
        <x:v>text_input</x:v>
      </x:c>
      <x:c r="F311" s="16" t="n">
        <x:v>48</x:v>
      </x:c>
      <x:c r="G311" s="18" t="n">
        <x:v>0.000001</x:v>
      </x:c>
      <x:c r="H311" s="16" t="n">
        <x:f>F311*G311</x:f>
        <x:v>0.000048</x:v>
      </x:c>
    </x:row>
    <x:row r="312" ht="34" customHeight="1">
      <x:c r="A312" s="12" t="str">
        <x:v>DP2-B</x:v>
      </x:c>
      <x:c r="B312" s="12" t="str">
        <x:v>U19</x:v>
      </x:c>
      <x:c r="C312" s="12" t="str">
        <x:v>question_audio</x:v>
      </x:c>
      <x:c r="D312" s="12" t="str">
        <x:v>preparation</x:v>
      </x:c>
      <x:c r="E312" s="12" t="str">
        <x:v>audio_output</x:v>
      </x:c>
      <x:c r="F312" s="15" t="n">
        <x:v>6</x:v>
      </x:c>
      <x:c r="G312" s="17" t="n">
        <x:v>0.002</x:v>
      </x:c>
      <x:c r="H312" s="15" t="n">
        <x:f>F312*G312</x:f>
        <x:v>0.012</x:v>
      </x:c>
    </x:row>
    <x:row r="313" ht="34" customHeight="1">
      <x:c r="A313" s="7" t="str">
        <x:v>DP2-B</x:v>
      </x:c>
      <x:c r="B313" s="7" t="str">
        <x:v>U19</x:v>
      </x:c>
      <x:c r="C313" s="7" t="str">
        <x:v>old_audio</x:v>
      </x:c>
      <x:c r="D313" s="7" t="str">
        <x:v>preparation</x:v>
      </x:c>
      <x:c r="E313" s="7" t="str">
        <x:v>text_input</x:v>
      </x:c>
      <x:c r="F313" s="16" t="n">
        <x:v>288</x:v>
      </x:c>
      <x:c r="G313" s="18" t="n">
        <x:v>0.000001</x:v>
      </x:c>
      <x:c r="H313" s="16" t="n">
        <x:f>F313*G313</x:f>
        <x:v>0.000288</x:v>
      </x:c>
    </x:row>
    <x:row r="314" ht="34" customHeight="1">
      <x:c r="A314" s="12" t="str">
        <x:v>DP2-B</x:v>
      </x:c>
      <x:c r="B314" s="12" t="str">
        <x:v>U19</x:v>
      </x:c>
      <x:c r="C314" s="12" t="str">
        <x:v>old_audio</x:v>
      </x:c>
      <x:c r="D314" s="12" t="str">
        <x:v>preparation</x:v>
      </x:c>
      <x:c r="E314" s="12" t="str">
        <x:v>audio_output</x:v>
      </x:c>
      <x:c r="F314" s="15" t="n">
        <x:v>36</x:v>
      </x:c>
      <x:c r="G314" s="17" t="n">
        <x:v>0.002</x:v>
      </x:c>
      <x:c r="H314" s="15" t="n">
        <x:f>F314*G314</x:f>
        <x:v>0.07200000000000001</x:v>
      </x:c>
    </x:row>
    <x:row r="315" ht="34" customHeight="1">
      <x:c r="A315" s="7" t="str">
        <x:v>DP2-B</x:v>
      </x:c>
      <x:c r="B315" s="7" t="str">
        <x:v>U19</x:v>
      </x:c>
      <x:c r="C315" s="7" t="str">
        <x:v>input_end</x:v>
      </x:c>
      <x:c r="D315" s="7" t="str">
        <x:v>input</x:v>
      </x:c>
      <x:c r="E315" s="7" t="str">
        <x:v>audio_input</x:v>
      </x:c>
      <x:c r="F315" s="16" t="n">
        <x:v>3</x:v>
      </x:c>
      <x:c r="G315" s="18" t="n">
        <x:v>0.001</x:v>
      </x:c>
      <x:c r="H315" s="16" t="n">
        <x:f>F315*G315</x:f>
        <x:v>0.003</x:v>
      </x:c>
    </x:row>
    <x:row r="316" ht="34" customHeight="1">
      <x:c r="A316" s="12" t="str">
        <x:v>DP2-B</x:v>
      </x:c>
      <x:c r="B316" s="12" t="str">
        <x:v>U20</x:v>
      </x:c>
      <x:c r="C316" s="12" t="str">
        <x:v>meaning</x:v>
      </x:c>
      <x:c r="D316" s="12" t="str">
        <x:v>request</x:v>
      </x:c>
      <x:c r="E316" s="12" t="str">
        <x:v>text_input</x:v>
      </x:c>
      <x:c r="F316" s="15" t="n">
        <x:v>600</x:v>
      </x:c>
      <x:c r="G316" s="17" t="n">
        <x:v>0.000001</x:v>
      </x:c>
      <x:c r="H316" s="15" t="n">
        <x:f>F316*G316</x:f>
        <x:v>0.0006</x:v>
      </x:c>
    </x:row>
    <x:row r="317" ht="34" customHeight="1">
      <x:c r="A317" s="7" t="str">
        <x:v>DP2-B</x:v>
      </x:c>
      <x:c r="B317" s="7" t="str">
        <x:v>U20</x:v>
      </x:c>
      <x:c r="C317" s="7" t="str">
        <x:v>meaning</x:v>
      </x:c>
      <x:c r="D317" s="7" t="str">
        <x:v>request</x:v>
      </x:c>
      <x:c r="E317" s="7" t="str">
        <x:v>text_output</x:v>
      </x:c>
      <x:c r="F317" s="16" t="n">
        <x:v>64</x:v>
      </x:c>
      <x:c r="G317" s="18" t="n">
        <x:v>0.000004</x:v>
      </x:c>
      <x:c r="H317" s="16" t="n">
        <x:f>F317*G317</x:f>
        <x:v>0.000256</x:v>
      </x:c>
    </x:row>
    <x:row r="318" ht="34" customHeight="1">
      <x:c r="A318" s="12" t="str">
        <x:v>DP2-B</x:v>
      </x:c>
      <x:c r="B318" s="12" t="str">
        <x:v>U20</x:v>
      </x:c>
      <x:c r="C318" s="12" t="str">
        <x:v>input_end</x:v>
      </x:c>
      <x:c r="D318" s="12" t="str">
        <x:v>input</x:v>
      </x:c>
      <x:c r="E318" s="12" t="str">
        <x:v>audio_input</x:v>
      </x:c>
      <x:c r="F318" s="15" t="n">
        <x:v>3</x:v>
      </x:c>
      <x:c r="G318" s="17" t="n">
        <x:v>0.001</x:v>
      </x:c>
      <x:c r="H318" s="15" t="n">
        <x:f>F318*G318</x:f>
        <x:v>0.003</x:v>
      </x:c>
    </x:row>
    <x:row r="319" ht="34" customHeight="1">
      <x:c r="A319" s="7" t="str">
        <x:v>DP2-B</x:v>
      </x:c>
      <x:c r="B319" s="7" t="str">
        <x:v>U21</x:v>
      </x:c>
      <x:c r="C319" s="7" t="str">
        <x:v>bg1</x:v>
      </x:c>
      <x:c r="D319" s="7" t="str">
        <x:v>background</x:v>
      </x:c>
      <x:c r="E319" s="7" t="str">
        <x:v>text_input</x:v>
      </x:c>
      <x:c r="F319" s="16" t="n">
        <x:v>1200</x:v>
      </x:c>
      <x:c r="G319" s="18" t="n">
        <x:v>0.000001</x:v>
      </x:c>
      <x:c r="H319" s="16" t="n">
        <x:f>F319*G319</x:f>
        <x:v>0.0012</x:v>
      </x:c>
    </x:row>
    <x:row r="320" ht="34" customHeight="1">
      <x:c r="A320" s="12" t="str">
        <x:v>DP2-B</x:v>
      </x:c>
      <x:c r="B320" s="12" t="str">
        <x:v>U21</x:v>
      </x:c>
      <x:c r="C320" s="12" t="str">
        <x:v>bg1</x:v>
      </x:c>
      <x:c r="D320" s="12" t="str">
        <x:v>background</x:v>
      </x:c>
      <x:c r="E320" s="12" t="str">
        <x:v>text_output</x:v>
      </x:c>
      <x:c r="F320" s="15" t="n">
        <x:v>240</x:v>
      </x:c>
      <x:c r="G320" s="17" t="n">
        <x:v>0.000004</x:v>
      </x:c>
      <x:c r="H320" s="15" t="n">
        <x:f>F320*G320</x:f>
        <x:v>0.0009599999999999999</x:v>
      </x:c>
    </x:row>
    <x:row r="321" ht="34" customHeight="1">
      <x:c r="A321" s="7" t="str">
        <x:v>DP2-B</x:v>
      </x:c>
      <x:c r="B321" s="7" t="str">
        <x:v>U21</x:v>
      </x:c>
      <x:c r="C321" s="7" t="str">
        <x:v>meaning</x:v>
      </x:c>
      <x:c r="D321" s="7" t="str">
        <x:v>request</x:v>
      </x:c>
      <x:c r="E321" s="7" t="str">
        <x:v>text_input</x:v>
      </x:c>
      <x:c r="F321" s="16" t="n">
        <x:v>4980</x:v>
      </x:c>
      <x:c r="G321" s="18" t="n">
        <x:v>0.000001</x:v>
      </x:c>
      <x:c r="H321" s="16" t="n">
        <x:f>F321*G321</x:f>
        <x:v>0.00498</x:v>
      </x:c>
    </x:row>
    <x:row r="322" ht="34" customHeight="1">
      <x:c r="A322" s="12" t="str">
        <x:v>DP2-B</x:v>
      </x:c>
      <x:c r="B322" s="12" t="str">
        <x:v>U21</x:v>
      </x:c>
      <x:c r="C322" s="12" t="str">
        <x:v>meaning</x:v>
      </x:c>
      <x:c r="D322" s="12" t="str">
        <x:v>request</x:v>
      </x:c>
      <x:c r="E322" s="12" t="str">
        <x:v>text_output</x:v>
      </x:c>
      <x:c r="F322" s="15" t="n">
        <x:v>64</x:v>
      </x:c>
      <x:c r="G322" s="17" t="n">
        <x:v>0.000004</x:v>
      </x:c>
      <x:c r="H322" s="15" t="n">
        <x:f>F322*G322</x:f>
        <x:v>0.000256</x:v>
      </x:c>
    </x:row>
    <x:row r="323" ht="34" customHeight="1">
      <x:c r="A323" s="7" t="str">
        <x:v>DP2-B</x:v>
      </x:c>
      <x:c r="B323" s="7" t="str">
        <x:v>U21</x:v>
      </x:c>
      <x:c r="C323" s="7" t="str">
        <x:v>response_audio</x:v>
      </x:c>
      <x:c r="D323" s="7" t="str">
        <x:v>request</x:v>
      </x:c>
      <x:c r="E323" s="7" t="str">
        <x:v>text_input</x:v>
      </x:c>
      <x:c r="F323" s="16" t="n">
        <x:v>48</x:v>
      </x:c>
      <x:c r="G323" s="18" t="n">
        <x:v>0.000001</x:v>
      </x:c>
      <x:c r="H323" s="16" t="n">
        <x:f>F323*G323</x:f>
        <x:v>0.000048</x:v>
      </x:c>
    </x:row>
    <x:row r="324" ht="34" customHeight="1">
      <x:c r="A324" s="12" t="str">
        <x:v>DP2-B</x:v>
      </x:c>
      <x:c r="B324" s="12" t="str">
        <x:v>U21</x:v>
      </x:c>
      <x:c r="C324" s="12" t="str">
        <x:v>response_audio</x:v>
      </x:c>
      <x:c r="D324" s="12" t="str">
        <x:v>request</x:v>
      </x:c>
      <x:c r="E324" s="12" t="str">
        <x:v>audio_output</x:v>
      </x:c>
      <x:c r="F324" s="15" t="n">
        <x:v>6</x:v>
      </x:c>
      <x:c r="G324" s="17" t="n">
        <x:v>0.002</x:v>
      </x:c>
      <x:c r="H324" s="15" t="n">
        <x:f>F324*G324</x:f>
        <x:v>0.012</x:v>
      </x:c>
    </x:row>
    <x:row r="325" ht="34" customHeight="1">
      <x:c r="A325" s="7" t="str">
        <x:v>DP2-B</x:v>
      </x:c>
      <x:c r="B325" s="7" t="str">
        <x:v>U21</x:v>
      </x:c>
      <x:c r="C325" s="7" t="str">
        <x:v>intent_audio</x:v>
      </x:c>
      <x:c r="D325" s="7" t="str">
        <x:v>request</x:v>
      </x:c>
      <x:c r="E325" s="7" t="str">
        <x:v>text_input</x:v>
      </x:c>
      <x:c r="F325" s="16" t="n">
        <x:v>24</x:v>
      </x:c>
      <x:c r="G325" s="18" t="n">
        <x:v>0.000001</x:v>
      </x:c>
      <x:c r="H325" s="16" t="n">
        <x:f>F325*G325</x:f>
        <x:v>0.000024</x:v>
      </x:c>
    </x:row>
    <x:row r="326" ht="34" customHeight="1">
      <x:c r="A326" s="12" t="str">
        <x:v>DP2-B</x:v>
      </x:c>
      <x:c r="B326" s="12" t="str">
        <x:v>U21</x:v>
      </x:c>
      <x:c r="C326" s="12" t="str">
        <x:v>intent_audio</x:v>
      </x:c>
      <x:c r="D326" s="12" t="str">
        <x:v>request</x:v>
      </x:c>
      <x:c r="E326" s="12" t="str">
        <x:v>audio_output</x:v>
      </x:c>
      <x:c r="F326" s="15" t="n">
        <x:v>3</x:v>
      </x:c>
      <x:c r="G326" s="17" t="n">
        <x:v>0.002</x:v>
      </x:c>
      <x:c r="H326" s="15" t="n">
        <x:f>F326*G326</x:f>
        <x:v>0.006</x:v>
      </x:c>
    </x:row>
    <x:row r="327" ht="34" customHeight="1">
      <x:c r="A327" s="7" t="str">
        <x:v>DP2-B</x:v>
      </x:c>
      <x:c r="B327" s="7" t="str">
        <x:v>U21</x:v>
      </x:c>
      <x:c r="C327" s="7" t="str">
        <x:v>input_end</x:v>
      </x:c>
      <x:c r="D327" s="7" t="str">
        <x:v>input</x:v>
      </x:c>
      <x:c r="E327" s="7" t="str">
        <x:v>audio_input</x:v>
      </x:c>
      <x:c r="F327" s="16" t="n">
        <x:v>3</x:v>
      </x:c>
      <x:c r="G327" s="18" t="n">
        <x:v>0.001</x:v>
      </x:c>
      <x:c r="H327" s="16" t="n">
        <x:f>F327*G327</x:f>
        <x:v>0.003</x:v>
      </x:c>
    </x:row>
    <x:row r="328" ht="34" customHeight="1">
      <x:c r="A328" s="12" t="str">
        <x:v>DP2-B</x:v>
      </x:c>
      <x:c r="B328" s="12" t="str">
        <x:v>U22</x:v>
      </x:c>
      <x:c r="C328" s="12" t="str">
        <x:v>pre_raw</x:v>
      </x:c>
      <x:c r="D328" s="12" t="str">
        <x:v>preparation</x:v>
      </x:c>
      <x:c r="E328" s="12" t="str">
        <x:v>text_input</x:v>
      </x:c>
      <x:c r="F328" s="15" t="n">
        <x:v>2400</x:v>
      </x:c>
      <x:c r="G328" s="17" t="n">
        <x:v>0.000001</x:v>
      </x:c>
      <x:c r="H328" s="15" t="n">
        <x:f>F328*G328</x:f>
        <x:v>0.0024</x:v>
      </x:c>
    </x:row>
    <x:row r="329" ht="34" customHeight="1">
      <x:c r="A329" s="7" t="str">
        <x:v>DP2-B</x:v>
      </x:c>
      <x:c r="B329" s="7" t="str">
        <x:v>U22</x:v>
      </x:c>
      <x:c r="C329" s="7" t="str">
        <x:v>pre_raw</x:v>
      </x:c>
      <x:c r="D329" s="7" t="str">
        <x:v>preparation</x:v>
      </x:c>
      <x:c r="E329" s="7" t="str">
        <x:v>text_output</x:v>
      </x:c>
      <x:c r="F329" s="16" t="n">
        <x:v>64</x:v>
      </x:c>
      <x:c r="G329" s="18" t="n">
        <x:v>0.000004</x:v>
      </x:c>
      <x:c r="H329" s="16" t="n">
        <x:f>F329*G329</x:f>
        <x:v>0.000256</x:v>
      </x:c>
    </x:row>
    <x:row r="330" ht="34" customHeight="1">
      <x:c r="A330" s="12" t="str">
        <x:v>DP2-B</x:v>
      </x:c>
      <x:c r="B330" s="12" t="str">
        <x:v>U22</x:v>
      </x:c>
      <x:c r="C330" s="12" t="str">
        <x:v>meaning</x:v>
      </x:c>
      <x:c r="D330" s="12" t="str">
        <x:v>request</x:v>
      </x:c>
      <x:c r="E330" s="12" t="str">
        <x:v>text_input</x:v>
      </x:c>
      <x:c r="F330" s="15" t="n">
        <x:v>2400</x:v>
      </x:c>
      <x:c r="G330" s="17" t="n">
        <x:v>0.000001</x:v>
      </x:c>
      <x:c r="H330" s="15" t="n">
        <x:f>F330*G330</x:f>
        <x:v>0.0024</x:v>
      </x:c>
    </x:row>
    <x:row r="331" ht="34" customHeight="1">
      <x:c r="A331" s="7" t="str">
        <x:v>DP2-B</x:v>
      </x:c>
      <x:c r="B331" s="7" t="str">
        <x:v>U22</x:v>
      </x:c>
      <x:c r="C331" s="7" t="str">
        <x:v>meaning</x:v>
      </x:c>
      <x:c r="D331" s="7" t="str">
        <x:v>request</x:v>
      </x:c>
      <x:c r="E331" s="7" t="str">
        <x:v>text_output</x:v>
      </x:c>
      <x:c r="F331" s="16" t="n">
        <x:v>64</x:v>
      </x:c>
      <x:c r="G331" s="18" t="n">
        <x:v>0.000004</x:v>
      </x:c>
      <x:c r="H331" s="16" t="n">
        <x:f>F331*G331</x:f>
        <x:v>0.000256</x:v>
      </x:c>
    </x:row>
    <x:row r="332" ht="34" customHeight="1">
      <x:c r="A332" s="12" t="str">
        <x:v>DP2-B</x:v>
      </x:c>
      <x:c r="B332" s="12" t="str">
        <x:v>U22</x:v>
      </x:c>
      <x:c r="C332" s="12" t="str">
        <x:v>question_audio</x:v>
      </x:c>
      <x:c r="D332" s="12" t="str">
        <x:v>preparation</x:v>
      </x:c>
      <x:c r="E332" s="12" t="str">
        <x:v>text_input</x:v>
      </x:c>
      <x:c r="F332" s="15" t="n">
        <x:v>48</x:v>
      </x:c>
      <x:c r="G332" s="17" t="n">
        <x:v>0.000001</x:v>
      </x:c>
      <x:c r="H332" s="15" t="n">
        <x:f>F332*G332</x:f>
        <x:v>0.000048</x:v>
      </x:c>
    </x:row>
    <x:row r="333" ht="34" customHeight="1">
      <x:c r="A333" s="7" t="str">
        <x:v>DP2-B</x:v>
      </x:c>
      <x:c r="B333" s="7" t="str">
        <x:v>U22</x:v>
      </x:c>
      <x:c r="C333" s="7" t="str">
        <x:v>question_audio</x:v>
      </x:c>
      <x:c r="D333" s="7" t="str">
        <x:v>preparation</x:v>
      </x:c>
      <x:c r="E333" s="7" t="str">
        <x:v>audio_output</x:v>
      </x:c>
      <x:c r="F333" s="16" t="n">
        <x:v>6</x:v>
      </x:c>
      <x:c r="G333" s="18" t="n">
        <x:v>0.002</x:v>
      </x:c>
      <x:c r="H333" s="16" t="n">
        <x:f>F333*G333</x:f>
        <x:v>0.012</x:v>
      </x:c>
    </x:row>
    <x:row r="334" ht="34" customHeight="1">
      <x:c r="A334" s="12" t="str">
        <x:v>DP2-B</x:v>
      </x:c>
      <x:c r="B334" s="12" t="str">
        <x:v>U22</x:v>
      </x:c>
      <x:c r="C334" s="12" t="str">
        <x:v>final_result_audio</x:v>
      </x:c>
      <x:c r="D334" s="12" t="str">
        <x:v>request</x:v>
      </x:c>
      <x:c r="E334" s="12" t="str">
        <x:v>text_input</x:v>
      </x:c>
      <x:c r="F334" s="15" t="n">
        <x:v>48</x:v>
      </x:c>
      <x:c r="G334" s="17" t="n">
        <x:v>0.000001</x:v>
      </x:c>
      <x:c r="H334" s="15" t="n">
        <x:f>F334*G334</x:f>
        <x:v>0.000048</x:v>
      </x:c>
    </x:row>
    <x:row r="335" ht="34" customHeight="1">
      <x:c r="A335" s="7" t="str">
        <x:v>DP2-B</x:v>
      </x:c>
      <x:c r="B335" s="7" t="str">
        <x:v>U22</x:v>
      </x:c>
      <x:c r="C335" s="7" t="str">
        <x:v>final_result_audio</x:v>
      </x:c>
      <x:c r="D335" s="7" t="str">
        <x:v>request</x:v>
      </x:c>
      <x:c r="E335" s="7" t="str">
        <x:v>audio_output</x:v>
      </x:c>
      <x:c r="F335" s="16" t="n">
        <x:v>6</x:v>
      </x:c>
      <x:c r="G335" s="18" t="n">
        <x:v>0.002</x:v>
      </x:c>
      <x:c r="H335" s="16" t="n">
        <x:f>F335*G335</x:f>
        <x:v>0.012</x:v>
      </x:c>
    </x:row>
    <x:row r="336" ht="34" customHeight="1">
      <x:c r="A336" s="12" t="str">
        <x:v>DP2-B</x:v>
      </x:c>
      <x:c r="B336" s="12" t="str">
        <x:v>U22</x:v>
      </x:c>
      <x:c r="C336" s="12" t="str">
        <x:v>input_end</x:v>
      </x:c>
      <x:c r="D336" s="12" t="str">
        <x:v>input</x:v>
      </x:c>
      <x:c r="E336" s="12" t="str">
        <x:v>audio_input</x:v>
      </x:c>
      <x:c r="F336" s="15" t="n">
        <x:v>3</x:v>
      </x:c>
      <x:c r="G336" s="17" t="n">
        <x:v>0.001</x:v>
      </x:c>
      <x:c r="H336" s="15" t="n">
        <x:f>F336*G336</x:f>
        <x:v>0.003</x:v>
      </x:c>
    </x:row>
    <x:row r="337" ht="34" customHeight="1">
      <x:c r="A337" s="7" t="str">
        <x:v>DP2-B</x:v>
      </x:c>
      <x:c r="B337" s="7" t="str">
        <x:v>U23</x:v>
      </x:c>
      <x:c r="C337" s="7" t="str">
        <x:v>meaning</x:v>
      </x:c>
      <x:c r="D337" s="7" t="str">
        <x:v>request</x:v>
      </x:c>
      <x:c r="E337" s="7" t="str">
        <x:v>text_input</x:v>
      </x:c>
      <x:c r="F337" s="16" t="n">
        <x:v>3000</x:v>
      </x:c>
      <x:c r="G337" s="18" t="n">
        <x:v>0.000001</x:v>
      </x:c>
      <x:c r="H337" s="16" t="n">
        <x:f>F337*G337</x:f>
        <x:v>0.003</x:v>
      </x:c>
    </x:row>
    <x:row r="338" ht="34" customHeight="1">
      <x:c r="A338" s="12" t="str">
        <x:v>DP2-B</x:v>
      </x:c>
      <x:c r="B338" s="12" t="str">
        <x:v>U23</x:v>
      </x:c>
      <x:c r="C338" s="12" t="str">
        <x:v>meaning</x:v>
      </x:c>
      <x:c r="D338" s="12" t="str">
        <x:v>request</x:v>
      </x:c>
      <x:c r="E338" s="12" t="str">
        <x:v>text_output</x:v>
      </x:c>
      <x:c r="F338" s="15" t="n">
        <x:v>64</x:v>
      </x:c>
      <x:c r="G338" s="17" t="n">
        <x:v>0.000004</x:v>
      </x:c>
      <x:c r="H338" s="15" t="n">
        <x:f>F338*G338</x:f>
        <x:v>0.000256</x:v>
      </x:c>
    </x:row>
    <x:row r="339" ht="34" customHeight="1">
      <x:c r="A339" s="7" t="str">
        <x:v>DP2-B</x:v>
      </x:c>
      <x:c r="B339" s="7" t="str">
        <x:v>U23</x:v>
      </x:c>
      <x:c r="C339" s="7" t="str">
        <x:v>question_audio</x:v>
      </x:c>
      <x:c r="D339" s="7" t="str">
        <x:v>preparation</x:v>
      </x:c>
      <x:c r="E339" s="7" t="str">
        <x:v>text_input</x:v>
      </x:c>
      <x:c r="F339" s="16" t="n">
        <x:v>48</x:v>
      </x:c>
      <x:c r="G339" s="18" t="n">
        <x:v>0.000001</x:v>
      </x:c>
      <x:c r="H339" s="16" t="n">
        <x:f>F339*G339</x:f>
        <x:v>0.000048</x:v>
      </x:c>
    </x:row>
    <x:row r="340" ht="34" customHeight="1">
      <x:c r="A340" s="12" t="str">
        <x:v>DP2-B</x:v>
      </x:c>
      <x:c r="B340" s="12" t="str">
        <x:v>U23</x:v>
      </x:c>
      <x:c r="C340" s="12" t="str">
        <x:v>question_audio</x:v>
      </x:c>
      <x:c r="D340" s="12" t="str">
        <x:v>preparation</x:v>
      </x:c>
      <x:c r="E340" s="12" t="str">
        <x:v>audio_output</x:v>
      </x:c>
      <x:c r="F340" s="15" t="n">
        <x:v>6</x:v>
      </x:c>
      <x:c r="G340" s="17" t="n">
        <x:v>0.002</x:v>
      </x:c>
      <x:c r="H340" s="15" t="n">
        <x:f>F340*G340</x:f>
        <x:v>0.012</x:v>
      </x:c>
    </x:row>
    <x:row r="341" ht="34" customHeight="1">
      <x:c r="A341" s="7" t="str">
        <x:v>DP2-B</x:v>
      </x:c>
      <x:c r="B341" s="7" t="str">
        <x:v>U23</x:v>
      </x:c>
      <x:c r="C341" s="7" t="str">
        <x:v>final_result_audio</x:v>
      </x:c>
      <x:c r="D341" s="7" t="str">
        <x:v>request</x:v>
      </x:c>
      <x:c r="E341" s="7" t="str">
        <x:v>text_input</x:v>
      </x:c>
      <x:c r="F341" s="16" t="n">
        <x:v>48</x:v>
      </x:c>
      <x:c r="G341" s="18" t="n">
        <x:v>0.000001</x:v>
      </x:c>
      <x:c r="H341" s="16" t="n">
        <x:f>F341*G341</x:f>
        <x:v>0.000048</x:v>
      </x:c>
    </x:row>
    <x:row r="342" ht="34" customHeight="1">
      <x:c r="A342" s="12" t="str">
        <x:v>DP2-B</x:v>
      </x:c>
      <x:c r="B342" s="12" t="str">
        <x:v>U23</x:v>
      </x:c>
      <x:c r="C342" s="12" t="str">
        <x:v>final_result_audio</x:v>
      </x:c>
      <x:c r="D342" s="12" t="str">
        <x:v>request</x:v>
      </x:c>
      <x:c r="E342" s="12" t="str">
        <x:v>audio_output</x:v>
      </x:c>
      <x:c r="F342" s="15" t="n">
        <x:v>6</x:v>
      </x:c>
      <x:c r="G342" s="17" t="n">
        <x:v>0.002</x:v>
      </x:c>
      <x:c r="H342" s="15" t="n">
        <x:f>F342*G342</x:f>
        <x:v>0.012</x:v>
      </x:c>
    </x:row>
    <x:row r="343" ht="34" customHeight="1">
      <x:c r="A343" s="7" t="str">
        <x:v>DP2-B</x:v>
      </x:c>
      <x:c r="B343" s="7" t="str">
        <x:v>U24</x:v>
      </x:c>
      <x:c r="C343" s="7" t="str">
        <x:v>bg1</x:v>
      </x:c>
      <x:c r="D343" s="7" t="str">
        <x:v>background</x:v>
      </x:c>
      <x:c r="E343" s="7" t="str">
        <x:v>text_input</x:v>
      </x:c>
      <x:c r="F343" s="16" t="n">
        <x:v>1200</x:v>
      </x:c>
      <x:c r="G343" s="18" t="n">
        <x:v>0.000001</x:v>
      </x:c>
      <x:c r="H343" s="16" t="n">
        <x:f>F343*G343</x:f>
        <x:v>0.0012</x:v>
      </x:c>
    </x:row>
    <x:row r="344" ht="34" customHeight="1">
      <x:c r="A344" s="12" t="str">
        <x:v>DP2-B</x:v>
      </x:c>
      <x:c r="B344" s="12" t="str">
        <x:v>U24</x:v>
      </x:c>
      <x:c r="C344" s="12" t="str">
        <x:v>bg1</x:v>
      </x:c>
      <x:c r="D344" s="12" t="str">
        <x:v>background</x:v>
      </x:c>
      <x:c r="E344" s="12" t="str">
        <x:v>text_output</x:v>
      </x:c>
      <x:c r="F344" s="15" t="n">
        <x:v>240</x:v>
      </x:c>
      <x:c r="G344" s="17" t="n">
        <x:v>0.000004</x:v>
      </x:c>
      <x:c r="H344" s="15" t="n">
        <x:f>F344*G344</x:f>
        <x:v>0.0009599999999999999</x:v>
      </x:c>
    </x:row>
    <x:row r="345" ht="34" customHeight="1">
      <x:c r="A345" s="7" t="str">
        <x:v>DP2-B</x:v>
      </x:c>
      <x:c r="B345" s="7" t="str">
        <x:v>U24</x:v>
      </x:c>
      <x:c r="C345" s="7" t="str">
        <x:v>meaning</x:v>
      </x:c>
      <x:c r="D345" s="7" t="str">
        <x:v>request</x:v>
      </x:c>
      <x:c r="E345" s="7" t="str">
        <x:v>text_input</x:v>
      </x:c>
      <x:c r="F345" s="16" t="n">
        <x:v>6780</x:v>
      </x:c>
      <x:c r="G345" s="18" t="n">
        <x:v>0.000001</x:v>
      </x:c>
      <x:c r="H345" s="16" t="n">
        <x:f>F345*G345</x:f>
        <x:v>0.00678</x:v>
      </x:c>
    </x:row>
    <x:row r="346" ht="34" customHeight="1">
      <x:c r="A346" s="12" t="str">
        <x:v>DP2-B</x:v>
      </x:c>
      <x:c r="B346" s="12" t="str">
        <x:v>U24</x:v>
      </x:c>
      <x:c r="C346" s="12" t="str">
        <x:v>meaning</x:v>
      </x:c>
      <x:c r="D346" s="12" t="str">
        <x:v>request</x:v>
      </x:c>
      <x:c r="E346" s="12" t="str">
        <x:v>text_output</x:v>
      </x:c>
      <x:c r="F346" s="15" t="n">
        <x:v>64</x:v>
      </x:c>
      <x:c r="G346" s="17" t="n">
        <x:v>0.000004</x:v>
      </x:c>
      <x:c r="H346" s="15" t="n">
        <x:f>F346*G346</x:f>
        <x:v>0.000256</x:v>
      </x:c>
    </x:row>
    <x:row r="347" ht="34" customHeight="1">
      <x:c r="A347" s="7" t="str">
        <x:v>DP2-B</x:v>
      </x:c>
      <x:c r="B347" s="7" t="str">
        <x:v>U24</x:v>
      </x:c>
      <x:c r="C347" s="7" t="str">
        <x:v>response_audio</x:v>
      </x:c>
      <x:c r="D347" s="7" t="str">
        <x:v>request</x:v>
      </x:c>
      <x:c r="E347" s="7" t="str">
        <x:v>text_input</x:v>
      </x:c>
      <x:c r="F347" s="16" t="n">
        <x:v>48</x:v>
      </x:c>
      <x:c r="G347" s="18" t="n">
        <x:v>0.000001</x:v>
      </x:c>
      <x:c r="H347" s="16" t="n">
        <x:f>F347*G347</x:f>
        <x:v>0.000048</x:v>
      </x:c>
    </x:row>
    <x:row r="348" ht="34" customHeight="1">
      <x:c r="A348" s="12" t="str">
        <x:v>DP2-B</x:v>
      </x:c>
      <x:c r="B348" s="12" t="str">
        <x:v>U24</x:v>
      </x:c>
      <x:c r="C348" s="12" t="str">
        <x:v>response_audio</x:v>
      </x:c>
      <x:c r="D348" s="12" t="str">
        <x:v>request</x:v>
      </x:c>
      <x:c r="E348" s="12" t="str">
        <x:v>audio_output</x:v>
      </x:c>
      <x:c r="F348" s="15" t="n">
        <x:v>6</x:v>
      </x:c>
      <x:c r="G348" s="17" t="n">
        <x:v>0.002</x:v>
      </x:c>
      <x:c r="H348" s="15" t="n">
        <x:f>F348*G348</x:f>
        <x:v>0.012</x:v>
      </x:c>
    </x:row>
    <x:row r="349" ht="34" customHeight="1">
      <x:c r="A349" s="7" t="str">
        <x:v>DP2-B</x:v>
      </x:c>
      <x:c r="B349" s="7" t="str">
        <x:v>U24</x:v>
      </x:c>
      <x:c r="C349" s="7" t="str">
        <x:v>intent_audio</x:v>
      </x:c>
      <x:c r="D349" s="7" t="str">
        <x:v>request</x:v>
      </x:c>
      <x:c r="E349" s="7" t="str">
        <x:v>text_input</x:v>
      </x:c>
      <x:c r="F349" s="16" t="n">
        <x:v>24</x:v>
      </x:c>
      <x:c r="G349" s="18" t="n">
        <x:v>0.000001</x:v>
      </x:c>
      <x:c r="H349" s="16" t="n">
        <x:f>F349*G349</x:f>
        <x:v>0.000024</x:v>
      </x:c>
    </x:row>
    <x:row r="350" ht="34" customHeight="1">
      <x:c r="A350" s="12" t="str">
        <x:v>DP2-B</x:v>
      </x:c>
      <x:c r="B350" s="12" t="str">
        <x:v>U24</x:v>
      </x:c>
      <x:c r="C350" s="12" t="str">
        <x:v>intent_audio</x:v>
      </x:c>
      <x:c r="D350" s="12" t="str">
        <x:v>request</x:v>
      </x:c>
      <x:c r="E350" s="12" t="str">
        <x:v>audio_output</x:v>
      </x:c>
      <x:c r="F350" s="15" t="n">
        <x:v>3</x:v>
      </x:c>
      <x:c r="G350" s="17" t="n">
        <x:v>0.002</x:v>
      </x:c>
      <x:c r="H350" s="15" t="n">
        <x:f>F350*G350</x:f>
        <x:v>0.006</x:v>
      </x:c>
    </x:row>
    <x:row r="351" ht="34" customHeight="1">
      <x:c r="A351" s="7" t="str">
        <x:v>DP2-B</x:v>
      </x:c>
      <x:c r="B351" s="7" t="str">
        <x:v>U24</x:v>
      </x:c>
      <x:c r="C351" s="7" t="str">
        <x:v>input_end</x:v>
      </x:c>
      <x:c r="D351" s="7" t="str">
        <x:v>input</x:v>
      </x:c>
      <x:c r="E351" s="7" t="str">
        <x:v>audio_input</x:v>
      </x:c>
      <x:c r="F351" s="16" t="n">
        <x:v>3</x:v>
      </x:c>
      <x:c r="G351" s="18" t="n">
        <x:v>0.001</x:v>
      </x:c>
      <x:c r="H351" s="16" t="n">
        <x:f>F351*G351</x:f>
        <x:v>0.003</x:v>
      </x:c>
    </x:row>
    <x:row r="352" ht="34" customHeight="1">
      <x:c r="A352" s="12" t="str">
        <x:v>DP3-B-R1</x:v>
      </x:c>
      <x:c r="B352" s="12" t="str">
        <x:v>U01</x:v>
      </x:c>
      <x:c r="C352" s="12" t="str">
        <x:v>meaning</x:v>
      </x:c>
      <x:c r="D352" s="12" t="str">
        <x:v>request</x:v>
      </x:c>
      <x:c r="E352" s="12" t="str">
        <x:v>text_input</x:v>
      </x:c>
      <x:c r="F352" s="15" t="n">
        <x:v>600</x:v>
      </x:c>
      <x:c r="G352" s="17" t="n">
        <x:v>0.000001</x:v>
      </x:c>
      <x:c r="H352" s="15" t="n">
        <x:f>F352*G352</x:f>
        <x:v>0.0006</x:v>
      </x:c>
    </x:row>
    <x:row r="353" ht="34" customHeight="1">
      <x:c r="A353" s="7" t="str">
        <x:v>DP3-B-R1</x:v>
      </x:c>
      <x:c r="B353" s="7" t="str">
        <x:v>U01</x:v>
      </x:c>
      <x:c r="C353" s="7" t="str">
        <x:v>meaning</x:v>
      </x:c>
      <x:c r="D353" s="7" t="str">
        <x:v>request</x:v>
      </x:c>
      <x:c r="E353" s="7" t="str">
        <x:v>text_output</x:v>
      </x:c>
      <x:c r="F353" s="16" t="n">
        <x:v>64</x:v>
      </x:c>
      <x:c r="G353" s="18" t="n">
        <x:v>0.000004</x:v>
      </x:c>
      <x:c r="H353" s="16" t="n">
        <x:f>F353*G353</x:f>
        <x:v>0.000256</x:v>
      </x:c>
    </x:row>
    <x:row r="354" ht="34" customHeight="1">
      <x:c r="A354" s="12" t="str">
        <x:v>DP3-B-R1</x:v>
      </x:c>
      <x:c r="B354" s="12" t="str">
        <x:v>U01</x:v>
      </x:c>
      <x:c r="C354" s="12" t="str">
        <x:v>response_audio</x:v>
      </x:c>
      <x:c r="D354" s="12" t="str">
        <x:v>request</x:v>
      </x:c>
      <x:c r="E354" s="12" t="str">
        <x:v>text_input</x:v>
      </x:c>
      <x:c r="F354" s="15" t="n">
        <x:v>48</x:v>
      </x:c>
      <x:c r="G354" s="17" t="n">
        <x:v>0.000001</x:v>
      </x:c>
      <x:c r="H354" s="15" t="n">
        <x:f>F354*G354</x:f>
        <x:v>0.000048</x:v>
      </x:c>
    </x:row>
    <x:row r="355" ht="34" customHeight="1">
      <x:c r="A355" s="7" t="str">
        <x:v>DP3-B-R1</x:v>
      </x:c>
      <x:c r="B355" s="7" t="str">
        <x:v>U01</x:v>
      </x:c>
      <x:c r="C355" s="7" t="str">
        <x:v>response_audio</x:v>
      </x:c>
      <x:c r="D355" s="7" t="str">
        <x:v>request</x:v>
      </x:c>
      <x:c r="E355" s="7" t="str">
        <x:v>audio_output</x:v>
      </x:c>
      <x:c r="F355" s="16" t="n">
        <x:v>6</x:v>
      </x:c>
      <x:c r="G355" s="18" t="n">
        <x:v>0.002</x:v>
      </x:c>
      <x:c r="H355" s="16" t="n">
        <x:f>F355*G355</x:f>
        <x:v>0.012</x:v>
      </x:c>
    </x:row>
    <x:row r="356" ht="34" customHeight="1">
      <x:c r="A356" s="12" t="str">
        <x:v>DP3-B-R1</x:v>
      </x:c>
      <x:c r="B356" s="12" t="str">
        <x:v>U02</x:v>
      </x:c>
      <x:c r="C356" s="12" t="str">
        <x:v>meaning</x:v>
      </x:c>
      <x:c r="D356" s="12" t="str">
        <x:v>request</x:v>
      </x:c>
      <x:c r="E356" s="12" t="str">
        <x:v>text_input</x:v>
      </x:c>
      <x:c r="F356" s="15" t="n">
        <x:v>600</x:v>
      </x:c>
      <x:c r="G356" s="17" t="n">
        <x:v>0.000001</x:v>
      </x:c>
      <x:c r="H356" s="15" t="n">
        <x:f>F356*G356</x:f>
        <x:v>0.0006</x:v>
      </x:c>
    </x:row>
    <x:row r="357" ht="34" customHeight="1">
      <x:c r="A357" s="7" t="str">
        <x:v>DP3-B-R1</x:v>
      </x:c>
      <x:c r="B357" s="7" t="str">
        <x:v>U02</x:v>
      </x:c>
      <x:c r="C357" s="7" t="str">
        <x:v>meaning</x:v>
      </x:c>
      <x:c r="D357" s="7" t="str">
        <x:v>request</x:v>
      </x:c>
      <x:c r="E357" s="7" t="str">
        <x:v>text_output</x:v>
      </x:c>
      <x:c r="F357" s="16" t="n">
        <x:v>64</x:v>
      </x:c>
      <x:c r="G357" s="18" t="n">
        <x:v>0.000004</x:v>
      </x:c>
      <x:c r="H357" s="16" t="n">
        <x:f>F357*G357</x:f>
        <x:v>0.000256</x:v>
      </x:c>
    </x:row>
    <x:row r="358" ht="34" customHeight="1">
      <x:c r="A358" s="12" t="str">
        <x:v>DP3-B-R1</x:v>
      </x:c>
      <x:c r="B358" s="12" t="str">
        <x:v>U02</x:v>
      </x:c>
      <x:c r="C358" s="12" t="str">
        <x:v>response_audio</x:v>
      </x:c>
      <x:c r="D358" s="12" t="str">
        <x:v>request</x:v>
      </x:c>
      <x:c r="E358" s="12" t="str">
        <x:v>text_input</x:v>
      </x:c>
      <x:c r="F358" s="15" t="n">
        <x:v>24</x:v>
      </x:c>
      <x:c r="G358" s="17" t="n">
        <x:v>0.000001</x:v>
      </x:c>
      <x:c r="H358" s="15" t="n">
        <x:f>F358*G358</x:f>
        <x:v>0.000024</x:v>
      </x:c>
    </x:row>
    <x:row r="359" ht="34" customHeight="1">
      <x:c r="A359" s="7" t="str">
        <x:v>DP3-B-R1</x:v>
      </x:c>
      <x:c r="B359" s="7" t="str">
        <x:v>U02</x:v>
      </x:c>
      <x:c r="C359" s="7" t="str">
        <x:v>response_audio</x:v>
      </x:c>
      <x:c r="D359" s="7" t="str">
        <x:v>request</x:v>
      </x:c>
      <x:c r="E359" s="7" t="str">
        <x:v>audio_output</x:v>
      </x:c>
      <x:c r="F359" s="16" t="n">
        <x:v>3</x:v>
      </x:c>
      <x:c r="G359" s="18" t="n">
        <x:v>0.002</x:v>
      </x:c>
      <x:c r="H359" s="16" t="n">
        <x:f>F359*G359</x:f>
        <x:v>0.006</x:v>
      </x:c>
    </x:row>
    <x:row r="360" ht="34" customHeight="1">
      <x:c r="A360" s="12" t="str">
        <x:v>DP3-B-R1</x:v>
      </x:c>
      <x:c r="B360" s="12" t="str">
        <x:v>U02</x:v>
      </x:c>
      <x:c r="C360" s="12" t="str">
        <x:v>input_end</x:v>
      </x:c>
      <x:c r="D360" s="12" t="str">
        <x:v>input</x:v>
      </x:c>
      <x:c r="E360" s="12" t="str">
        <x:v>audio_input</x:v>
      </x:c>
      <x:c r="F360" s="15" t="n">
        <x:v>3</x:v>
      </x:c>
      <x:c r="G360" s="17" t="n">
        <x:v>0.001</x:v>
      </x:c>
      <x:c r="H360" s="15" t="n">
        <x:f>F360*G360</x:f>
        <x:v>0.003</x:v>
      </x:c>
    </x:row>
    <x:row r="361" ht="34" customHeight="1">
      <x:c r="A361" s="7" t="str">
        <x:v>DP3-B-R1</x:v>
      </x:c>
      <x:c r="B361" s="7" t="str">
        <x:v>U03</x:v>
      </x:c>
      <x:c r="C361" s="7" t="str">
        <x:v>meaning</x:v>
      </x:c>
      <x:c r="D361" s="7" t="str">
        <x:v>request</x:v>
      </x:c>
      <x:c r="E361" s="7" t="str">
        <x:v>text_input</x:v>
      </x:c>
      <x:c r="F361" s="16" t="n">
        <x:v>600</x:v>
      </x:c>
      <x:c r="G361" s="18" t="n">
        <x:v>0.000001</x:v>
      </x:c>
      <x:c r="H361" s="16" t="n">
        <x:f>F361*G361</x:f>
        <x:v>0.0006</x:v>
      </x:c>
    </x:row>
    <x:row r="362" ht="34" customHeight="1">
      <x:c r="A362" s="12" t="str">
        <x:v>DP3-B-R1</x:v>
      </x:c>
      <x:c r="B362" s="12" t="str">
        <x:v>U03</x:v>
      </x:c>
      <x:c r="C362" s="12" t="str">
        <x:v>meaning</x:v>
      </x:c>
      <x:c r="D362" s="12" t="str">
        <x:v>request</x:v>
      </x:c>
      <x:c r="E362" s="12" t="str">
        <x:v>text_output</x:v>
      </x:c>
      <x:c r="F362" s="15" t="n">
        <x:v>64</x:v>
      </x:c>
      <x:c r="G362" s="17" t="n">
        <x:v>0.000004</x:v>
      </x:c>
      <x:c r="H362" s="15" t="n">
        <x:f>F362*G362</x:f>
        <x:v>0.000256</x:v>
      </x:c>
    </x:row>
    <x:row r="363" ht="34" customHeight="1">
      <x:c r="A363" s="7" t="str">
        <x:v>DP3-B-R1</x:v>
      </x:c>
      <x:c r="B363" s="7" t="str">
        <x:v>U03</x:v>
      </x:c>
      <x:c r="C363" s="7" t="str">
        <x:v>long_work</x:v>
      </x:c>
      <x:c r="D363" s="7" t="str">
        <x:v>request</x:v>
      </x:c>
      <x:c r="E363" s="7" t="str">
        <x:v>text_input</x:v>
      </x:c>
      <x:c r="F363" s="16" t="n">
        <x:v>1200</x:v>
      </x:c>
      <x:c r="G363" s="18" t="n">
        <x:v>0.000001</x:v>
      </x:c>
      <x:c r="H363" s="16" t="n">
        <x:f>F363*G363</x:f>
        <x:v>0.0012</x:v>
      </x:c>
    </x:row>
    <x:row r="364" ht="34" customHeight="1">
      <x:c r="A364" s="12" t="str">
        <x:v>DP3-B-R1</x:v>
      </x:c>
      <x:c r="B364" s="12" t="str">
        <x:v>U03</x:v>
      </x:c>
      <x:c r="C364" s="12" t="str">
        <x:v>long_work</x:v>
      </x:c>
      <x:c r="D364" s="12" t="str">
        <x:v>request</x:v>
      </x:c>
      <x:c r="E364" s="12" t="str">
        <x:v>text_output</x:v>
      </x:c>
      <x:c r="F364" s="15" t="n">
        <x:v>96</x:v>
      </x:c>
      <x:c r="G364" s="17" t="n">
        <x:v>0.000004</x:v>
      </x:c>
      <x:c r="H364" s="15" t="n">
        <x:f>F364*G364</x:f>
        <x:v>0.000384</x:v>
      </x:c>
    </x:row>
    <x:row r="365" ht="34" customHeight="1">
      <x:c r="A365" s="7" t="str">
        <x:v>DP3-B-R1</x:v>
      </x:c>
      <x:c r="B365" s="7" t="str">
        <x:v>U03</x:v>
      </x:c>
      <x:c r="C365" s="7" t="str">
        <x:v>response_audio</x:v>
      </x:c>
      <x:c r="D365" s="7" t="str">
        <x:v>request</x:v>
      </x:c>
      <x:c r="E365" s="7" t="str">
        <x:v>text_input</x:v>
      </x:c>
      <x:c r="F365" s="16" t="n">
        <x:v>48</x:v>
      </x:c>
      <x:c r="G365" s="18" t="n">
        <x:v>0.000001</x:v>
      </x:c>
      <x:c r="H365" s="16" t="n">
        <x:f>F365*G365</x:f>
        <x:v>0.000048</x:v>
      </x:c>
    </x:row>
    <x:row r="366" ht="34" customHeight="1">
      <x:c r="A366" s="12" t="str">
        <x:v>DP3-B-R1</x:v>
      </x:c>
      <x:c r="B366" s="12" t="str">
        <x:v>U03</x:v>
      </x:c>
      <x:c r="C366" s="12" t="str">
        <x:v>response_audio</x:v>
      </x:c>
      <x:c r="D366" s="12" t="str">
        <x:v>request</x:v>
      </x:c>
      <x:c r="E366" s="12" t="str">
        <x:v>audio_output</x:v>
      </x:c>
      <x:c r="F366" s="15" t="n">
        <x:v>6</x:v>
      </x:c>
      <x:c r="G366" s="17" t="n">
        <x:v>0.002</x:v>
      </x:c>
      <x:c r="H366" s="15" t="n">
        <x:f>F366*G366</x:f>
        <x:v>0.012</x:v>
      </x:c>
    </x:row>
    <x:row r="367" ht="34" customHeight="1">
      <x:c r="A367" s="7" t="str">
        <x:v>DP3-B-R1</x:v>
      </x:c>
      <x:c r="B367" s="7" t="str">
        <x:v>U03</x:v>
      </x:c>
      <x:c r="C367" s="7" t="str">
        <x:v>intent_audio</x:v>
      </x:c>
      <x:c r="D367" s="7" t="str">
        <x:v>request</x:v>
      </x:c>
      <x:c r="E367" s="7" t="str">
        <x:v>text_input</x:v>
      </x:c>
      <x:c r="F367" s="16" t="n">
        <x:v>24</x:v>
      </x:c>
      <x:c r="G367" s="18" t="n">
        <x:v>0.000001</x:v>
      </x:c>
      <x:c r="H367" s="16" t="n">
        <x:f>F367*G367</x:f>
        <x:v>0.000024</x:v>
      </x:c>
    </x:row>
    <x:row r="368" ht="34" customHeight="1">
      <x:c r="A368" s="12" t="str">
        <x:v>DP3-B-R1</x:v>
      </x:c>
      <x:c r="B368" s="12" t="str">
        <x:v>U03</x:v>
      </x:c>
      <x:c r="C368" s="12" t="str">
        <x:v>intent_audio</x:v>
      </x:c>
      <x:c r="D368" s="12" t="str">
        <x:v>request</x:v>
      </x:c>
      <x:c r="E368" s="12" t="str">
        <x:v>audio_output</x:v>
      </x:c>
      <x:c r="F368" s="15" t="n">
        <x:v>3</x:v>
      </x:c>
      <x:c r="G368" s="17" t="n">
        <x:v>0.002</x:v>
      </x:c>
      <x:c r="H368" s="15" t="n">
        <x:f>F368*G368</x:f>
        <x:v>0.006</x:v>
      </x:c>
    </x:row>
    <x:row r="369" ht="34" customHeight="1">
      <x:c r="A369" s="7" t="str">
        <x:v>DP3-B-R1</x:v>
      </x:c>
      <x:c r="B369" s="7" t="str">
        <x:v>U04</x:v>
      </x:c>
      <x:c r="C369" s="7" t="str">
        <x:v>meaning</x:v>
      </x:c>
      <x:c r="D369" s="7" t="str">
        <x:v>request</x:v>
      </x:c>
      <x:c r="E369" s="7" t="str">
        <x:v>text_input</x:v>
      </x:c>
      <x:c r="F369" s="16" t="n">
        <x:v>600</x:v>
      </x:c>
      <x:c r="G369" s="18" t="n">
        <x:v>0.000001</x:v>
      </x:c>
      <x:c r="H369" s="16" t="n">
        <x:f>F369*G369</x:f>
        <x:v>0.0006</x:v>
      </x:c>
    </x:row>
    <x:row r="370" ht="34" customHeight="1">
      <x:c r="A370" s="12" t="str">
        <x:v>DP3-B-R1</x:v>
      </x:c>
      <x:c r="B370" s="12" t="str">
        <x:v>U04</x:v>
      </x:c>
      <x:c r="C370" s="12" t="str">
        <x:v>meaning</x:v>
      </x:c>
      <x:c r="D370" s="12" t="str">
        <x:v>request</x:v>
      </x:c>
      <x:c r="E370" s="12" t="str">
        <x:v>text_output</x:v>
      </x:c>
      <x:c r="F370" s="15" t="n">
        <x:v>64</x:v>
      </x:c>
      <x:c r="G370" s="17" t="n">
        <x:v>0.000004</x:v>
      </x:c>
      <x:c r="H370" s="15" t="n">
        <x:f>F370*G370</x:f>
        <x:v>0.000256</x:v>
      </x:c>
    </x:row>
    <x:row r="371" ht="34" customHeight="1">
      <x:c r="A371" s="7" t="str">
        <x:v>DP3-B-R1</x:v>
      </x:c>
      <x:c r="B371" s="7" t="str">
        <x:v>U04</x:v>
      </x:c>
      <x:c r="C371" s="7" t="str">
        <x:v>response_audio</x:v>
      </x:c>
      <x:c r="D371" s="7" t="str">
        <x:v>request</x:v>
      </x:c>
      <x:c r="E371" s="7" t="str">
        <x:v>text_input</x:v>
      </x:c>
      <x:c r="F371" s="16" t="n">
        <x:v>48</x:v>
      </x:c>
      <x:c r="G371" s="18" t="n">
        <x:v>0.000001</x:v>
      </x:c>
      <x:c r="H371" s="16" t="n">
        <x:f>F371*G371</x:f>
        <x:v>0.000048</x:v>
      </x:c>
    </x:row>
    <x:row r="372" ht="34" customHeight="1">
      <x:c r="A372" s="12" t="str">
        <x:v>DP3-B-R1</x:v>
      </x:c>
      <x:c r="B372" s="12" t="str">
        <x:v>U04</x:v>
      </x:c>
      <x:c r="C372" s="12" t="str">
        <x:v>response_audio</x:v>
      </x:c>
      <x:c r="D372" s="12" t="str">
        <x:v>request</x:v>
      </x:c>
      <x:c r="E372" s="12" t="str">
        <x:v>audio_output</x:v>
      </x:c>
      <x:c r="F372" s="15" t="n">
        <x:v>6</x:v>
      </x:c>
      <x:c r="G372" s="17" t="n">
        <x:v>0.002</x:v>
      </x:c>
      <x:c r="H372" s="15" t="n">
        <x:f>F372*G372</x:f>
        <x:v>0.012</x:v>
      </x:c>
    </x:row>
    <x:row r="373" ht="34" customHeight="1">
      <x:c r="A373" s="7" t="str">
        <x:v>DP3-B-R1</x:v>
      </x:c>
      <x:c r="B373" s="7" t="str">
        <x:v>U04</x:v>
      </x:c>
      <x:c r="C373" s="7" t="str">
        <x:v>input_end</x:v>
      </x:c>
      <x:c r="D373" s="7" t="str">
        <x:v>input</x:v>
      </x:c>
      <x:c r="E373" s="7" t="str">
        <x:v>audio_input</x:v>
      </x:c>
      <x:c r="F373" s="16" t="n">
        <x:v>3</x:v>
      </x:c>
      <x:c r="G373" s="18" t="n">
        <x:v>0.001</x:v>
      </x:c>
      <x:c r="H373" s="16" t="n">
        <x:f>F373*G373</x:f>
        <x:v>0.003</x:v>
      </x:c>
    </x:row>
    <x:row r="374" ht="34" customHeight="1">
      <x:c r="A374" s="12" t="str">
        <x:v>DP3-B-R1</x:v>
      </x:c>
      <x:c r="B374" s="12" t="str">
        <x:v>U05</x:v>
      </x:c>
      <x:c r="C374" s="12" t="str">
        <x:v>bg1</x:v>
      </x:c>
      <x:c r="D374" s="12" t="str">
        <x:v>background</x:v>
      </x:c>
      <x:c r="E374" s="12" t="str">
        <x:v>text_input</x:v>
      </x:c>
      <x:c r="F374" s="15" t="n">
        <x:v>1200</x:v>
      </x:c>
      <x:c r="G374" s="17" t="n">
        <x:v>0.000001</x:v>
      </x:c>
      <x:c r="H374" s="15" t="n">
        <x:f>F374*G374</x:f>
        <x:v>0.0012</x:v>
      </x:c>
    </x:row>
    <x:row r="375" ht="34" customHeight="1">
      <x:c r="A375" s="7" t="str">
        <x:v>DP3-B-R1</x:v>
      </x:c>
      <x:c r="B375" s="7" t="str">
        <x:v>U05</x:v>
      </x:c>
      <x:c r="C375" s="7" t="str">
        <x:v>bg1</x:v>
      </x:c>
      <x:c r="D375" s="7" t="str">
        <x:v>background</x:v>
      </x:c>
      <x:c r="E375" s="7" t="str">
        <x:v>text_output</x:v>
      </x:c>
      <x:c r="F375" s="16" t="n">
        <x:v>240</x:v>
      </x:c>
      <x:c r="G375" s="18" t="n">
        <x:v>0.000004</x:v>
      </x:c>
      <x:c r="H375" s="16" t="n">
        <x:f>F375*G375</x:f>
        <x:v>0.0009599999999999999</x:v>
      </x:c>
    </x:row>
    <x:row r="376" ht="34" customHeight="1">
      <x:c r="A376" s="12" t="str">
        <x:v>DP3-B-R1</x:v>
      </x:c>
      <x:c r="B376" s="12" t="str">
        <x:v>U05</x:v>
      </x:c>
      <x:c r="C376" s="12" t="str">
        <x:v>meaning</x:v>
      </x:c>
      <x:c r="D376" s="12" t="str">
        <x:v>request</x:v>
      </x:c>
      <x:c r="E376" s="12" t="str">
        <x:v>text_input</x:v>
      </x:c>
      <x:c r="F376" s="15" t="n">
        <x:v>600</x:v>
      </x:c>
      <x:c r="G376" s="17" t="n">
        <x:v>0.000001</x:v>
      </x:c>
      <x:c r="H376" s="15" t="n">
        <x:f>F376*G376</x:f>
        <x:v>0.0006</x:v>
      </x:c>
    </x:row>
    <x:row r="377" ht="34" customHeight="1">
      <x:c r="A377" s="7" t="str">
        <x:v>DP3-B-R1</x:v>
      </x:c>
      <x:c r="B377" s="7" t="str">
        <x:v>U05</x:v>
      </x:c>
      <x:c r="C377" s="7" t="str">
        <x:v>meaning</x:v>
      </x:c>
      <x:c r="D377" s="7" t="str">
        <x:v>request</x:v>
      </x:c>
      <x:c r="E377" s="7" t="str">
        <x:v>text_output</x:v>
      </x:c>
      <x:c r="F377" s="16" t="n">
        <x:v>64</x:v>
      </x:c>
      <x:c r="G377" s="18" t="n">
        <x:v>0.000004</x:v>
      </x:c>
      <x:c r="H377" s="16" t="n">
        <x:f>F377*G377</x:f>
        <x:v>0.000256</x:v>
      </x:c>
    </x:row>
    <x:row r="378" ht="34" customHeight="1">
      <x:c r="A378" s="12" t="str">
        <x:v>DP3-B-R1</x:v>
      </x:c>
      <x:c r="B378" s="12" t="str">
        <x:v>U05</x:v>
      </x:c>
      <x:c r="C378" s="12" t="str">
        <x:v>response_audio</x:v>
      </x:c>
      <x:c r="D378" s="12" t="str">
        <x:v>request</x:v>
      </x:c>
      <x:c r="E378" s="12" t="str">
        <x:v>text_input</x:v>
      </x:c>
      <x:c r="F378" s="15" t="n">
        <x:v>48</x:v>
      </x:c>
      <x:c r="G378" s="17" t="n">
        <x:v>0.000001</x:v>
      </x:c>
      <x:c r="H378" s="15" t="n">
        <x:f>F378*G378</x:f>
        <x:v>0.000048</x:v>
      </x:c>
    </x:row>
    <x:row r="379" ht="34" customHeight="1">
      <x:c r="A379" s="7" t="str">
        <x:v>DP3-B-R1</x:v>
      </x:c>
      <x:c r="B379" s="7" t="str">
        <x:v>U05</x:v>
      </x:c>
      <x:c r="C379" s="7" t="str">
        <x:v>response_audio</x:v>
      </x:c>
      <x:c r="D379" s="7" t="str">
        <x:v>request</x:v>
      </x:c>
      <x:c r="E379" s="7" t="str">
        <x:v>audio_output</x:v>
      </x:c>
      <x:c r="F379" s="16" t="n">
        <x:v>6</x:v>
      </x:c>
      <x:c r="G379" s="18" t="n">
        <x:v>0.002</x:v>
      </x:c>
      <x:c r="H379" s="16" t="n">
        <x:f>F379*G379</x:f>
        <x:v>0.012</x:v>
      </x:c>
    </x:row>
    <x:row r="380" ht="34" customHeight="1">
      <x:c r="A380" s="12" t="str">
        <x:v>DP3-B-R1</x:v>
      </x:c>
      <x:c r="B380" s="12" t="str">
        <x:v>U05</x:v>
      </x:c>
      <x:c r="C380" s="12" t="str">
        <x:v>input_end</x:v>
      </x:c>
      <x:c r="D380" s="12" t="str">
        <x:v>input</x:v>
      </x:c>
      <x:c r="E380" s="12" t="str">
        <x:v>audio_input</x:v>
      </x:c>
      <x:c r="F380" s="15" t="n">
        <x:v>3</x:v>
      </x:c>
      <x:c r="G380" s="17" t="n">
        <x:v>0.001</x:v>
      </x:c>
      <x:c r="H380" s="15" t="n">
        <x:f>F380*G380</x:f>
        <x:v>0.003</x:v>
      </x:c>
    </x:row>
    <x:row r="381" ht="34" customHeight="1">
      <x:c r="A381" s="7" t="str">
        <x:v>DP3-B-R1</x:v>
      </x:c>
      <x:c r="B381" s="7" t="str">
        <x:v>U06</x:v>
      </x:c>
      <x:c r="C381" s="7" t="str">
        <x:v>bg1</x:v>
      </x:c>
      <x:c r="D381" s="7" t="str">
        <x:v>background</x:v>
      </x:c>
      <x:c r="E381" s="7" t="str">
        <x:v>text_input</x:v>
      </x:c>
      <x:c r="F381" s="16" t="n">
        <x:v>1200</x:v>
      </x:c>
      <x:c r="G381" s="18" t="n">
        <x:v>0.000001</x:v>
      </x:c>
      <x:c r="H381" s="16" t="n">
        <x:f>F381*G381</x:f>
        <x:v>0.0012</x:v>
      </x:c>
    </x:row>
    <x:row r="382" ht="34" customHeight="1">
      <x:c r="A382" s="12" t="str">
        <x:v>DP3-B-R1</x:v>
      </x:c>
      <x:c r="B382" s="12" t="str">
        <x:v>U06</x:v>
      </x:c>
      <x:c r="C382" s="12" t="str">
        <x:v>bg1</x:v>
      </x:c>
      <x:c r="D382" s="12" t="str">
        <x:v>background</x:v>
      </x:c>
      <x:c r="E382" s="12" t="str">
        <x:v>text_output</x:v>
      </x:c>
      <x:c r="F382" s="15" t="n">
        <x:v>240</x:v>
      </x:c>
      <x:c r="G382" s="17" t="n">
        <x:v>0.000004</x:v>
      </x:c>
      <x:c r="H382" s="15" t="n">
        <x:f>F382*G382</x:f>
        <x:v>0.0009599999999999999</x:v>
      </x:c>
    </x:row>
    <x:row r="383" ht="34" customHeight="1">
      <x:c r="A383" s="7" t="str">
        <x:v>DP3-B-R1</x:v>
      </x:c>
      <x:c r="B383" s="7" t="str">
        <x:v>U06</x:v>
      </x:c>
      <x:c r="C383" s="7" t="str">
        <x:v>meaning</x:v>
      </x:c>
      <x:c r="D383" s="7" t="str">
        <x:v>request</x:v>
      </x:c>
      <x:c r="E383" s="7" t="str">
        <x:v>text_input</x:v>
      </x:c>
      <x:c r="F383" s="16" t="n">
        <x:v>600</x:v>
      </x:c>
      <x:c r="G383" s="18" t="n">
        <x:v>0.000001</x:v>
      </x:c>
      <x:c r="H383" s="16" t="n">
        <x:f>F383*G383</x:f>
        <x:v>0.0006</x:v>
      </x:c>
    </x:row>
    <x:row r="384" ht="34" customHeight="1">
      <x:c r="A384" s="12" t="str">
        <x:v>DP3-B-R1</x:v>
      </x:c>
      <x:c r="B384" s="12" t="str">
        <x:v>U06</x:v>
      </x:c>
      <x:c r="C384" s="12" t="str">
        <x:v>meaning</x:v>
      </x:c>
      <x:c r="D384" s="12" t="str">
        <x:v>request</x:v>
      </x:c>
      <x:c r="E384" s="12" t="str">
        <x:v>text_output</x:v>
      </x:c>
      <x:c r="F384" s="15" t="n">
        <x:v>64</x:v>
      </x:c>
      <x:c r="G384" s="17" t="n">
        <x:v>0.000004</x:v>
      </x:c>
      <x:c r="H384" s="15" t="n">
        <x:f>F384*G384</x:f>
        <x:v>0.000256</x:v>
      </x:c>
    </x:row>
    <x:row r="385" ht="34" customHeight="1">
      <x:c r="A385" s="7" t="str">
        <x:v>DP3-B-R1</x:v>
      </x:c>
      <x:c r="B385" s="7" t="str">
        <x:v>U06</x:v>
      </x:c>
      <x:c r="C385" s="7" t="str">
        <x:v>long_work</x:v>
      </x:c>
      <x:c r="D385" s="7" t="str">
        <x:v>request</x:v>
      </x:c>
      <x:c r="E385" s="7" t="str">
        <x:v>text_input</x:v>
      </x:c>
      <x:c r="F385" s="16" t="n">
        <x:v>1200</x:v>
      </x:c>
      <x:c r="G385" s="18" t="n">
        <x:v>0.000001</x:v>
      </x:c>
      <x:c r="H385" s="16" t="n">
        <x:f>F385*G385</x:f>
        <x:v>0.0012</x:v>
      </x:c>
    </x:row>
    <x:row r="386" ht="34" customHeight="1">
      <x:c r="A386" s="12" t="str">
        <x:v>DP3-B-R1</x:v>
      </x:c>
      <x:c r="B386" s="12" t="str">
        <x:v>U06</x:v>
      </x:c>
      <x:c r="C386" s="12" t="str">
        <x:v>long_work</x:v>
      </x:c>
      <x:c r="D386" s="12" t="str">
        <x:v>request</x:v>
      </x:c>
      <x:c r="E386" s="12" t="str">
        <x:v>text_output</x:v>
      </x:c>
      <x:c r="F386" s="15" t="n">
        <x:v>96</x:v>
      </x:c>
      <x:c r="G386" s="17" t="n">
        <x:v>0.000004</x:v>
      </x:c>
      <x:c r="H386" s="15" t="n">
        <x:f>F386*G386</x:f>
        <x:v>0.000384</x:v>
      </x:c>
    </x:row>
    <x:row r="387" ht="34" customHeight="1">
      <x:c r="A387" s="7" t="str">
        <x:v>DP3-B-R1</x:v>
      </x:c>
      <x:c r="B387" s="7" t="str">
        <x:v>U06</x:v>
      </x:c>
      <x:c r="C387" s="7" t="str">
        <x:v>response_audio</x:v>
      </x:c>
      <x:c r="D387" s="7" t="str">
        <x:v>request</x:v>
      </x:c>
      <x:c r="E387" s="7" t="str">
        <x:v>text_input</x:v>
      </x:c>
      <x:c r="F387" s="16" t="n">
        <x:v>48</x:v>
      </x:c>
      <x:c r="G387" s="18" t="n">
        <x:v>0.000001</x:v>
      </x:c>
      <x:c r="H387" s="16" t="n">
        <x:f>F387*G387</x:f>
        <x:v>0.000048</x:v>
      </x:c>
    </x:row>
    <x:row r="388" ht="34" customHeight="1">
      <x:c r="A388" s="12" t="str">
        <x:v>DP3-B-R1</x:v>
      </x:c>
      <x:c r="B388" s="12" t="str">
        <x:v>U06</x:v>
      </x:c>
      <x:c r="C388" s="12" t="str">
        <x:v>response_audio</x:v>
      </x:c>
      <x:c r="D388" s="12" t="str">
        <x:v>request</x:v>
      </x:c>
      <x:c r="E388" s="12" t="str">
        <x:v>audio_output</x:v>
      </x:c>
      <x:c r="F388" s="15" t="n">
        <x:v>6</x:v>
      </x:c>
      <x:c r="G388" s="17" t="n">
        <x:v>0.002</x:v>
      </x:c>
      <x:c r="H388" s="15" t="n">
        <x:f>F388*G388</x:f>
        <x:v>0.012</x:v>
      </x:c>
    </x:row>
    <x:row r="389" ht="34" customHeight="1">
      <x:c r="A389" s="7" t="str">
        <x:v>DP3-B-R1</x:v>
      </x:c>
      <x:c r="B389" s="7" t="str">
        <x:v>U06</x:v>
      </x:c>
      <x:c r="C389" s="7" t="str">
        <x:v>intent_audio</x:v>
      </x:c>
      <x:c r="D389" s="7" t="str">
        <x:v>request</x:v>
      </x:c>
      <x:c r="E389" s="7" t="str">
        <x:v>text_input</x:v>
      </x:c>
      <x:c r="F389" s="16" t="n">
        <x:v>24</x:v>
      </x:c>
      <x:c r="G389" s="18" t="n">
        <x:v>0.000001</x:v>
      </x:c>
      <x:c r="H389" s="16" t="n">
        <x:f>F389*G389</x:f>
        <x:v>0.000024</x:v>
      </x:c>
    </x:row>
    <x:row r="390" ht="34" customHeight="1">
      <x:c r="A390" s="12" t="str">
        <x:v>DP3-B-R1</x:v>
      </x:c>
      <x:c r="B390" s="12" t="str">
        <x:v>U06</x:v>
      </x:c>
      <x:c r="C390" s="12" t="str">
        <x:v>intent_audio</x:v>
      </x:c>
      <x:c r="D390" s="12" t="str">
        <x:v>request</x:v>
      </x:c>
      <x:c r="E390" s="12" t="str">
        <x:v>audio_output</x:v>
      </x:c>
      <x:c r="F390" s="15" t="n">
        <x:v>3</x:v>
      </x:c>
      <x:c r="G390" s="17" t="n">
        <x:v>0.002</x:v>
      </x:c>
      <x:c r="H390" s="15" t="n">
        <x:f>F390*G390</x:f>
        <x:v>0.006</x:v>
      </x:c>
    </x:row>
    <x:row r="391" ht="34" customHeight="1">
      <x:c r="A391" s="7" t="str">
        <x:v>DP3-B-R1</x:v>
      </x:c>
      <x:c r="B391" s="7" t="str">
        <x:v>U07</x:v>
      </x:c>
      <x:c r="C391" s="7" t="str">
        <x:v>bg1</x:v>
      </x:c>
      <x:c r="D391" s="7" t="str">
        <x:v>background</x:v>
      </x:c>
      <x:c r="E391" s="7" t="str">
        <x:v>text_input</x:v>
      </x:c>
      <x:c r="F391" s="16" t="n">
        <x:v>1200</x:v>
      </x:c>
      <x:c r="G391" s="18" t="n">
        <x:v>0.000001</x:v>
      </x:c>
      <x:c r="H391" s="16" t="n">
        <x:f>F391*G391</x:f>
        <x:v>0.0012</x:v>
      </x:c>
    </x:row>
    <x:row r="392" ht="34" customHeight="1">
      <x:c r="A392" s="12" t="str">
        <x:v>DP3-B-R1</x:v>
      </x:c>
      <x:c r="B392" s="12" t="str">
        <x:v>U07</x:v>
      </x:c>
      <x:c r="C392" s="12" t="str">
        <x:v>bg1</x:v>
      </x:c>
      <x:c r="D392" s="12" t="str">
        <x:v>background</x:v>
      </x:c>
      <x:c r="E392" s="12" t="str">
        <x:v>text_output</x:v>
      </x:c>
      <x:c r="F392" s="15" t="n">
        <x:v>240</x:v>
      </x:c>
      <x:c r="G392" s="17" t="n">
        <x:v>0.000004</x:v>
      </x:c>
      <x:c r="H392" s="15" t="n">
        <x:f>F392*G392</x:f>
        <x:v>0.0009599999999999999</x:v>
      </x:c>
    </x:row>
    <x:row r="393" ht="34" customHeight="1">
      <x:c r="A393" s="7" t="str">
        <x:v>DP3-B-R1</x:v>
      </x:c>
      <x:c r="B393" s="7" t="str">
        <x:v>U07</x:v>
      </x:c>
      <x:c r="C393" s="7" t="str">
        <x:v>bg2</x:v>
      </x:c>
      <x:c r="D393" s="7" t="str">
        <x:v>background</x:v>
      </x:c>
      <x:c r="E393" s="7" t="str">
        <x:v>text_input</x:v>
      </x:c>
      <x:c r="F393" s="16" t="n">
        <x:v>1200</x:v>
      </x:c>
      <x:c r="G393" s="18" t="n">
        <x:v>0.000001</x:v>
      </x:c>
      <x:c r="H393" s="16" t="n">
        <x:f>F393*G393</x:f>
        <x:v>0.0012</x:v>
      </x:c>
    </x:row>
    <x:row r="394" ht="34" customHeight="1">
      <x:c r="A394" s="12" t="str">
        <x:v>DP3-B-R1</x:v>
      </x:c>
      <x:c r="B394" s="12" t="str">
        <x:v>U07</x:v>
      </x:c>
      <x:c r="C394" s="12" t="str">
        <x:v>bg2</x:v>
      </x:c>
      <x:c r="D394" s="12" t="str">
        <x:v>background</x:v>
      </x:c>
      <x:c r="E394" s="12" t="str">
        <x:v>text_output</x:v>
      </x:c>
      <x:c r="F394" s="15" t="n">
        <x:v>240</x:v>
      </x:c>
      <x:c r="G394" s="17" t="n">
        <x:v>0.000004</x:v>
      </x:c>
      <x:c r="H394" s="15" t="n">
        <x:f>F394*G394</x:f>
        <x:v>0.0009599999999999999</x:v>
      </x:c>
    </x:row>
    <x:row r="395" ht="34" customHeight="1">
      <x:c r="A395" s="7" t="str">
        <x:v>DP3-B-R1</x:v>
      </x:c>
      <x:c r="B395" s="7" t="str">
        <x:v>U07</x:v>
      </x:c>
      <x:c r="C395" s="7" t="str">
        <x:v>meaning</x:v>
      </x:c>
      <x:c r="D395" s="7" t="str">
        <x:v>request</x:v>
      </x:c>
      <x:c r="E395" s="7" t="str">
        <x:v>text_input</x:v>
      </x:c>
      <x:c r="F395" s="16" t="n">
        <x:v>600</x:v>
      </x:c>
      <x:c r="G395" s="18" t="n">
        <x:v>0.000001</x:v>
      </x:c>
      <x:c r="H395" s="16" t="n">
        <x:f>F395*G395</x:f>
        <x:v>0.0006</x:v>
      </x:c>
    </x:row>
    <x:row r="396" ht="34" customHeight="1">
      <x:c r="A396" s="12" t="str">
        <x:v>DP3-B-R1</x:v>
      </x:c>
      <x:c r="B396" s="12" t="str">
        <x:v>U07</x:v>
      </x:c>
      <x:c r="C396" s="12" t="str">
        <x:v>meaning</x:v>
      </x:c>
      <x:c r="D396" s="12" t="str">
        <x:v>request</x:v>
      </x:c>
      <x:c r="E396" s="12" t="str">
        <x:v>text_output</x:v>
      </x:c>
      <x:c r="F396" s="15" t="n">
        <x:v>64</x:v>
      </x:c>
      <x:c r="G396" s="17" t="n">
        <x:v>0.000004</x:v>
      </x:c>
      <x:c r="H396" s="15" t="n">
        <x:f>F396*G396</x:f>
        <x:v>0.000256</x:v>
      </x:c>
    </x:row>
    <x:row r="397" ht="34" customHeight="1">
      <x:c r="A397" s="7" t="str">
        <x:v>DP3-B-R1</x:v>
      </x:c>
      <x:c r="B397" s="7" t="str">
        <x:v>U07</x:v>
      </x:c>
      <x:c r="C397" s="7" t="str">
        <x:v>long_work</x:v>
      </x:c>
      <x:c r="D397" s="7" t="str">
        <x:v>request</x:v>
      </x:c>
      <x:c r="E397" s="7" t="str">
        <x:v>text_input</x:v>
      </x:c>
      <x:c r="F397" s="16" t="n">
        <x:v>1200</x:v>
      </x:c>
      <x:c r="G397" s="18" t="n">
        <x:v>0.000001</x:v>
      </x:c>
      <x:c r="H397" s="16" t="n">
        <x:f>F397*G397</x:f>
        <x:v>0.0012</x:v>
      </x:c>
    </x:row>
    <x:row r="398" ht="34" customHeight="1">
      <x:c r="A398" s="12" t="str">
        <x:v>DP3-B-R1</x:v>
      </x:c>
      <x:c r="B398" s="12" t="str">
        <x:v>U07</x:v>
      </x:c>
      <x:c r="C398" s="12" t="str">
        <x:v>long_work</x:v>
      </x:c>
      <x:c r="D398" s="12" t="str">
        <x:v>request</x:v>
      </x:c>
      <x:c r="E398" s="12" t="str">
        <x:v>text_output</x:v>
      </x:c>
      <x:c r="F398" s="15" t="n">
        <x:v>96</x:v>
      </x:c>
      <x:c r="G398" s="17" t="n">
        <x:v>0.000004</x:v>
      </x:c>
      <x:c r="H398" s="15" t="n">
        <x:f>F398*G398</x:f>
        <x:v>0.000384</x:v>
      </x:c>
    </x:row>
    <x:row r="399" ht="34" customHeight="1">
      <x:c r="A399" s="7" t="str">
        <x:v>DP3-B-R1</x:v>
      </x:c>
      <x:c r="B399" s="7" t="str">
        <x:v>U07</x:v>
      </x:c>
      <x:c r="C399" s="7" t="str">
        <x:v>response_audio</x:v>
      </x:c>
      <x:c r="D399" s="7" t="str">
        <x:v>request</x:v>
      </x:c>
      <x:c r="E399" s="7" t="str">
        <x:v>text_input</x:v>
      </x:c>
      <x:c r="F399" s="16" t="n">
        <x:v>48</x:v>
      </x:c>
      <x:c r="G399" s="18" t="n">
        <x:v>0.000001</x:v>
      </x:c>
      <x:c r="H399" s="16" t="n">
        <x:f>F399*G399</x:f>
        <x:v>0.000048</x:v>
      </x:c>
    </x:row>
    <x:row r="400" ht="34" customHeight="1">
      <x:c r="A400" s="12" t="str">
        <x:v>DP3-B-R1</x:v>
      </x:c>
      <x:c r="B400" s="12" t="str">
        <x:v>U07</x:v>
      </x:c>
      <x:c r="C400" s="12" t="str">
        <x:v>response_audio</x:v>
      </x:c>
      <x:c r="D400" s="12" t="str">
        <x:v>request</x:v>
      </x:c>
      <x:c r="E400" s="12" t="str">
        <x:v>audio_output</x:v>
      </x:c>
      <x:c r="F400" s="15" t="n">
        <x:v>6</x:v>
      </x:c>
      <x:c r="G400" s="17" t="n">
        <x:v>0.002</x:v>
      </x:c>
      <x:c r="H400" s="15" t="n">
        <x:f>F400*G400</x:f>
        <x:v>0.012</x:v>
      </x:c>
    </x:row>
    <x:row r="401" ht="34" customHeight="1">
      <x:c r="A401" s="7" t="str">
        <x:v>DP3-B-R1</x:v>
      </x:c>
      <x:c r="B401" s="7" t="str">
        <x:v>U07</x:v>
      </x:c>
      <x:c r="C401" s="7" t="str">
        <x:v>intent_audio</x:v>
      </x:c>
      <x:c r="D401" s="7" t="str">
        <x:v>request</x:v>
      </x:c>
      <x:c r="E401" s="7" t="str">
        <x:v>text_input</x:v>
      </x:c>
      <x:c r="F401" s="16" t="n">
        <x:v>24</x:v>
      </x:c>
      <x:c r="G401" s="18" t="n">
        <x:v>0.000001</x:v>
      </x:c>
      <x:c r="H401" s="16" t="n">
        <x:f>F401*G401</x:f>
        <x:v>0.000024</x:v>
      </x:c>
    </x:row>
    <x:row r="402" ht="34" customHeight="1">
      <x:c r="A402" s="12" t="str">
        <x:v>DP3-B-R1</x:v>
      </x:c>
      <x:c r="B402" s="12" t="str">
        <x:v>U07</x:v>
      </x:c>
      <x:c r="C402" s="12" t="str">
        <x:v>intent_audio</x:v>
      </x:c>
      <x:c r="D402" s="12" t="str">
        <x:v>request</x:v>
      </x:c>
      <x:c r="E402" s="12" t="str">
        <x:v>audio_output</x:v>
      </x:c>
      <x:c r="F402" s="15" t="n">
        <x:v>3</x:v>
      </x:c>
      <x:c r="G402" s="17" t="n">
        <x:v>0.002</x:v>
      </x:c>
      <x:c r="H402" s="15" t="n">
        <x:f>F402*G402</x:f>
        <x:v>0.006</x:v>
      </x:c>
    </x:row>
    <x:row r="403" ht="34" customHeight="1">
      <x:c r="A403" s="7" t="str">
        <x:v>DP3-B-R1</x:v>
      </x:c>
      <x:c r="B403" s="7" t="str">
        <x:v>U07</x:v>
      </x:c>
      <x:c r="C403" s="7" t="str">
        <x:v>input_end</x:v>
      </x:c>
      <x:c r="D403" s="7" t="str">
        <x:v>input</x:v>
      </x:c>
      <x:c r="E403" s="7" t="str">
        <x:v>audio_input</x:v>
      </x:c>
      <x:c r="F403" s="16" t="n">
        <x:v>3</x:v>
      </x:c>
      <x:c r="G403" s="18" t="n">
        <x:v>0.001</x:v>
      </x:c>
      <x:c r="H403" s="16" t="n">
        <x:f>F403*G403</x:f>
        <x:v>0.003</x:v>
      </x:c>
    </x:row>
    <x:row r="404" ht="34" customHeight="1">
      <x:c r="A404" s="12" t="str">
        <x:v>DP3-B-R1</x:v>
      </x:c>
      <x:c r="B404" s="12" t="str">
        <x:v>U08</x:v>
      </x:c>
      <x:c r="C404" s="12" t="str">
        <x:v>bg1</x:v>
      </x:c>
      <x:c r="D404" s="12" t="str">
        <x:v>background</x:v>
      </x:c>
      <x:c r="E404" s="12" t="str">
        <x:v>text_input</x:v>
      </x:c>
      <x:c r="F404" s="15" t="n">
        <x:v>1200</x:v>
      </x:c>
      <x:c r="G404" s="17" t="n">
        <x:v>0.000001</x:v>
      </x:c>
      <x:c r="H404" s="15" t="n">
        <x:f>F404*G404</x:f>
        <x:v>0.0012</x:v>
      </x:c>
    </x:row>
    <x:row r="405" ht="34" customHeight="1">
      <x:c r="A405" s="7" t="str">
        <x:v>DP3-B-R1</x:v>
      </x:c>
      <x:c r="B405" s="7" t="str">
        <x:v>U08</x:v>
      </x:c>
      <x:c r="C405" s="7" t="str">
        <x:v>bg1</x:v>
      </x:c>
      <x:c r="D405" s="7" t="str">
        <x:v>background</x:v>
      </x:c>
      <x:c r="E405" s="7" t="str">
        <x:v>text_output</x:v>
      </x:c>
      <x:c r="F405" s="16" t="n">
        <x:v>240</x:v>
      </x:c>
      <x:c r="G405" s="18" t="n">
        <x:v>0.000004</x:v>
      </x:c>
      <x:c r="H405" s="16" t="n">
        <x:f>F405*G405</x:f>
        <x:v>0.0009599999999999999</x:v>
      </x:c>
    </x:row>
    <x:row r="406" ht="34" customHeight="1">
      <x:c r="A406" s="12" t="str">
        <x:v>DP3-B-R1</x:v>
      </x:c>
      <x:c r="B406" s="12" t="str">
        <x:v>U08</x:v>
      </x:c>
      <x:c r="C406" s="12" t="str">
        <x:v>meaning</x:v>
      </x:c>
      <x:c r="D406" s="12" t="str">
        <x:v>request</x:v>
      </x:c>
      <x:c r="E406" s="12" t="str">
        <x:v>text_input</x:v>
      </x:c>
      <x:c r="F406" s="15" t="n">
        <x:v>600</x:v>
      </x:c>
      <x:c r="G406" s="17" t="n">
        <x:v>0.000001</x:v>
      </x:c>
      <x:c r="H406" s="15" t="n">
        <x:f>F406*G406</x:f>
        <x:v>0.0006</x:v>
      </x:c>
    </x:row>
    <x:row r="407" ht="34" customHeight="1">
      <x:c r="A407" s="7" t="str">
        <x:v>DP3-B-R1</x:v>
      </x:c>
      <x:c r="B407" s="7" t="str">
        <x:v>U08</x:v>
      </x:c>
      <x:c r="C407" s="7" t="str">
        <x:v>meaning</x:v>
      </x:c>
      <x:c r="D407" s="7" t="str">
        <x:v>request</x:v>
      </x:c>
      <x:c r="E407" s="7" t="str">
        <x:v>text_output</x:v>
      </x:c>
      <x:c r="F407" s="16" t="n">
        <x:v>64</x:v>
      </x:c>
      <x:c r="G407" s="18" t="n">
        <x:v>0.000004</x:v>
      </x:c>
      <x:c r="H407" s="16" t="n">
        <x:f>F407*G407</x:f>
        <x:v>0.000256</x:v>
      </x:c>
    </x:row>
    <x:row r="408" ht="34" customHeight="1">
      <x:c r="A408" s="12" t="str">
        <x:v>DP3-B-R1</x:v>
      </x:c>
      <x:c r="B408" s="12" t="str">
        <x:v>U08</x:v>
      </x:c>
      <x:c r="C408" s="12" t="str">
        <x:v>long_work</x:v>
      </x:c>
      <x:c r="D408" s="12" t="str">
        <x:v>request</x:v>
      </x:c>
      <x:c r="E408" s="12" t="str">
        <x:v>text_input</x:v>
      </x:c>
      <x:c r="F408" s="15" t="n">
        <x:v>1200</x:v>
      </x:c>
      <x:c r="G408" s="17" t="n">
        <x:v>0.000001</x:v>
      </x:c>
      <x:c r="H408" s="15" t="n">
        <x:f>F408*G408</x:f>
        <x:v>0.0012</x:v>
      </x:c>
    </x:row>
    <x:row r="409" ht="34" customHeight="1">
      <x:c r="A409" s="7" t="str">
        <x:v>DP3-B-R1</x:v>
      </x:c>
      <x:c r="B409" s="7" t="str">
        <x:v>U08</x:v>
      </x:c>
      <x:c r="C409" s="7" t="str">
        <x:v>long_work</x:v>
      </x:c>
      <x:c r="D409" s="7" t="str">
        <x:v>request</x:v>
      </x:c>
      <x:c r="E409" s="7" t="str">
        <x:v>text_output</x:v>
      </x:c>
      <x:c r="F409" s="16" t="n">
        <x:v>96</x:v>
      </x:c>
      <x:c r="G409" s="18" t="n">
        <x:v>0.000004</x:v>
      </x:c>
      <x:c r="H409" s="16" t="n">
        <x:f>F409*G409</x:f>
        <x:v>0.000384</x:v>
      </x:c>
    </x:row>
    <x:row r="410" ht="34" customHeight="1">
      <x:c r="A410" s="12" t="str">
        <x:v>DP3-B-R1</x:v>
      </x:c>
      <x:c r="B410" s="12" t="str">
        <x:v>U08</x:v>
      </x:c>
      <x:c r="C410" s="12" t="str">
        <x:v>response_audio</x:v>
      </x:c>
      <x:c r="D410" s="12" t="str">
        <x:v>request</x:v>
      </x:c>
      <x:c r="E410" s="12" t="str">
        <x:v>text_input</x:v>
      </x:c>
      <x:c r="F410" s="15" t="n">
        <x:v>48</x:v>
      </x:c>
      <x:c r="G410" s="17" t="n">
        <x:v>0.000001</x:v>
      </x:c>
      <x:c r="H410" s="15" t="n">
        <x:f>F410*G410</x:f>
        <x:v>0.000048</x:v>
      </x:c>
    </x:row>
    <x:row r="411" ht="34" customHeight="1">
      <x:c r="A411" s="7" t="str">
        <x:v>DP3-B-R1</x:v>
      </x:c>
      <x:c r="B411" s="7" t="str">
        <x:v>U08</x:v>
      </x:c>
      <x:c r="C411" s="7" t="str">
        <x:v>response_audio</x:v>
      </x:c>
      <x:c r="D411" s="7" t="str">
        <x:v>request</x:v>
      </x:c>
      <x:c r="E411" s="7" t="str">
        <x:v>audio_output</x:v>
      </x:c>
      <x:c r="F411" s="16" t="n">
        <x:v>6</x:v>
      </x:c>
      <x:c r="G411" s="18" t="n">
        <x:v>0.002</x:v>
      </x:c>
      <x:c r="H411" s="16" t="n">
        <x:f>F411*G411</x:f>
        <x:v>0.012</x:v>
      </x:c>
    </x:row>
    <x:row r="412" ht="34" customHeight="1">
      <x:c r="A412" s="12" t="str">
        <x:v>DP3-B-R1</x:v>
      </x:c>
      <x:c r="B412" s="12" t="str">
        <x:v>U08</x:v>
      </x:c>
      <x:c r="C412" s="12" t="str">
        <x:v>intent_audio</x:v>
      </x:c>
      <x:c r="D412" s="12" t="str">
        <x:v>request</x:v>
      </x:c>
      <x:c r="E412" s="12" t="str">
        <x:v>text_input</x:v>
      </x:c>
      <x:c r="F412" s="15" t="n">
        <x:v>24</x:v>
      </x:c>
      <x:c r="G412" s="17" t="n">
        <x:v>0.000001</x:v>
      </x:c>
      <x:c r="H412" s="15" t="n">
        <x:f>F412*G412</x:f>
        <x:v>0.000024</x:v>
      </x:c>
    </x:row>
    <x:row r="413" ht="34" customHeight="1">
      <x:c r="A413" s="7" t="str">
        <x:v>DP3-B-R1</x:v>
      </x:c>
      <x:c r="B413" s="7" t="str">
        <x:v>U08</x:v>
      </x:c>
      <x:c r="C413" s="7" t="str">
        <x:v>intent_audio</x:v>
      </x:c>
      <x:c r="D413" s="7" t="str">
        <x:v>request</x:v>
      </x:c>
      <x:c r="E413" s="7" t="str">
        <x:v>audio_output</x:v>
      </x:c>
      <x:c r="F413" s="16" t="n">
        <x:v>3</x:v>
      </x:c>
      <x:c r="G413" s="18" t="n">
        <x:v>0.002</x:v>
      </x:c>
      <x:c r="H413" s="16" t="n">
        <x:f>F413*G413</x:f>
        <x:v>0.006</x:v>
      </x:c>
    </x:row>
    <x:row r="414" ht="34" customHeight="1">
      <x:c r="A414" s="12" t="str">
        <x:v>DP3-B-R1</x:v>
      </x:c>
      <x:c r="B414" s="12" t="str">
        <x:v>U09</x:v>
      </x:c>
      <x:c r="C414" s="12" t="str">
        <x:v>meaning</x:v>
      </x:c>
      <x:c r="D414" s="12" t="str">
        <x:v>request</x:v>
      </x:c>
      <x:c r="E414" s="12" t="str">
        <x:v>text_input</x:v>
      </x:c>
      <x:c r="F414" s="15" t="n">
        <x:v>600</x:v>
      </x:c>
      <x:c r="G414" s="17" t="n">
        <x:v>0.000001</x:v>
      </x:c>
      <x:c r="H414" s="15" t="n">
        <x:f>F414*G414</x:f>
        <x:v>0.0006</x:v>
      </x:c>
    </x:row>
    <x:row r="415" ht="34" customHeight="1">
      <x:c r="A415" s="7" t="str">
        <x:v>DP3-B-R1</x:v>
      </x:c>
      <x:c r="B415" s="7" t="str">
        <x:v>U09</x:v>
      </x:c>
      <x:c r="C415" s="7" t="str">
        <x:v>meaning</x:v>
      </x:c>
      <x:c r="D415" s="7" t="str">
        <x:v>request</x:v>
      </x:c>
      <x:c r="E415" s="7" t="str">
        <x:v>text_output</x:v>
      </x:c>
      <x:c r="F415" s="16" t="n">
        <x:v>64</x:v>
      </x:c>
      <x:c r="G415" s="18" t="n">
        <x:v>0.000004</x:v>
      </x:c>
      <x:c r="H415" s="16" t="n">
        <x:f>F415*G415</x:f>
        <x:v>0.000256</x:v>
      </x:c>
    </x:row>
    <x:row r="416" ht="34" customHeight="1">
      <x:c r="A416" s="12" t="str">
        <x:v>DP3-B-R1</x:v>
      </x:c>
      <x:c r="B416" s="12" t="str">
        <x:v>U09</x:v>
      </x:c>
      <x:c r="C416" s="12" t="str">
        <x:v>response_audio</x:v>
      </x:c>
      <x:c r="D416" s="12" t="str">
        <x:v>request</x:v>
      </x:c>
      <x:c r="E416" s="12" t="str">
        <x:v>text_input</x:v>
      </x:c>
      <x:c r="F416" s="15" t="n">
        <x:v>48</x:v>
      </x:c>
      <x:c r="G416" s="17" t="n">
        <x:v>0.000001</x:v>
      </x:c>
      <x:c r="H416" s="15" t="n">
        <x:f>F416*G416</x:f>
        <x:v>0.000048</x:v>
      </x:c>
    </x:row>
    <x:row r="417" ht="34" customHeight="1">
      <x:c r="A417" s="7" t="str">
        <x:v>DP3-B-R1</x:v>
      </x:c>
      <x:c r="B417" s="7" t="str">
        <x:v>U09</x:v>
      </x:c>
      <x:c r="C417" s="7" t="str">
        <x:v>response_audio</x:v>
      </x:c>
      <x:c r="D417" s="7" t="str">
        <x:v>request</x:v>
      </x:c>
      <x:c r="E417" s="7" t="str">
        <x:v>audio_output</x:v>
      </x:c>
      <x:c r="F417" s="16" t="n">
        <x:v>6</x:v>
      </x:c>
      <x:c r="G417" s="18" t="n">
        <x:v>0.002</x:v>
      </x:c>
      <x:c r="H417" s="16" t="n">
        <x:f>F417*G417</x:f>
        <x:v>0.012</x:v>
      </x:c>
    </x:row>
    <x:row r="418" ht="34" customHeight="1">
      <x:c r="A418" s="12" t="str">
        <x:v>DP3-B-R1</x:v>
      </x:c>
      <x:c r="B418" s="12" t="str">
        <x:v>U09</x:v>
      </x:c>
      <x:c r="C418" s="12" t="str">
        <x:v>intent_audio</x:v>
      </x:c>
      <x:c r="D418" s="12" t="str">
        <x:v>request</x:v>
      </x:c>
      <x:c r="E418" s="12" t="str">
        <x:v>text_input</x:v>
      </x:c>
      <x:c r="F418" s="15" t="n">
        <x:v>24</x:v>
      </x:c>
      <x:c r="G418" s="17" t="n">
        <x:v>0.000001</x:v>
      </x:c>
      <x:c r="H418" s="15" t="n">
        <x:f>F418*G418</x:f>
        <x:v>0.000024</x:v>
      </x:c>
    </x:row>
    <x:row r="419" ht="34" customHeight="1">
      <x:c r="A419" s="7" t="str">
        <x:v>DP3-B-R1</x:v>
      </x:c>
      <x:c r="B419" s="7" t="str">
        <x:v>U09</x:v>
      </x:c>
      <x:c r="C419" s="7" t="str">
        <x:v>intent_audio</x:v>
      </x:c>
      <x:c r="D419" s="7" t="str">
        <x:v>request</x:v>
      </x:c>
      <x:c r="E419" s="7" t="str">
        <x:v>audio_output</x:v>
      </x:c>
      <x:c r="F419" s="16" t="n">
        <x:v>3</x:v>
      </x:c>
      <x:c r="G419" s="18" t="n">
        <x:v>0.002</x:v>
      </x:c>
      <x:c r="H419" s="16" t="n">
        <x:f>F419*G419</x:f>
        <x:v>0.006</x:v>
      </x:c>
    </x:row>
    <x:row r="420" ht="34" customHeight="1">
      <x:c r="A420" s="12" t="str">
        <x:v>DP3-B-R1</x:v>
      </x:c>
      <x:c r="B420" s="12" t="str">
        <x:v>U09</x:v>
      </x:c>
      <x:c r="C420" s="12" t="str">
        <x:v>input_end</x:v>
      </x:c>
      <x:c r="D420" s="12" t="str">
        <x:v>input</x:v>
      </x:c>
      <x:c r="E420" s="12" t="str">
        <x:v>audio_input</x:v>
      </x:c>
      <x:c r="F420" s="15" t="n">
        <x:v>3</x:v>
      </x:c>
      <x:c r="G420" s="17" t="n">
        <x:v>0.001</x:v>
      </x:c>
      <x:c r="H420" s="15" t="n">
        <x:f>F420*G420</x:f>
        <x:v>0.003</x:v>
      </x:c>
    </x:row>
    <x:row r="421" ht="34" customHeight="1">
      <x:c r="A421" s="7" t="str">
        <x:v>DP3-B-R1</x:v>
      </x:c>
      <x:c r="B421" s="7" t="str">
        <x:v>U10</x:v>
      </x:c>
      <x:c r="C421" s="7" t="str">
        <x:v>meaning</x:v>
      </x:c>
      <x:c r="D421" s="7" t="str">
        <x:v>request</x:v>
      </x:c>
      <x:c r="E421" s="7" t="str">
        <x:v>text_input</x:v>
      </x:c>
      <x:c r="F421" s="16" t="n">
        <x:v>1120</x:v>
      </x:c>
      <x:c r="G421" s="18" t="n">
        <x:v>0.000001</x:v>
      </x:c>
      <x:c r="H421" s="16" t="n">
        <x:f>F421*G421</x:f>
        <x:v>0.00112</x:v>
      </x:c>
    </x:row>
    <x:row r="422" ht="34" customHeight="1">
      <x:c r="A422" s="12" t="str">
        <x:v>DP3-B-R1</x:v>
      </x:c>
      <x:c r="B422" s="12" t="str">
        <x:v>U10</x:v>
      </x:c>
      <x:c r="C422" s="12" t="str">
        <x:v>meaning</x:v>
      </x:c>
      <x:c r="D422" s="12" t="str">
        <x:v>request</x:v>
      </x:c>
      <x:c r="E422" s="12" t="str">
        <x:v>text_output</x:v>
      </x:c>
      <x:c r="F422" s="15" t="n">
        <x:v>64</x:v>
      </x:c>
      <x:c r="G422" s="17" t="n">
        <x:v>0.000004</x:v>
      </x:c>
      <x:c r="H422" s="15" t="n">
        <x:f>F422*G422</x:f>
        <x:v>0.000256</x:v>
      </x:c>
    </x:row>
    <x:row r="423" ht="34" customHeight="1">
      <x:c r="A423" s="7" t="str">
        <x:v>DP3-B-R1</x:v>
      </x:c>
      <x:c r="B423" s="7" t="str">
        <x:v>U10</x:v>
      </x:c>
      <x:c r="C423" s="7" t="str">
        <x:v>response_audio</x:v>
      </x:c>
      <x:c r="D423" s="7" t="str">
        <x:v>request</x:v>
      </x:c>
      <x:c r="E423" s="7" t="str">
        <x:v>text_input</x:v>
      </x:c>
      <x:c r="F423" s="16" t="n">
        <x:v>48</x:v>
      </x:c>
      <x:c r="G423" s="18" t="n">
        <x:v>0.000001</x:v>
      </x:c>
      <x:c r="H423" s="16" t="n">
        <x:f>F423*G423</x:f>
        <x:v>0.000048</x:v>
      </x:c>
    </x:row>
    <x:row r="424" ht="34" customHeight="1">
      <x:c r="A424" s="12" t="str">
        <x:v>DP3-B-R1</x:v>
      </x:c>
      <x:c r="B424" s="12" t="str">
        <x:v>U10</x:v>
      </x:c>
      <x:c r="C424" s="12" t="str">
        <x:v>response_audio</x:v>
      </x:c>
      <x:c r="D424" s="12" t="str">
        <x:v>request</x:v>
      </x:c>
      <x:c r="E424" s="12" t="str">
        <x:v>audio_output</x:v>
      </x:c>
      <x:c r="F424" s="15" t="n">
        <x:v>6</x:v>
      </x:c>
      <x:c r="G424" s="17" t="n">
        <x:v>0.002</x:v>
      </x:c>
      <x:c r="H424" s="15" t="n">
        <x:f>F424*G424</x:f>
        <x:v>0.012</x:v>
      </x:c>
    </x:row>
    <x:row r="425" ht="34" customHeight="1">
      <x:c r="A425" s="7" t="str">
        <x:v>DP3-B-R1</x:v>
      </x:c>
      <x:c r="B425" s="7" t="str">
        <x:v>U10</x:v>
      </x:c>
      <x:c r="C425" s="7" t="str">
        <x:v>intent_audio</x:v>
      </x:c>
      <x:c r="D425" s="7" t="str">
        <x:v>request</x:v>
      </x:c>
      <x:c r="E425" s="7" t="str">
        <x:v>text_input</x:v>
      </x:c>
      <x:c r="F425" s="16" t="n">
        <x:v>24</x:v>
      </x:c>
      <x:c r="G425" s="18" t="n">
        <x:v>0.000001</x:v>
      </x:c>
      <x:c r="H425" s="16" t="n">
        <x:f>F425*G425</x:f>
        <x:v>0.000024</x:v>
      </x:c>
    </x:row>
    <x:row r="426" ht="34" customHeight="1">
      <x:c r="A426" s="12" t="str">
        <x:v>DP3-B-R1</x:v>
      </x:c>
      <x:c r="B426" s="12" t="str">
        <x:v>U10</x:v>
      </x:c>
      <x:c r="C426" s="12" t="str">
        <x:v>intent_audio</x:v>
      </x:c>
      <x:c r="D426" s="12" t="str">
        <x:v>request</x:v>
      </x:c>
      <x:c r="E426" s="12" t="str">
        <x:v>audio_output</x:v>
      </x:c>
      <x:c r="F426" s="15" t="n">
        <x:v>3</x:v>
      </x:c>
      <x:c r="G426" s="17" t="n">
        <x:v>0.002</x:v>
      </x:c>
      <x:c r="H426" s="15" t="n">
        <x:f>F426*G426</x:f>
        <x:v>0.006</x:v>
      </x:c>
    </x:row>
    <x:row r="427" ht="34" customHeight="1">
      <x:c r="A427" s="7" t="str">
        <x:v>DP3-B-R1</x:v>
      </x:c>
      <x:c r="B427" s="7" t="str">
        <x:v>U10</x:v>
      </x:c>
      <x:c r="C427" s="7" t="str">
        <x:v>input_end</x:v>
      </x:c>
      <x:c r="D427" s="7" t="str">
        <x:v>input</x:v>
      </x:c>
      <x:c r="E427" s="7" t="str">
        <x:v>audio_input</x:v>
      </x:c>
      <x:c r="F427" s="16" t="n">
        <x:v>3</x:v>
      </x:c>
      <x:c r="G427" s="18" t="n">
        <x:v>0.001</x:v>
      </x:c>
      <x:c r="H427" s="16" t="n">
        <x:f>F427*G427</x:f>
        <x:v>0.003</x:v>
      </x:c>
    </x:row>
    <x:row r="428" ht="34" customHeight="1">
      <x:c r="A428" s="12" t="str">
        <x:v>DP3-B-R1</x:v>
      </x:c>
      <x:c r="B428" s="12" t="str">
        <x:v>U11</x:v>
      </x:c>
      <x:c r="C428" s="12" t="str">
        <x:v>expand_need</x:v>
      </x:c>
      <x:c r="D428" s="12" t="str">
        <x:v>request</x:v>
      </x:c>
      <x:c r="E428" s="12" t="str">
        <x:v>text_input</x:v>
      </x:c>
      <x:c r="F428" s="15" t="n">
        <x:v>1640</x:v>
      </x:c>
      <x:c r="G428" s="17" t="n">
        <x:v>0.000001</x:v>
      </x:c>
      <x:c r="H428" s="15" t="n">
        <x:f>F428*G428</x:f>
        <x:v>0.00164</x:v>
      </x:c>
    </x:row>
    <x:row r="429" ht="34" customHeight="1">
      <x:c r="A429" s="7" t="str">
        <x:v>DP3-B-R1</x:v>
      </x:c>
      <x:c r="B429" s="7" t="str">
        <x:v>U11</x:v>
      </x:c>
      <x:c r="C429" s="7" t="str">
        <x:v>expand_need</x:v>
      </x:c>
      <x:c r="D429" s="7" t="str">
        <x:v>request</x:v>
      </x:c>
      <x:c r="E429" s="7" t="str">
        <x:v>text_output</x:v>
      </x:c>
      <x:c r="F429" s="16" t="n">
        <x:v>32</x:v>
      </x:c>
      <x:c r="G429" s="18" t="n">
        <x:v>0.000004</x:v>
      </x:c>
      <x:c r="H429" s="16" t="n">
        <x:f>F429*G429</x:f>
        <x:v>0.000128</x:v>
      </x:c>
    </x:row>
    <x:row r="430" ht="34" customHeight="1">
      <x:c r="A430" s="12" t="str">
        <x:v>DP3-B-R1</x:v>
      </x:c>
      <x:c r="B430" s="12" t="str">
        <x:v>U11</x:v>
      </x:c>
      <x:c r="C430" s="12" t="str">
        <x:v>meaning</x:v>
      </x:c>
      <x:c r="D430" s="12" t="str">
        <x:v>request</x:v>
      </x:c>
      <x:c r="E430" s="12" t="str">
        <x:v>text_input</x:v>
      </x:c>
      <x:c r="F430" s="15" t="n">
        <x:v>2540</x:v>
      </x:c>
      <x:c r="G430" s="17" t="n">
        <x:v>0.000001</x:v>
      </x:c>
      <x:c r="H430" s="15" t="n">
        <x:f>F430*G430</x:f>
        <x:v>0.0025399999999999997</x:v>
      </x:c>
    </x:row>
    <x:row r="431" ht="34" customHeight="1">
      <x:c r="A431" s="7" t="str">
        <x:v>DP3-B-R1</x:v>
      </x:c>
      <x:c r="B431" s="7" t="str">
        <x:v>U11</x:v>
      </x:c>
      <x:c r="C431" s="7" t="str">
        <x:v>meaning</x:v>
      </x:c>
      <x:c r="D431" s="7" t="str">
        <x:v>request</x:v>
      </x:c>
      <x:c r="E431" s="7" t="str">
        <x:v>text_output</x:v>
      </x:c>
      <x:c r="F431" s="16" t="n">
        <x:v>64</x:v>
      </x:c>
      <x:c r="G431" s="18" t="n">
        <x:v>0.000004</x:v>
      </x:c>
      <x:c r="H431" s="16" t="n">
        <x:f>F431*G431</x:f>
        <x:v>0.000256</x:v>
      </x:c>
    </x:row>
    <x:row r="432" ht="34" customHeight="1">
      <x:c r="A432" s="12" t="str">
        <x:v>DP3-B-R1</x:v>
      </x:c>
      <x:c r="B432" s="12" t="str">
        <x:v>U11</x:v>
      </x:c>
      <x:c r="C432" s="12" t="str">
        <x:v>response_audio</x:v>
      </x:c>
      <x:c r="D432" s="12" t="str">
        <x:v>request</x:v>
      </x:c>
      <x:c r="E432" s="12" t="str">
        <x:v>text_input</x:v>
      </x:c>
      <x:c r="F432" s="15" t="n">
        <x:v>48</x:v>
      </x:c>
      <x:c r="G432" s="17" t="n">
        <x:v>0.000001</x:v>
      </x:c>
      <x:c r="H432" s="15" t="n">
        <x:f>F432*G432</x:f>
        <x:v>0.000048</x:v>
      </x:c>
    </x:row>
    <x:row r="433" ht="34" customHeight="1">
      <x:c r="A433" s="7" t="str">
        <x:v>DP3-B-R1</x:v>
      </x:c>
      <x:c r="B433" s="7" t="str">
        <x:v>U11</x:v>
      </x:c>
      <x:c r="C433" s="7" t="str">
        <x:v>response_audio</x:v>
      </x:c>
      <x:c r="D433" s="7" t="str">
        <x:v>request</x:v>
      </x:c>
      <x:c r="E433" s="7" t="str">
        <x:v>audio_output</x:v>
      </x:c>
      <x:c r="F433" s="16" t="n">
        <x:v>6</x:v>
      </x:c>
      <x:c r="G433" s="18" t="n">
        <x:v>0.002</x:v>
      </x:c>
      <x:c r="H433" s="16" t="n">
        <x:f>F433*G433</x:f>
        <x:v>0.012</x:v>
      </x:c>
    </x:row>
    <x:row r="434" ht="34" customHeight="1">
      <x:c r="A434" s="12" t="str">
        <x:v>DP3-B-R1</x:v>
      </x:c>
      <x:c r="B434" s="12" t="str">
        <x:v>U11</x:v>
      </x:c>
      <x:c r="C434" s="12" t="str">
        <x:v>intent_audio</x:v>
      </x:c>
      <x:c r="D434" s="12" t="str">
        <x:v>request</x:v>
      </x:c>
      <x:c r="E434" s="12" t="str">
        <x:v>text_input</x:v>
      </x:c>
      <x:c r="F434" s="15" t="n">
        <x:v>24</x:v>
      </x:c>
      <x:c r="G434" s="17" t="n">
        <x:v>0.000001</x:v>
      </x:c>
      <x:c r="H434" s="15" t="n">
        <x:f>F434*G434</x:f>
        <x:v>0.000024</x:v>
      </x:c>
    </x:row>
    <x:row r="435" ht="34" customHeight="1">
      <x:c r="A435" s="7" t="str">
        <x:v>DP3-B-R1</x:v>
      </x:c>
      <x:c r="B435" s="7" t="str">
        <x:v>U11</x:v>
      </x:c>
      <x:c r="C435" s="7" t="str">
        <x:v>intent_audio</x:v>
      </x:c>
      <x:c r="D435" s="7" t="str">
        <x:v>request</x:v>
      </x:c>
      <x:c r="E435" s="7" t="str">
        <x:v>audio_output</x:v>
      </x:c>
      <x:c r="F435" s="16" t="n">
        <x:v>3</x:v>
      </x:c>
      <x:c r="G435" s="18" t="n">
        <x:v>0.002</x:v>
      </x:c>
      <x:c r="H435" s="16" t="n">
        <x:f>F435*G435</x:f>
        <x:v>0.006</x:v>
      </x:c>
    </x:row>
    <x:row r="436" ht="34" customHeight="1">
      <x:c r="A436" s="12" t="str">
        <x:v>DP3-B-R1</x:v>
      </x:c>
      <x:c r="B436" s="12" t="str">
        <x:v>U11</x:v>
      </x:c>
      <x:c r="C436" s="12" t="str">
        <x:v>input_end</x:v>
      </x:c>
      <x:c r="D436" s="12" t="str">
        <x:v>input</x:v>
      </x:c>
      <x:c r="E436" s="12" t="str">
        <x:v>audio_input</x:v>
      </x:c>
      <x:c r="F436" s="15" t="n">
        <x:v>3</x:v>
      </x:c>
      <x:c r="G436" s="17" t="n">
        <x:v>0.001</x:v>
      </x:c>
      <x:c r="H436" s="15" t="n">
        <x:f>F436*G436</x:f>
        <x:v>0.003</x:v>
      </x:c>
    </x:row>
    <x:row r="437" ht="34" customHeight="1">
      <x:c r="A437" s="7" t="str">
        <x:v>DP3-B-R1</x:v>
      </x:c>
      <x:c r="B437" s="7" t="str">
        <x:v>U12</x:v>
      </x:c>
      <x:c r="C437" s="7" t="str">
        <x:v>pre_adopt</x:v>
      </x:c>
      <x:c r="D437" s="7" t="str">
        <x:v>preparation</x:v>
      </x:c>
      <x:c r="E437" s="7" t="str">
        <x:v>text_input</x:v>
      </x:c>
      <x:c r="F437" s="16" t="n">
        <x:v>1120</x:v>
      </x:c>
      <x:c r="G437" s="18" t="n">
        <x:v>0.000001</x:v>
      </x:c>
      <x:c r="H437" s="16" t="n">
        <x:f>F437*G437</x:f>
        <x:v>0.00112</x:v>
      </x:c>
    </x:row>
    <x:row r="438" ht="34" customHeight="1">
      <x:c r="A438" s="12" t="str">
        <x:v>DP3-B-R1</x:v>
      </x:c>
      <x:c r="B438" s="12" t="str">
        <x:v>U12</x:v>
      </x:c>
      <x:c r="C438" s="12" t="str">
        <x:v>pre_adopt</x:v>
      </x:c>
      <x:c r="D438" s="12" t="str">
        <x:v>preparation</x:v>
      </x:c>
      <x:c r="E438" s="12" t="str">
        <x:v>text_output</x:v>
      </x:c>
      <x:c r="F438" s="15" t="n">
        <x:v>64</x:v>
      </x:c>
      <x:c r="G438" s="17" t="n">
        <x:v>0.000004</x:v>
      </x:c>
      <x:c r="H438" s="15" t="n">
        <x:f>F438*G438</x:f>
        <x:v>0.000256</x:v>
      </x:c>
    </x:row>
    <x:row r="439" ht="34" customHeight="1">
      <x:c r="A439" s="7" t="str">
        <x:v>DP3-B-R1</x:v>
      </x:c>
      <x:c r="B439" s="7" t="str">
        <x:v>U12</x:v>
      </x:c>
      <x:c r="C439" s="7" t="str">
        <x:v>meaning</x:v>
      </x:c>
      <x:c r="D439" s="7" t="str">
        <x:v>request</x:v>
      </x:c>
      <x:c r="E439" s="7" t="str">
        <x:v>text_input</x:v>
      </x:c>
      <x:c r="F439" s="16" t="n">
        <x:v>600</x:v>
      </x:c>
      <x:c r="G439" s="18" t="n">
        <x:v>0.000001</x:v>
      </x:c>
      <x:c r="H439" s="16" t="n">
        <x:f>F439*G439</x:f>
        <x:v>0.0006</x:v>
      </x:c>
    </x:row>
    <x:row r="440" ht="34" customHeight="1">
      <x:c r="A440" s="12" t="str">
        <x:v>DP3-B-R1</x:v>
      </x:c>
      <x:c r="B440" s="12" t="str">
        <x:v>U12</x:v>
      </x:c>
      <x:c r="C440" s="12" t="str">
        <x:v>meaning</x:v>
      </x:c>
      <x:c r="D440" s="12" t="str">
        <x:v>request</x:v>
      </x:c>
      <x:c r="E440" s="12" t="str">
        <x:v>text_output</x:v>
      </x:c>
      <x:c r="F440" s="15" t="n">
        <x:v>64</x:v>
      </x:c>
      <x:c r="G440" s="17" t="n">
        <x:v>0.000004</x:v>
      </x:c>
      <x:c r="H440" s="15" t="n">
        <x:f>F440*G440</x:f>
        <x:v>0.000256</x:v>
      </x:c>
    </x:row>
    <x:row r="441" ht="34" customHeight="1">
      <x:c r="A441" s="7" t="str">
        <x:v>DP3-B-R1</x:v>
      </x:c>
      <x:c r="B441" s="7" t="str">
        <x:v>U12</x:v>
      </x:c>
      <x:c r="C441" s="7" t="str">
        <x:v>response_audio</x:v>
      </x:c>
      <x:c r="D441" s="7" t="str">
        <x:v>request</x:v>
      </x:c>
      <x:c r="E441" s="7" t="str">
        <x:v>text_input</x:v>
      </x:c>
      <x:c r="F441" s="16" t="n">
        <x:v>48</x:v>
      </x:c>
      <x:c r="G441" s="18" t="n">
        <x:v>0.000001</x:v>
      </x:c>
      <x:c r="H441" s="16" t="n">
        <x:f>F441*G441</x:f>
        <x:v>0.000048</x:v>
      </x:c>
    </x:row>
    <x:row r="442" ht="34" customHeight="1">
      <x:c r="A442" s="12" t="str">
        <x:v>DP3-B-R1</x:v>
      </x:c>
      <x:c r="B442" s="12" t="str">
        <x:v>U12</x:v>
      </x:c>
      <x:c r="C442" s="12" t="str">
        <x:v>response_audio</x:v>
      </x:c>
      <x:c r="D442" s="12" t="str">
        <x:v>request</x:v>
      </x:c>
      <x:c r="E442" s="12" t="str">
        <x:v>audio_output</x:v>
      </x:c>
      <x:c r="F442" s="15" t="n">
        <x:v>6</x:v>
      </x:c>
      <x:c r="G442" s="17" t="n">
        <x:v>0.002</x:v>
      </x:c>
      <x:c r="H442" s="15" t="n">
        <x:f>F442*G442</x:f>
        <x:v>0.012</x:v>
      </x:c>
    </x:row>
    <x:row r="443" ht="34" customHeight="1">
      <x:c r="A443" s="7" t="str">
        <x:v>DP3-B-R1</x:v>
      </x:c>
      <x:c r="B443" s="7" t="str">
        <x:v>U12</x:v>
      </x:c>
      <x:c r="C443" s="7" t="str">
        <x:v>intent_audio</x:v>
      </x:c>
      <x:c r="D443" s="7" t="str">
        <x:v>request</x:v>
      </x:c>
      <x:c r="E443" s="7" t="str">
        <x:v>text_input</x:v>
      </x:c>
      <x:c r="F443" s="16" t="n">
        <x:v>24</x:v>
      </x:c>
      <x:c r="G443" s="18" t="n">
        <x:v>0.000001</x:v>
      </x:c>
      <x:c r="H443" s="16" t="n">
        <x:f>F443*G443</x:f>
        <x:v>0.000024</x:v>
      </x:c>
    </x:row>
    <x:row r="444" ht="34" customHeight="1">
      <x:c r="A444" s="12" t="str">
        <x:v>DP3-B-R1</x:v>
      </x:c>
      <x:c r="B444" s="12" t="str">
        <x:v>U12</x:v>
      </x:c>
      <x:c r="C444" s="12" t="str">
        <x:v>intent_audio</x:v>
      </x:c>
      <x:c r="D444" s="12" t="str">
        <x:v>request</x:v>
      </x:c>
      <x:c r="E444" s="12" t="str">
        <x:v>audio_output</x:v>
      </x:c>
      <x:c r="F444" s="15" t="n">
        <x:v>3</x:v>
      </x:c>
      <x:c r="G444" s="17" t="n">
        <x:v>0.002</x:v>
      </x:c>
      <x:c r="H444" s="15" t="n">
        <x:f>F444*G444</x:f>
        <x:v>0.006</x:v>
      </x:c>
    </x:row>
    <x:row r="445" ht="34" customHeight="1">
      <x:c r="A445" s="7" t="str">
        <x:v>DP3-B-R1</x:v>
      </x:c>
      <x:c r="B445" s="7" t="str">
        <x:v>U12</x:v>
      </x:c>
      <x:c r="C445" s="7" t="str">
        <x:v>input_end</x:v>
      </x:c>
      <x:c r="D445" s="7" t="str">
        <x:v>input</x:v>
      </x:c>
      <x:c r="E445" s="7" t="str">
        <x:v>audio_input</x:v>
      </x:c>
      <x:c r="F445" s="16" t="n">
        <x:v>3</x:v>
      </x:c>
      <x:c r="G445" s="18" t="n">
        <x:v>0.001</x:v>
      </x:c>
      <x:c r="H445" s="16" t="n">
        <x:f>F445*G445</x:f>
        <x:v>0.003</x:v>
      </x:c>
    </x:row>
    <x:row r="446" ht="34" customHeight="1">
      <x:c r="A446" s="12" t="str">
        <x:v>DP3-B-R1</x:v>
      </x:c>
      <x:c r="B446" s="12" t="str">
        <x:v>U13</x:v>
      </x:c>
      <x:c r="C446" s="12" t="str">
        <x:v>meaning</x:v>
      </x:c>
      <x:c r="D446" s="12" t="str">
        <x:v>request</x:v>
      </x:c>
      <x:c r="E446" s="12" t="str">
        <x:v>text_input</x:v>
      </x:c>
      <x:c r="F446" s="15" t="n">
        <x:v>600</x:v>
      </x:c>
      <x:c r="G446" s="17" t="n">
        <x:v>0.000001</x:v>
      </x:c>
      <x:c r="H446" s="15" t="n">
        <x:f>F446*G446</x:f>
        <x:v>0.0006</x:v>
      </x:c>
    </x:row>
    <x:row r="447" ht="34" customHeight="1">
      <x:c r="A447" s="7" t="str">
        <x:v>DP3-B-R1</x:v>
      </x:c>
      <x:c r="B447" s="7" t="str">
        <x:v>U13</x:v>
      </x:c>
      <x:c r="C447" s="7" t="str">
        <x:v>meaning</x:v>
      </x:c>
      <x:c r="D447" s="7" t="str">
        <x:v>request</x:v>
      </x:c>
      <x:c r="E447" s="7" t="str">
        <x:v>text_output</x:v>
      </x:c>
      <x:c r="F447" s="16" t="n">
        <x:v>64</x:v>
      </x:c>
      <x:c r="G447" s="18" t="n">
        <x:v>0.000004</x:v>
      </x:c>
      <x:c r="H447" s="16" t="n">
        <x:f>F447*G447</x:f>
        <x:v>0.000256</x:v>
      </x:c>
    </x:row>
    <x:row r="448" ht="34" customHeight="1">
      <x:c r="A448" s="12" t="str">
        <x:v>DP3-B-R1</x:v>
      </x:c>
      <x:c r="B448" s="12" t="str">
        <x:v>U13</x:v>
      </x:c>
      <x:c r="C448" s="12" t="str">
        <x:v>response_audio</x:v>
      </x:c>
      <x:c r="D448" s="12" t="str">
        <x:v>request</x:v>
      </x:c>
      <x:c r="E448" s="12" t="str">
        <x:v>text_input</x:v>
      </x:c>
      <x:c r="F448" s="15" t="n">
        <x:v>48</x:v>
      </x:c>
      <x:c r="G448" s="17" t="n">
        <x:v>0.000001</x:v>
      </x:c>
      <x:c r="H448" s="15" t="n">
        <x:f>F448*G448</x:f>
        <x:v>0.000048</x:v>
      </x:c>
    </x:row>
    <x:row r="449" ht="34" customHeight="1">
      <x:c r="A449" s="7" t="str">
        <x:v>DP3-B-R1</x:v>
      </x:c>
      <x:c r="B449" s="7" t="str">
        <x:v>U13</x:v>
      </x:c>
      <x:c r="C449" s="7" t="str">
        <x:v>response_audio</x:v>
      </x:c>
      <x:c r="D449" s="7" t="str">
        <x:v>request</x:v>
      </x:c>
      <x:c r="E449" s="7" t="str">
        <x:v>audio_output</x:v>
      </x:c>
      <x:c r="F449" s="16" t="n">
        <x:v>6</x:v>
      </x:c>
      <x:c r="G449" s="18" t="n">
        <x:v>0.002</x:v>
      </x:c>
      <x:c r="H449" s="16" t="n">
        <x:f>F449*G449</x:f>
        <x:v>0.012</x:v>
      </x:c>
    </x:row>
    <x:row r="450" ht="34" customHeight="1">
      <x:c r="A450" s="12" t="str">
        <x:v>DP3-B-R1</x:v>
      </x:c>
      <x:c r="B450" s="12" t="str">
        <x:v>U13</x:v>
      </x:c>
      <x:c r="C450" s="12" t="str">
        <x:v>intent_audio</x:v>
      </x:c>
      <x:c r="D450" s="12" t="str">
        <x:v>request</x:v>
      </x:c>
      <x:c r="E450" s="12" t="str">
        <x:v>text_input</x:v>
      </x:c>
      <x:c r="F450" s="15" t="n">
        <x:v>24</x:v>
      </x:c>
      <x:c r="G450" s="17" t="n">
        <x:v>0.000001</x:v>
      </x:c>
      <x:c r="H450" s="15" t="n">
        <x:f>F450*G450</x:f>
        <x:v>0.000024</x:v>
      </x:c>
    </x:row>
    <x:row r="451" ht="34" customHeight="1">
      <x:c r="A451" s="7" t="str">
        <x:v>DP3-B-R1</x:v>
      </x:c>
      <x:c r="B451" s="7" t="str">
        <x:v>U13</x:v>
      </x:c>
      <x:c r="C451" s="7" t="str">
        <x:v>intent_audio</x:v>
      </x:c>
      <x:c r="D451" s="7" t="str">
        <x:v>request</x:v>
      </x:c>
      <x:c r="E451" s="7" t="str">
        <x:v>audio_output</x:v>
      </x:c>
      <x:c r="F451" s="16" t="n">
        <x:v>3</x:v>
      </x:c>
      <x:c r="G451" s="18" t="n">
        <x:v>0.002</x:v>
      </x:c>
      <x:c r="H451" s="16" t="n">
        <x:f>F451*G451</x:f>
        <x:v>0.006</x:v>
      </x:c>
    </x:row>
    <x:row r="452" ht="34" customHeight="1">
      <x:c r="A452" s="12" t="str">
        <x:v>DP3-B-R1</x:v>
      </x:c>
      <x:c r="B452" s="12" t="str">
        <x:v>U14</x:v>
      </x:c>
      <x:c r="C452" s="12" t="str">
        <x:v>meaning</x:v>
      </x:c>
      <x:c r="D452" s="12" t="str">
        <x:v>request</x:v>
      </x:c>
      <x:c r="E452" s="12" t="str">
        <x:v>text_input</x:v>
      </x:c>
      <x:c r="F452" s="15" t="n">
        <x:v>3000</x:v>
      </x:c>
      <x:c r="G452" s="17" t="n">
        <x:v>0.000001</x:v>
      </x:c>
      <x:c r="H452" s="15" t="n">
        <x:f>F452*G452</x:f>
        <x:v>0.003</x:v>
      </x:c>
    </x:row>
    <x:row r="453" ht="34" customHeight="1">
      <x:c r="A453" s="7" t="str">
        <x:v>DP3-B-R1</x:v>
      </x:c>
      <x:c r="B453" s="7" t="str">
        <x:v>U14</x:v>
      </x:c>
      <x:c r="C453" s="7" t="str">
        <x:v>meaning</x:v>
      </x:c>
      <x:c r="D453" s="7" t="str">
        <x:v>request</x:v>
      </x:c>
      <x:c r="E453" s="7" t="str">
        <x:v>text_output</x:v>
      </x:c>
      <x:c r="F453" s="16" t="n">
        <x:v>64</x:v>
      </x:c>
      <x:c r="G453" s="18" t="n">
        <x:v>0.000004</x:v>
      </x:c>
      <x:c r="H453" s="16" t="n">
        <x:f>F453*G453</x:f>
        <x:v>0.000256</x:v>
      </x:c>
    </x:row>
    <x:row r="454" ht="34" customHeight="1">
      <x:c r="A454" s="12" t="str">
        <x:v>DP3-B-R1</x:v>
      </x:c>
      <x:c r="B454" s="12" t="str">
        <x:v>U14</x:v>
      </x:c>
      <x:c r="C454" s="12" t="str">
        <x:v>response_audio</x:v>
      </x:c>
      <x:c r="D454" s="12" t="str">
        <x:v>request</x:v>
      </x:c>
      <x:c r="E454" s="12" t="str">
        <x:v>text_input</x:v>
      </x:c>
      <x:c r="F454" s="15" t="n">
        <x:v>48</x:v>
      </x:c>
      <x:c r="G454" s="17" t="n">
        <x:v>0.000001</x:v>
      </x:c>
      <x:c r="H454" s="15" t="n">
        <x:f>F454*G454</x:f>
        <x:v>0.000048</x:v>
      </x:c>
    </x:row>
    <x:row r="455" ht="34" customHeight="1">
      <x:c r="A455" s="7" t="str">
        <x:v>DP3-B-R1</x:v>
      </x:c>
      <x:c r="B455" s="7" t="str">
        <x:v>U14</x:v>
      </x:c>
      <x:c r="C455" s="7" t="str">
        <x:v>response_audio</x:v>
      </x:c>
      <x:c r="D455" s="7" t="str">
        <x:v>request</x:v>
      </x:c>
      <x:c r="E455" s="7" t="str">
        <x:v>audio_output</x:v>
      </x:c>
      <x:c r="F455" s="16" t="n">
        <x:v>6</x:v>
      </x:c>
      <x:c r="G455" s="18" t="n">
        <x:v>0.002</x:v>
      </x:c>
      <x:c r="H455" s="16" t="n">
        <x:f>F455*G455</x:f>
        <x:v>0.012</x:v>
      </x:c>
    </x:row>
    <x:row r="456" ht="34" customHeight="1">
      <x:c r="A456" s="12" t="str">
        <x:v>DP3-B-R1</x:v>
      </x:c>
      <x:c r="B456" s="12" t="str">
        <x:v>U14</x:v>
      </x:c>
      <x:c r="C456" s="12" t="str">
        <x:v>intent_audio</x:v>
      </x:c>
      <x:c r="D456" s="12" t="str">
        <x:v>request</x:v>
      </x:c>
      <x:c r="E456" s="12" t="str">
        <x:v>text_input</x:v>
      </x:c>
      <x:c r="F456" s="15" t="n">
        <x:v>24</x:v>
      </x:c>
      <x:c r="G456" s="17" t="n">
        <x:v>0.000001</x:v>
      </x:c>
      <x:c r="H456" s="15" t="n">
        <x:f>F456*G456</x:f>
        <x:v>0.000024</x:v>
      </x:c>
    </x:row>
    <x:row r="457" ht="34" customHeight="1">
      <x:c r="A457" s="7" t="str">
        <x:v>DP3-B-R1</x:v>
      </x:c>
      <x:c r="B457" s="7" t="str">
        <x:v>U14</x:v>
      </x:c>
      <x:c r="C457" s="7" t="str">
        <x:v>intent_audio</x:v>
      </x:c>
      <x:c r="D457" s="7" t="str">
        <x:v>request</x:v>
      </x:c>
      <x:c r="E457" s="7" t="str">
        <x:v>audio_output</x:v>
      </x:c>
      <x:c r="F457" s="16" t="n">
        <x:v>3</x:v>
      </x:c>
      <x:c r="G457" s="18" t="n">
        <x:v>0.002</x:v>
      </x:c>
      <x:c r="H457" s="16" t="n">
        <x:f>F457*G457</x:f>
        <x:v>0.006</x:v>
      </x:c>
    </x:row>
    <x:row r="458" ht="34" customHeight="1">
      <x:c r="A458" s="12" t="str">
        <x:v>DP3-B-R1</x:v>
      </x:c>
      <x:c r="B458" s="12" t="str">
        <x:v>U14</x:v>
      </x:c>
      <x:c r="C458" s="12" t="str">
        <x:v>input_end</x:v>
      </x:c>
      <x:c r="D458" s="12" t="str">
        <x:v>input</x:v>
      </x:c>
      <x:c r="E458" s="12" t="str">
        <x:v>audio_input</x:v>
      </x:c>
      <x:c r="F458" s="15" t="n">
        <x:v>3</x:v>
      </x:c>
      <x:c r="G458" s="17" t="n">
        <x:v>0.001</x:v>
      </x:c>
      <x:c r="H458" s="15" t="n">
        <x:f>F458*G458</x:f>
        <x:v>0.003</x:v>
      </x:c>
    </x:row>
    <x:row r="459" ht="34" customHeight="1">
      <x:c r="A459" s="7" t="str">
        <x:v>DP3-B-R1</x:v>
      </x:c>
      <x:c r="B459" s="7" t="str">
        <x:v>U15</x:v>
      </x:c>
      <x:c r="C459" s="7" t="str">
        <x:v>meaning</x:v>
      </x:c>
      <x:c r="D459" s="7" t="str">
        <x:v>request</x:v>
      </x:c>
      <x:c r="E459" s="7" t="str">
        <x:v>text_input</x:v>
      </x:c>
      <x:c r="F459" s="16" t="n">
        <x:v>600</x:v>
      </x:c>
      <x:c r="G459" s="18" t="n">
        <x:v>0.000001</x:v>
      </x:c>
      <x:c r="H459" s="16" t="n">
        <x:f>F459*G459</x:f>
        <x:v>0.0006</x:v>
      </x:c>
    </x:row>
    <x:row r="460" ht="34" customHeight="1">
      <x:c r="A460" s="12" t="str">
        <x:v>DP3-B-R1</x:v>
      </x:c>
      <x:c r="B460" s="12" t="str">
        <x:v>U15</x:v>
      </x:c>
      <x:c r="C460" s="12" t="str">
        <x:v>meaning</x:v>
      </x:c>
      <x:c r="D460" s="12" t="str">
        <x:v>request</x:v>
      </x:c>
      <x:c r="E460" s="12" t="str">
        <x:v>text_output</x:v>
      </x:c>
      <x:c r="F460" s="15" t="n">
        <x:v>64</x:v>
      </x:c>
      <x:c r="G460" s="17" t="n">
        <x:v>0.000004</x:v>
      </x:c>
      <x:c r="H460" s="15" t="n">
        <x:f>F460*G460</x:f>
        <x:v>0.000256</x:v>
      </x:c>
    </x:row>
    <x:row r="461" ht="34" customHeight="1">
      <x:c r="A461" s="7" t="str">
        <x:v>DP3-B-R1</x:v>
      </x:c>
      <x:c r="B461" s="7" t="str">
        <x:v>U15</x:v>
      </x:c>
      <x:c r="C461" s="7" t="str">
        <x:v>response_audio</x:v>
      </x:c>
      <x:c r="D461" s="7" t="str">
        <x:v>request</x:v>
      </x:c>
      <x:c r="E461" s="7" t="str">
        <x:v>text_input</x:v>
      </x:c>
      <x:c r="F461" s="16" t="n">
        <x:v>48</x:v>
      </x:c>
      <x:c r="G461" s="18" t="n">
        <x:v>0.000001</x:v>
      </x:c>
      <x:c r="H461" s="16" t="n">
        <x:f>F461*G461</x:f>
        <x:v>0.000048</x:v>
      </x:c>
    </x:row>
    <x:row r="462" ht="34" customHeight="1">
      <x:c r="A462" s="12" t="str">
        <x:v>DP3-B-R1</x:v>
      </x:c>
      <x:c r="B462" s="12" t="str">
        <x:v>U15</x:v>
      </x:c>
      <x:c r="C462" s="12" t="str">
        <x:v>response_audio</x:v>
      </x:c>
      <x:c r="D462" s="12" t="str">
        <x:v>request</x:v>
      </x:c>
      <x:c r="E462" s="12" t="str">
        <x:v>audio_output</x:v>
      </x:c>
      <x:c r="F462" s="15" t="n">
        <x:v>6</x:v>
      </x:c>
      <x:c r="G462" s="17" t="n">
        <x:v>0.002</x:v>
      </x:c>
      <x:c r="H462" s="15" t="n">
        <x:f>F462*G462</x:f>
        <x:v>0.012</x:v>
      </x:c>
    </x:row>
    <x:row r="463" ht="34" customHeight="1">
      <x:c r="A463" s="7" t="str">
        <x:v>DP3-B-R1</x:v>
      </x:c>
      <x:c r="B463" s="7" t="str">
        <x:v>U15</x:v>
      </x:c>
      <x:c r="C463" s="7" t="str">
        <x:v>intent_audio</x:v>
      </x:c>
      <x:c r="D463" s="7" t="str">
        <x:v>request</x:v>
      </x:c>
      <x:c r="E463" s="7" t="str">
        <x:v>text_input</x:v>
      </x:c>
      <x:c r="F463" s="16" t="n">
        <x:v>24</x:v>
      </x:c>
      <x:c r="G463" s="18" t="n">
        <x:v>0.000001</x:v>
      </x:c>
      <x:c r="H463" s="16" t="n">
        <x:f>F463*G463</x:f>
        <x:v>0.000024</x:v>
      </x:c>
    </x:row>
    <x:row r="464" ht="34" customHeight="1">
      <x:c r="A464" s="12" t="str">
        <x:v>DP3-B-R1</x:v>
      </x:c>
      <x:c r="B464" s="12" t="str">
        <x:v>U15</x:v>
      </x:c>
      <x:c r="C464" s="12" t="str">
        <x:v>intent_audio</x:v>
      </x:c>
      <x:c r="D464" s="12" t="str">
        <x:v>request</x:v>
      </x:c>
      <x:c r="E464" s="12" t="str">
        <x:v>audio_output</x:v>
      </x:c>
      <x:c r="F464" s="15" t="n">
        <x:v>3</x:v>
      </x:c>
      <x:c r="G464" s="17" t="n">
        <x:v>0.002</x:v>
      </x:c>
      <x:c r="H464" s="15" t="n">
        <x:f>F464*G464</x:f>
        <x:v>0.006</x:v>
      </x:c>
    </x:row>
    <x:row r="465" ht="34" customHeight="1">
      <x:c r="A465" s="7" t="str">
        <x:v>DP3-B-R1</x:v>
      </x:c>
      <x:c r="B465" s="7" t="str">
        <x:v>U16</x:v>
      </x:c>
      <x:c r="C465" s="7" t="str">
        <x:v>meaning</x:v>
      </x:c>
      <x:c r="D465" s="7" t="str">
        <x:v>request</x:v>
      </x:c>
      <x:c r="E465" s="7" t="str">
        <x:v>text_input</x:v>
      </x:c>
      <x:c r="F465" s="16" t="n">
        <x:v>3000</x:v>
      </x:c>
      <x:c r="G465" s="18" t="n">
        <x:v>0.000001</x:v>
      </x:c>
      <x:c r="H465" s="16" t="n">
        <x:f>F465*G465</x:f>
        <x:v>0.003</x:v>
      </x:c>
    </x:row>
    <x:row r="466" ht="34" customHeight="1">
      <x:c r="A466" s="12" t="str">
        <x:v>DP3-B-R1</x:v>
      </x:c>
      <x:c r="B466" s="12" t="str">
        <x:v>U16</x:v>
      </x:c>
      <x:c r="C466" s="12" t="str">
        <x:v>meaning</x:v>
      </x:c>
      <x:c r="D466" s="12" t="str">
        <x:v>request</x:v>
      </x:c>
      <x:c r="E466" s="12" t="str">
        <x:v>text_output</x:v>
      </x:c>
      <x:c r="F466" s="15" t="n">
        <x:v>64</x:v>
      </x:c>
      <x:c r="G466" s="17" t="n">
        <x:v>0.000004</x:v>
      </x:c>
      <x:c r="H466" s="15" t="n">
        <x:f>F466*G466</x:f>
        <x:v>0.000256</x:v>
      </x:c>
    </x:row>
    <x:row r="467" ht="34" customHeight="1">
      <x:c r="A467" s="7" t="str">
        <x:v>DP3-B-R1</x:v>
      </x:c>
      <x:c r="B467" s="7" t="str">
        <x:v>U16</x:v>
      </x:c>
      <x:c r="C467" s="7" t="str">
        <x:v>response_audio</x:v>
      </x:c>
      <x:c r="D467" s="7" t="str">
        <x:v>request</x:v>
      </x:c>
      <x:c r="E467" s="7" t="str">
        <x:v>text_input</x:v>
      </x:c>
      <x:c r="F467" s="16" t="n">
        <x:v>48</x:v>
      </x:c>
      <x:c r="G467" s="18" t="n">
        <x:v>0.000001</x:v>
      </x:c>
      <x:c r="H467" s="16" t="n">
        <x:f>F467*G467</x:f>
        <x:v>0.000048</x:v>
      </x:c>
    </x:row>
    <x:row r="468" ht="34" customHeight="1">
      <x:c r="A468" s="12" t="str">
        <x:v>DP3-B-R1</x:v>
      </x:c>
      <x:c r="B468" s="12" t="str">
        <x:v>U16</x:v>
      </x:c>
      <x:c r="C468" s="12" t="str">
        <x:v>response_audio</x:v>
      </x:c>
      <x:c r="D468" s="12" t="str">
        <x:v>request</x:v>
      </x:c>
      <x:c r="E468" s="12" t="str">
        <x:v>audio_output</x:v>
      </x:c>
      <x:c r="F468" s="15" t="n">
        <x:v>6</x:v>
      </x:c>
      <x:c r="G468" s="17" t="n">
        <x:v>0.002</x:v>
      </x:c>
      <x:c r="H468" s="15" t="n">
        <x:f>F468*G468</x:f>
        <x:v>0.012</x:v>
      </x:c>
    </x:row>
    <x:row r="469" ht="34" customHeight="1">
      <x:c r="A469" s="7" t="str">
        <x:v>DP3-B-R1</x:v>
      </x:c>
      <x:c r="B469" s="7" t="str">
        <x:v>U16</x:v>
      </x:c>
      <x:c r="C469" s="7" t="str">
        <x:v>intent_audio</x:v>
      </x:c>
      <x:c r="D469" s="7" t="str">
        <x:v>request</x:v>
      </x:c>
      <x:c r="E469" s="7" t="str">
        <x:v>text_input</x:v>
      </x:c>
      <x:c r="F469" s="16" t="n">
        <x:v>24</x:v>
      </x:c>
      <x:c r="G469" s="18" t="n">
        <x:v>0.000001</x:v>
      </x:c>
      <x:c r="H469" s="16" t="n">
        <x:f>F469*G469</x:f>
        <x:v>0.000024</x:v>
      </x:c>
    </x:row>
    <x:row r="470" ht="34" customHeight="1">
      <x:c r="A470" s="12" t="str">
        <x:v>DP3-B-R1</x:v>
      </x:c>
      <x:c r="B470" s="12" t="str">
        <x:v>U16</x:v>
      </x:c>
      <x:c r="C470" s="12" t="str">
        <x:v>intent_audio</x:v>
      </x:c>
      <x:c r="D470" s="12" t="str">
        <x:v>request</x:v>
      </x:c>
      <x:c r="E470" s="12" t="str">
        <x:v>audio_output</x:v>
      </x:c>
      <x:c r="F470" s="15" t="n">
        <x:v>3</x:v>
      </x:c>
      <x:c r="G470" s="17" t="n">
        <x:v>0.002</x:v>
      </x:c>
      <x:c r="H470" s="15" t="n">
        <x:f>F470*G470</x:f>
        <x:v>0.006</x:v>
      </x:c>
    </x:row>
    <x:row r="471" ht="34" customHeight="1">
      <x:c r="A471" s="7" t="str">
        <x:v>DP3-B-R1</x:v>
      </x:c>
      <x:c r="B471" s="7" t="str">
        <x:v>U16</x:v>
      </x:c>
      <x:c r="C471" s="7" t="str">
        <x:v>input_end</x:v>
      </x:c>
      <x:c r="D471" s="7" t="str">
        <x:v>input</x:v>
      </x:c>
      <x:c r="E471" s="7" t="str">
        <x:v>audio_input</x:v>
      </x:c>
      <x:c r="F471" s="16" t="n">
        <x:v>3</x:v>
      </x:c>
      <x:c r="G471" s="18" t="n">
        <x:v>0.001</x:v>
      </x:c>
      <x:c r="H471" s="16" t="n">
        <x:f>F471*G471</x:f>
        <x:v>0.003</x:v>
      </x:c>
    </x:row>
    <x:row r="472" ht="34" customHeight="1">
      <x:c r="A472" s="12" t="str">
        <x:v>DP3-B-R1</x:v>
      </x:c>
      <x:c r="B472" s="12" t="str">
        <x:v>U17</x:v>
      </x:c>
      <x:c r="C472" s="12" t="str">
        <x:v>meaning</x:v>
      </x:c>
      <x:c r="D472" s="12" t="str">
        <x:v>request</x:v>
      </x:c>
      <x:c r="E472" s="12" t="str">
        <x:v>text_input</x:v>
      </x:c>
      <x:c r="F472" s="15" t="n">
        <x:v>600</x:v>
      </x:c>
      <x:c r="G472" s="17" t="n">
        <x:v>0.000001</x:v>
      </x:c>
      <x:c r="H472" s="15" t="n">
        <x:f>F472*G472</x:f>
        <x:v>0.0006</x:v>
      </x:c>
    </x:row>
    <x:row r="473" ht="34" customHeight="1">
      <x:c r="A473" s="7" t="str">
        <x:v>DP3-B-R1</x:v>
      </x:c>
      <x:c r="B473" s="7" t="str">
        <x:v>U17</x:v>
      </x:c>
      <x:c r="C473" s="7" t="str">
        <x:v>meaning</x:v>
      </x:c>
      <x:c r="D473" s="7" t="str">
        <x:v>request</x:v>
      </x:c>
      <x:c r="E473" s="7" t="str">
        <x:v>text_output</x:v>
      </x:c>
      <x:c r="F473" s="16" t="n">
        <x:v>64</x:v>
      </x:c>
      <x:c r="G473" s="18" t="n">
        <x:v>0.000004</x:v>
      </x:c>
      <x:c r="H473" s="16" t="n">
        <x:f>F473*G473</x:f>
        <x:v>0.000256</x:v>
      </x:c>
    </x:row>
    <x:row r="474" ht="34" customHeight="1">
      <x:c r="A474" s="12" t="str">
        <x:v>DP3-B-R1</x:v>
      </x:c>
      <x:c r="B474" s="12" t="str">
        <x:v>U17</x:v>
      </x:c>
      <x:c r="C474" s="12" t="str">
        <x:v>question_audio</x:v>
      </x:c>
      <x:c r="D474" s="12" t="str">
        <x:v>preparation</x:v>
      </x:c>
      <x:c r="E474" s="12" t="str">
        <x:v>text_input</x:v>
      </x:c>
      <x:c r="F474" s="15" t="n">
        <x:v>64</x:v>
      </x:c>
      <x:c r="G474" s="17" t="n">
        <x:v>0.000001</x:v>
      </x:c>
      <x:c r="H474" s="15" t="n">
        <x:f>F474*G474</x:f>
        <x:v>0.000064</x:v>
      </x:c>
    </x:row>
    <x:row r="475" ht="34" customHeight="1">
      <x:c r="A475" s="7" t="str">
        <x:v>DP3-B-R1</x:v>
      </x:c>
      <x:c r="B475" s="7" t="str">
        <x:v>U17</x:v>
      </x:c>
      <x:c r="C475" s="7" t="str">
        <x:v>question_audio</x:v>
      </x:c>
      <x:c r="D475" s="7" t="str">
        <x:v>preparation</x:v>
      </x:c>
      <x:c r="E475" s="7" t="str">
        <x:v>audio_output</x:v>
      </x:c>
      <x:c r="F475" s="16" t="n">
        <x:v>8</x:v>
      </x:c>
      <x:c r="G475" s="18" t="n">
        <x:v>0.002</x:v>
      </x:c>
      <x:c r="H475" s="16" t="n">
        <x:f>F475*G475</x:f>
        <x:v>0.016</x:v>
      </x:c>
    </x:row>
    <x:row r="476" ht="34" customHeight="1">
      <x:c r="A476" s="12" t="str">
        <x:v>DP3-B-R1</x:v>
      </x:c>
      <x:c r="B476" s="12" t="str">
        <x:v>U17</x:v>
      </x:c>
      <x:c r="C476" s="12" t="str">
        <x:v>input_end</x:v>
      </x:c>
      <x:c r="D476" s="12" t="str">
        <x:v>input</x:v>
      </x:c>
      <x:c r="E476" s="12" t="str">
        <x:v>audio_input</x:v>
      </x:c>
      <x:c r="F476" s="15" t="n">
        <x:v>3</x:v>
      </x:c>
      <x:c r="G476" s="17" t="n">
        <x:v>0.001</x:v>
      </x:c>
      <x:c r="H476" s="15" t="n">
        <x:f>F476*G476</x:f>
        <x:v>0.003</x:v>
      </x:c>
    </x:row>
    <x:row r="477" ht="34" customHeight="1">
      <x:c r="A477" s="7" t="str">
        <x:v>DP3-B-R1</x:v>
      </x:c>
      <x:c r="B477" s="7" t="str">
        <x:v>U18</x:v>
      </x:c>
      <x:c r="C477" s="7" t="str">
        <x:v>meaning</x:v>
      </x:c>
      <x:c r="D477" s="7" t="str">
        <x:v>request</x:v>
      </x:c>
      <x:c r="E477" s="7" t="str">
        <x:v>text_input</x:v>
      </x:c>
      <x:c r="F477" s="16" t="n">
        <x:v>600</x:v>
      </x:c>
      <x:c r="G477" s="18" t="n">
        <x:v>0.000001</x:v>
      </x:c>
      <x:c r="H477" s="16" t="n">
        <x:f>F477*G477</x:f>
        <x:v>0.0006</x:v>
      </x:c>
    </x:row>
    <x:row r="478" ht="34" customHeight="1">
      <x:c r="A478" s="12" t="str">
        <x:v>DP3-B-R1</x:v>
      </x:c>
      <x:c r="B478" s="12" t="str">
        <x:v>U18</x:v>
      </x:c>
      <x:c r="C478" s="12" t="str">
        <x:v>meaning</x:v>
      </x:c>
      <x:c r="D478" s="12" t="str">
        <x:v>request</x:v>
      </x:c>
      <x:c r="E478" s="12" t="str">
        <x:v>text_output</x:v>
      </x:c>
      <x:c r="F478" s="15" t="n">
        <x:v>64</x:v>
      </x:c>
      <x:c r="G478" s="17" t="n">
        <x:v>0.000004</x:v>
      </x:c>
      <x:c r="H478" s="15" t="n">
        <x:f>F478*G478</x:f>
        <x:v>0.000256</x:v>
      </x:c>
    </x:row>
    <x:row r="479" ht="34" customHeight="1">
      <x:c r="A479" s="7" t="str">
        <x:v>DP3-B-R1</x:v>
      </x:c>
      <x:c r="B479" s="7" t="str">
        <x:v>U18</x:v>
      </x:c>
      <x:c r="C479" s="7" t="str">
        <x:v>question_audio</x:v>
      </x:c>
      <x:c r="D479" s="7" t="str">
        <x:v>preparation</x:v>
      </x:c>
      <x:c r="E479" s="7" t="str">
        <x:v>text_input</x:v>
      </x:c>
      <x:c r="F479" s="16" t="n">
        <x:v>64</x:v>
      </x:c>
      <x:c r="G479" s="18" t="n">
        <x:v>0.000001</x:v>
      </x:c>
      <x:c r="H479" s="16" t="n">
        <x:f>F479*G479</x:f>
        <x:v>0.000064</x:v>
      </x:c>
    </x:row>
    <x:row r="480" ht="34" customHeight="1">
      <x:c r="A480" s="12" t="str">
        <x:v>DP3-B-R1</x:v>
      </x:c>
      <x:c r="B480" s="12" t="str">
        <x:v>U18</x:v>
      </x:c>
      <x:c r="C480" s="12" t="str">
        <x:v>question_audio</x:v>
      </x:c>
      <x:c r="D480" s="12" t="str">
        <x:v>preparation</x:v>
      </x:c>
      <x:c r="E480" s="12" t="str">
        <x:v>audio_output</x:v>
      </x:c>
      <x:c r="F480" s="15" t="n">
        <x:v>8</x:v>
      </x:c>
      <x:c r="G480" s="17" t="n">
        <x:v>0.002</x:v>
      </x:c>
      <x:c r="H480" s="15" t="n">
        <x:f>F480*G480</x:f>
        <x:v>0.016</x:v>
      </x:c>
    </x:row>
    <x:row r="481" ht="34" customHeight="1">
      <x:c r="A481" s="7" t="str">
        <x:v>DP3-B-R1</x:v>
      </x:c>
      <x:c r="B481" s="7" t="str">
        <x:v>U18</x:v>
      </x:c>
      <x:c r="C481" s="7" t="str">
        <x:v>obsolete_audio</x:v>
      </x:c>
      <x:c r="D481" s="7" t="str">
        <x:v>preparation</x:v>
      </x:c>
      <x:c r="E481" s="7" t="str">
        <x:v>text_input</x:v>
      </x:c>
      <x:c r="F481" s="16" t="n">
        <x:v>80</x:v>
      </x:c>
      <x:c r="G481" s="18" t="n">
        <x:v>0.000001</x:v>
      </x:c>
      <x:c r="H481" s="16" t="n">
        <x:f>F481*G481</x:f>
        <x:v>0.00007999999999999999</x:v>
      </x:c>
    </x:row>
    <x:row r="482" ht="34" customHeight="1">
      <x:c r="A482" s="12" t="str">
        <x:v>DP3-B-R1</x:v>
      </x:c>
      <x:c r="B482" s="12" t="str">
        <x:v>U18</x:v>
      </x:c>
      <x:c r="C482" s="12" t="str">
        <x:v>obsolete_audio</x:v>
      </x:c>
      <x:c r="D482" s="12" t="str">
        <x:v>preparation</x:v>
      </x:c>
      <x:c r="E482" s="12" t="str">
        <x:v>audio_output</x:v>
      </x:c>
      <x:c r="F482" s="15" t="n">
        <x:v>10</x:v>
      </x:c>
      <x:c r="G482" s="17" t="n">
        <x:v>0.002</x:v>
      </x:c>
      <x:c r="H482" s="15" t="n">
        <x:f>F482*G482</x:f>
        <x:v>0.02</x:v>
      </x:c>
    </x:row>
    <x:row r="483" ht="34" customHeight="1">
      <x:c r="A483" s="7" t="str">
        <x:v>DP3-B-R1</x:v>
      </x:c>
      <x:c r="B483" s="7" t="str">
        <x:v>U18</x:v>
      </x:c>
      <x:c r="C483" s="7" t="str">
        <x:v>input_end</x:v>
      </x:c>
      <x:c r="D483" s="7" t="str">
        <x:v>input</x:v>
      </x:c>
      <x:c r="E483" s="7" t="str">
        <x:v>audio_input</x:v>
      </x:c>
      <x:c r="F483" s="16" t="n">
        <x:v>3</x:v>
      </x:c>
      <x:c r="G483" s="18" t="n">
        <x:v>0.001</x:v>
      </x:c>
      <x:c r="H483" s="16" t="n">
        <x:f>F483*G483</x:f>
        <x:v>0.003</x:v>
      </x:c>
    </x:row>
    <x:row r="484" ht="34" customHeight="1">
      <x:c r="A484" s="12" t="str">
        <x:v>DP3-B-R1</x:v>
      </x:c>
      <x:c r="B484" s="12" t="str">
        <x:v>U19</x:v>
      </x:c>
      <x:c r="C484" s="12" t="str">
        <x:v>meaning</x:v>
      </x:c>
      <x:c r="D484" s="12" t="str">
        <x:v>request</x:v>
      </x:c>
      <x:c r="E484" s="12" t="str">
        <x:v>text_input</x:v>
      </x:c>
      <x:c r="F484" s="15" t="n">
        <x:v>600</x:v>
      </x:c>
      <x:c r="G484" s="17" t="n">
        <x:v>0.000001</x:v>
      </x:c>
      <x:c r="H484" s="15" t="n">
        <x:f>F484*G484</x:f>
        <x:v>0.0006</x:v>
      </x:c>
    </x:row>
    <x:row r="485" ht="34" customHeight="1">
      <x:c r="A485" s="7" t="str">
        <x:v>DP3-B-R1</x:v>
      </x:c>
      <x:c r="B485" s="7" t="str">
        <x:v>U19</x:v>
      </x:c>
      <x:c r="C485" s="7" t="str">
        <x:v>meaning</x:v>
      </x:c>
      <x:c r="D485" s="7" t="str">
        <x:v>request</x:v>
      </x:c>
      <x:c r="E485" s="7" t="str">
        <x:v>text_output</x:v>
      </x:c>
      <x:c r="F485" s="16" t="n">
        <x:v>64</x:v>
      </x:c>
      <x:c r="G485" s="18" t="n">
        <x:v>0.000004</x:v>
      </x:c>
      <x:c r="H485" s="16" t="n">
        <x:f>F485*G485</x:f>
        <x:v>0.000256</x:v>
      </x:c>
    </x:row>
    <x:row r="486" ht="34" customHeight="1">
      <x:c r="A486" s="12" t="str">
        <x:v>DP3-B-R1</x:v>
      </x:c>
      <x:c r="B486" s="12" t="str">
        <x:v>U19</x:v>
      </x:c>
      <x:c r="C486" s="12" t="str">
        <x:v>question_audio</x:v>
      </x:c>
      <x:c r="D486" s="12" t="str">
        <x:v>preparation</x:v>
      </x:c>
      <x:c r="E486" s="12" t="str">
        <x:v>text_input</x:v>
      </x:c>
      <x:c r="F486" s="15" t="n">
        <x:v>48</x:v>
      </x:c>
      <x:c r="G486" s="17" t="n">
        <x:v>0.000001</x:v>
      </x:c>
      <x:c r="H486" s="15" t="n">
        <x:f>F486*G486</x:f>
        <x:v>0.000048</x:v>
      </x:c>
    </x:row>
    <x:row r="487" ht="34" customHeight="1">
      <x:c r="A487" s="7" t="str">
        <x:v>DP3-B-R1</x:v>
      </x:c>
      <x:c r="B487" s="7" t="str">
        <x:v>U19</x:v>
      </x:c>
      <x:c r="C487" s="7" t="str">
        <x:v>question_audio</x:v>
      </x:c>
      <x:c r="D487" s="7" t="str">
        <x:v>preparation</x:v>
      </x:c>
      <x:c r="E487" s="7" t="str">
        <x:v>audio_output</x:v>
      </x:c>
      <x:c r="F487" s="16" t="n">
        <x:v>6</x:v>
      </x:c>
      <x:c r="G487" s="18" t="n">
        <x:v>0.002</x:v>
      </x:c>
      <x:c r="H487" s="16" t="n">
        <x:f>F487*G487</x:f>
        <x:v>0.012</x:v>
      </x:c>
    </x:row>
    <x:row r="488" ht="34" customHeight="1">
      <x:c r="A488" s="12" t="str">
        <x:v>DP3-B-R1</x:v>
      </x:c>
      <x:c r="B488" s="12" t="str">
        <x:v>U19</x:v>
      </x:c>
      <x:c r="C488" s="12" t="str">
        <x:v>old_audio</x:v>
      </x:c>
      <x:c r="D488" s="12" t="str">
        <x:v>preparation</x:v>
      </x:c>
      <x:c r="E488" s="12" t="str">
        <x:v>text_input</x:v>
      </x:c>
      <x:c r="F488" s="15" t="n">
        <x:v>288</x:v>
      </x:c>
      <x:c r="G488" s="17" t="n">
        <x:v>0.000001</x:v>
      </x:c>
      <x:c r="H488" s="15" t="n">
        <x:f>F488*G488</x:f>
        <x:v>0.000288</x:v>
      </x:c>
    </x:row>
    <x:row r="489" ht="34" customHeight="1">
      <x:c r="A489" s="7" t="str">
        <x:v>DP3-B-R1</x:v>
      </x:c>
      <x:c r="B489" s="7" t="str">
        <x:v>U19</x:v>
      </x:c>
      <x:c r="C489" s="7" t="str">
        <x:v>old_audio</x:v>
      </x:c>
      <x:c r="D489" s="7" t="str">
        <x:v>preparation</x:v>
      </x:c>
      <x:c r="E489" s="7" t="str">
        <x:v>audio_output</x:v>
      </x:c>
      <x:c r="F489" s="16" t="n">
        <x:v>36</x:v>
      </x:c>
      <x:c r="G489" s="18" t="n">
        <x:v>0.002</x:v>
      </x:c>
      <x:c r="H489" s="16" t="n">
        <x:f>F489*G489</x:f>
        <x:v>0.07200000000000001</x:v>
      </x:c>
    </x:row>
    <x:row r="490" ht="34" customHeight="1">
      <x:c r="A490" s="12" t="str">
        <x:v>DP3-B-R1</x:v>
      </x:c>
      <x:c r="B490" s="12" t="str">
        <x:v>U19</x:v>
      </x:c>
      <x:c r="C490" s="12" t="str">
        <x:v>input_end</x:v>
      </x:c>
      <x:c r="D490" s="12" t="str">
        <x:v>input</x:v>
      </x:c>
      <x:c r="E490" s="12" t="str">
        <x:v>audio_input</x:v>
      </x:c>
      <x:c r="F490" s="15" t="n">
        <x:v>3</x:v>
      </x:c>
      <x:c r="G490" s="17" t="n">
        <x:v>0.001</x:v>
      </x:c>
      <x:c r="H490" s="15" t="n">
        <x:f>F490*G490</x:f>
        <x:v>0.003</x:v>
      </x:c>
    </x:row>
    <x:row r="491" ht="34" customHeight="1">
      <x:c r="A491" s="7" t="str">
        <x:v>DP3-B-R1</x:v>
      </x:c>
      <x:c r="B491" s="7" t="str">
        <x:v>U20</x:v>
      </x:c>
      <x:c r="C491" s="7" t="str">
        <x:v>meaning</x:v>
      </x:c>
      <x:c r="D491" s="7" t="str">
        <x:v>request</x:v>
      </x:c>
      <x:c r="E491" s="7" t="str">
        <x:v>text_input</x:v>
      </x:c>
      <x:c r="F491" s="16" t="n">
        <x:v>600</x:v>
      </x:c>
      <x:c r="G491" s="18" t="n">
        <x:v>0.000001</x:v>
      </x:c>
      <x:c r="H491" s="16" t="n">
        <x:f>F491*G491</x:f>
        <x:v>0.0006</x:v>
      </x:c>
    </x:row>
    <x:row r="492" ht="34" customHeight="1">
      <x:c r="A492" s="12" t="str">
        <x:v>DP3-B-R1</x:v>
      </x:c>
      <x:c r="B492" s="12" t="str">
        <x:v>U20</x:v>
      </x:c>
      <x:c r="C492" s="12" t="str">
        <x:v>meaning</x:v>
      </x:c>
      <x:c r="D492" s="12" t="str">
        <x:v>request</x:v>
      </x:c>
      <x:c r="E492" s="12" t="str">
        <x:v>text_output</x:v>
      </x:c>
      <x:c r="F492" s="15" t="n">
        <x:v>64</x:v>
      </x:c>
      <x:c r="G492" s="17" t="n">
        <x:v>0.000004</x:v>
      </x:c>
      <x:c r="H492" s="15" t="n">
        <x:f>F492*G492</x:f>
        <x:v>0.000256</x:v>
      </x:c>
    </x:row>
    <x:row r="493" ht="34" customHeight="1">
      <x:c r="A493" s="7" t="str">
        <x:v>DP3-B-R1</x:v>
      </x:c>
      <x:c r="B493" s="7" t="str">
        <x:v>U20</x:v>
      </x:c>
      <x:c r="C493" s="7" t="str">
        <x:v>input_end</x:v>
      </x:c>
      <x:c r="D493" s="7" t="str">
        <x:v>input</x:v>
      </x:c>
      <x:c r="E493" s="7" t="str">
        <x:v>audio_input</x:v>
      </x:c>
      <x:c r="F493" s="16" t="n">
        <x:v>3</x:v>
      </x:c>
      <x:c r="G493" s="18" t="n">
        <x:v>0.001</x:v>
      </x:c>
      <x:c r="H493" s="16" t="n">
        <x:f>F493*G493</x:f>
        <x:v>0.003</x:v>
      </x:c>
    </x:row>
    <x:row r="494" ht="34" customHeight="1">
      <x:c r="A494" s="12" t="str">
        <x:v>DP3-B-R1</x:v>
      </x:c>
      <x:c r="B494" s="12" t="str">
        <x:v>U21</x:v>
      </x:c>
      <x:c r="C494" s="12" t="str">
        <x:v>bg1</x:v>
      </x:c>
      <x:c r="D494" s="12" t="str">
        <x:v>background</x:v>
      </x:c>
      <x:c r="E494" s="12" t="str">
        <x:v>text_input</x:v>
      </x:c>
      <x:c r="F494" s="15" t="n">
        <x:v>1200</x:v>
      </x:c>
      <x:c r="G494" s="17" t="n">
        <x:v>0.000001</x:v>
      </x:c>
      <x:c r="H494" s="15" t="n">
        <x:f>F494*G494</x:f>
        <x:v>0.0012</x:v>
      </x:c>
    </x:row>
    <x:row r="495" ht="34" customHeight="1">
      <x:c r="A495" s="7" t="str">
        <x:v>DP3-B-R1</x:v>
      </x:c>
      <x:c r="B495" s="7" t="str">
        <x:v>U21</x:v>
      </x:c>
      <x:c r="C495" s="7" t="str">
        <x:v>bg1</x:v>
      </x:c>
      <x:c r="D495" s="7" t="str">
        <x:v>background</x:v>
      </x:c>
      <x:c r="E495" s="7" t="str">
        <x:v>text_output</x:v>
      </x:c>
      <x:c r="F495" s="16" t="n">
        <x:v>240</x:v>
      </x:c>
      <x:c r="G495" s="18" t="n">
        <x:v>0.000004</x:v>
      </x:c>
      <x:c r="H495" s="16" t="n">
        <x:f>F495*G495</x:f>
        <x:v>0.0009599999999999999</x:v>
      </x:c>
    </x:row>
    <x:row r="496" ht="34" customHeight="1">
      <x:c r="A496" s="12" t="str">
        <x:v>DP3-B-R1</x:v>
      </x:c>
      <x:c r="B496" s="12" t="str">
        <x:v>U21</x:v>
      </x:c>
      <x:c r="C496" s="12" t="str">
        <x:v>meaning</x:v>
      </x:c>
      <x:c r="D496" s="12" t="str">
        <x:v>request</x:v>
      </x:c>
      <x:c r="E496" s="12" t="str">
        <x:v>text_input</x:v>
      </x:c>
      <x:c r="F496" s="15" t="n">
        <x:v>3520</x:v>
      </x:c>
      <x:c r="G496" s="17" t="n">
        <x:v>0.000001</x:v>
      </x:c>
      <x:c r="H496" s="15" t="n">
        <x:f>F496*G496</x:f>
        <x:v>0.0035199999999999997</x:v>
      </x:c>
    </x:row>
    <x:row r="497" ht="34" customHeight="1">
      <x:c r="A497" s="7" t="str">
        <x:v>DP3-B-R1</x:v>
      </x:c>
      <x:c r="B497" s="7" t="str">
        <x:v>U21</x:v>
      </x:c>
      <x:c r="C497" s="7" t="str">
        <x:v>meaning</x:v>
      </x:c>
      <x:c r="D497" s="7" t="str">
        <x:v>request</x:v>
      </x:c>
      <x:c r="E497" s="7" t="str">
        <x:v>text_output</x:v>
      </x:c>
      <x:c r="F497" s="16" t="n">
        <x:v>64</x:v>
      </x:c>
      <x:c r="G497" s="18" t="n">
        <x:v>0.000004</x:v>
      </x:c>
      <x:c r="H497" s="16" t="n">
        <x:f>F497*G497</x:f>
        <x:v>0.000256</x:v>
      </x:c>
    </x:row>
    <x:row r="498" ht="34" customHeight="1">
      <x:c r="A498" s="12" t="str">
        <x:v>DP3-B-R1</x:v>
      </x:c>
      <x:c r="B498" s="12" t="str">
        <x:v>U21</x:v>
      </x:c>
      <x:c r="C498" s="12" t="str">
        <x:v>response_audio</x:v>
      </x:c>
      <x:c r="D498" s="12" t="str">
        <x:v>request</x:v>
      </x:c>
      <x:c r="E498" s="12" t="str">
        <x:v>text_input</x:v>
      </x:c>
      <x:c r="F498" s="15" t="n">
        <x:v>48</x:v>
      </x:c>
      <x:c r="G498" s="17" t="n">
        <x:v>0.000001</x:v>
      </x:c>
      <x:c r="H498" s="15" t="n">
        <x:f>F498*G498</x:f>
        <x:v>0.000048</x:v>
      </x:c>
    </x:row>
    <x:row r="499" ht="34" customHeight="1">
      <x:c r="A499" s="7" t="str">
        <x:v>DP3-B-R1</x:v>
      </x:c>
      <x:c r="B499" s="7" t="str">
        <x:v>U21</x:v>
      </x:c>
      <x:c r="C499" s="7" t="str">
        <x:v>response_audio</x:v>
      </x:c>
      <x:c r="D499" s="7" t="str">
        <x:v>request</x:v>
      </x:c>
      <x:c r="E499" s="7" t="str">
        <x:v>audio_output</x:v>
      </x:c>
      <x:c r="F499" s="16" t="n">
        <x:v>6</x:v>
      </x:c>
      <x:c r="G499" s="18" t="n">
        <x:v>0.002</x:v>
      </x:c>
      <x:c r="H499" s="16" t="n">
        <x:f>F499*G499</x:f>
        <x:v>0.012</x:v>
      </x:c>
    </x:row>
    <x:row r="500" ht="34" customHeight="1">
      <x:c r="A500" s="12" t="str">
        <x:v>DP3-B-R1</x:v>
      </x:c>
      <x:c r="B500" s="12" t="str">
        <x:v>U21</x:v>
      </x:c>
      <x:c r="C500" s="12" t="str">
        <x:v>intent_audio</x:v>
      </x:c>
      <x:c r="D500" s="12" t="str">
        <x:v>request</x:v>
      </x:c>
      <x:c r="E500" s="12" t="str">
        <x:v>text_input</x:v>
      </x:c>
      <x:c r="F500" s="15" t="n">
        <x:v>24</x:v>
      </x:c>
      <x:c r="G500" s="17" t="n">
        <x:v>0.000001</x:v>
      </x:c>
      <x:c r="H500" s="15" t="n">
        <x:f>F500*G500</x:f>
        <x:v>0.000024</x:v>
      </x:c>
    </x:row>
    <x:row r="501" ht="34" customHeight="1">
      <x:c r="A501" s="7" t="str">
        <x:v>DP3-B-R1</x:v>
      </x:c>
      <x:c r="B501" s="7" t="str">
        <x:v>U21</x:v>
      </x:c>
      <x:c r="C501" s="7" t="str">
        <x:v>intent_audio</x:v>
      </x:c>
      <x:c r="D501" s="7" t="str">
        <x:v>request</x:v>
      </x:c>
      <x:c r="E501" s="7" t="str">
        <x:v>audio_output</x:v>
      </x:c>
      <x:c r="F501" s="16" t="n">
        <x:v>3</x:v>
      </x:c>
      <x:c r="G501" s="18" t="n">
        <x:v>0.002</x:v>
      </x:c>
      <x:c r="H501" s="16" t="n">
        <x:f>F501*G501</x:f>
        <x:v>0.006</x:v>
      </x:c>
    </x:row>
    <x:row r="502" ht="34" customHeight="1">
      <x:c r="A502" s="12" t="str">
        <x:v>DP3-B-R1</x:v>
      </x:c>
      <x:c r="B502" s="12" t="str">
        <x:v>U21</x:v>
      </x:c>
      <x:c r="C502" s="12" t="str">
        <x:v>input_end</x:v>
      </x:c>
      <x:c r="D502" s="12" t="str">
        <x:v>input</x:v>
      </x:c>
      <x:c r="E502" s="12" t="str">
        <x:v>audio_input</x:v>
      </x:c>
      <x:c r="F502" s="15" t="n">
        <x:v>3</x:v>
      </x:c>
      <x:c r="G502" s="17" t="n">
        <x:v>0.001</x:v>
      </x:c>
      <x:c r="H502" s="15" t="n">
        <x:f>F502*G502</x:f>
        <x:v>0.003</x:v>
      </x:c>
    </x:row>
    <x:row r="503" ht="34" customHeight="1">
      <x:c r="A503" s="7" t="str">
        <x:v>DP3-B-R1</x:v>
      </x:c>
      <x:c r="B503" s="7" t="str">
        <x:v>U22</x:v>
      </x:c>
      <x:c r="C503" s="7" t="str">
        <x:v>pre_adopt</x:v>
      </x:c>
      <x:c r="D503" s="7" t="str">
        <x:v>preparation</x:v>
      </x:c>
      <x:c r="E503" s="7" t="str">
        <x:v>text_input</x:v>
      </x:c>
      <x:c r="F503" s="16" t="n">
        <x:v>1120</x:v>
      </x:c>
      <x:c r="G503" s="18" t="n">
        <x:v>0.000001</x:v>
      </x:c>
      <x:c r="H503" s="16" t="n">
        <x:f>F503*G503</x:f>
        <x:v>0.00112</x:v>
      </x:c>
    </x:row>
    <x:row r="504" ht="34" customHeight="1">
      <x:c r="A504" s="12" t="str">
        <x:v>DP3-B-R1</x:v>
      </x:c>
      <x:c r="B504" s="12" t="str">
        <x:v>U22</x:v>
      </x:c>
      <x:c r="C504" s="12" t="str">
        <x:v>pre_adopt</x:v>
      </x:c>
      <x:c r="D504" s="12" t="str">
        <x:v>preparation</x:v>
      </x:c>
      <x:c r="E504" s="12" t="str">
        <x:v>text_output</x:v>
      </x:c>
      <x:c r="F504" s="15" t="n">
        <x:v>64</x:v>
      </x:c>
      <x:c r="G504" s="17" t="n">
        <x:v>0.000004</x:v>
      </x:c>
      <x:c r="H504" s="15" t="n">
        <x:f>F504*G504</x:f>
        <x:v>0.000256</x:v>
      </x:c>
    </x:row>
    <x:row r="505" ht="34" customHeight="1">
      <x:c r="A505" s="7" t="str">
        <x:v>DP3-B-R1</x:v>
      </x:c>
      <x:c r="B505" s="7" t="str">
        <x:v>U22</x:v>
      </x:c>
      <x:c r="C505" s="7" t="str">
        <x:v>meaning</x:v>
      </x:c>
      <x:c r="D505" s="7" t="str">
        <x:v>request</x:v>
      </x:c>
      <x:c r="E505" s="7" t="str">
        <x:v>text_input</x:v>
      </x:c>
      <x:c r="F505" s="16" t="n">
        <x:v>1120</x:v>
      </x:c>
      <x:c r="G505" s="18" t="n">
        <x:v>0.000001</x:v>
      </x:c>
      <x:c r="H505" s="16" t="n">
        <x:f>F505*G505</x:f>
        <x:v>0.00112</x:v>
      </x:c>
    </x:row>
    <x:row r="506" ht="34" customHeight="1">
      <x:c r="A506" s="12" t="str">
        <x:v>DP3-B-R1</x:v>
      </x:c>
      <x:c r="B506" s="12" t="str">
        <x:v>U22</x:v>
      </x:c>
      <x:c r="C506" s="12" t="str">
        <x:v>meaning</x:v>
      </x:c>
      <x:c r="D506" s="12" t="str">
        <x:v>request</x:v>
      </x:c>
      <x:c r="E506" s="12" t="str">
        <x:v>text_output</x:v>
      </x:c>
      <x:c r="F506" s="15" t="n">
        <x:v>64</x:v>
      </x:c>
      <x:c r="G506" s="17" t="n">
        <x:v>0.000004</x:v>
      </x:c>
      <x:c r="H506" s="15" t="n">
        <x:f>F506*G506</x:f>
        <x:v>0.000256</x:v>
      </x:c>
    </x:row>
    <x:row r="507" ht="34" customHeight="1">
      <x:c r="A507" s="7" t="str">
        <x:v>DP3-B-R1</x:v>
      </x:c>
      <x:c r="B507" s="7" t="str">
        <x:v>U22</x:v>
      </x:c>
      <x:c r="C507" s="7" t="str">
        <x:v>question_audio</x:v>
      </x:c>
      <x:c r="D507" s="7" t="str">
        <x:v>preparation</x:v>
      </x:c>
      <x:c r="E507" s="7" t="str">
        <x:v>text_input</x:v>
      </x:c>
      <x:c r="F507" s="16" t="n">
        <x:v>48</x:v>
      </x:c>
      <x:c r="G507" s="18" t="n">
        <x:v>0.000001</x:v>
      </x:c>
      <x:c r="H507" s="16" t="n">
        <x:f>F507*G507</x:f>
        <x:v>0.000048</x:v>
      </x:c>
    </x:row>
    <x:row r="508" ht="34" customHeight="1">
      <x:c r="A508" s="12" t="str">
        <x:v>DP3-B-R1</x:v>
      </x:c>
      <x:c r="B508" s="12" t="str">
        <x:v>U22</x:v>
      </x:c>
      <x:c r="C508" s="12" t="str">
        <x:v>question_audio</x:v>
      </x:c>
      <x:c r="D508" s="12" t="str">
        <x:v>preparation</x:v>
      </x:c>
      <x:c r="E508" s="12" t="str">
        <x:v>audio_output</x:v>
      </x:c>
      <x:c r="F508" s="15" t="n">
        <x:v>6</x:v>
      </x:c>
      <x:c r="G508" s="17" t="n">
        <x:v>0.002</x:v>
      </x:c>
      <x:c r="H508" s="15" t="n">
        <x:f>F508*G508</x:f>
        <x:v>0.012</x:v>
      </x:c>
    </x:row>
    <x:row r="509" ht="34" customHeight="1">
      <x:c r="A509" s="7" t="str">
        <x:v>DP3-B-R1</x:v>
      </x:c>
      <x:c r="B509" s="7" t="str">
        <x:v>U22</x:v>
      </x:c>
      <x:c r="C509" s="7" t="str">
        <x:v>final_result_audio</x:v>
      </x:c>
      <x:c r="D509" s="7" t="str">
        <x:v>request</x:v>
      </x:c>
      <x:c r="E509" s="7" t="str">
        <x:v>text_input</x:v>
      </x:c>
      <x:c r="F509" s="16" t="n">
        <x:v>48</x:v>
      </x:c>
      <x:c r="G509" s="18" t="n">
        <x:v>0.000001</x:v>
      </x:c>
      <x:c r="H509" s="16" t="n">
        <x:f>F509*G509</x:f>
        <x:v>0.000048</x:v>
      </x:c>
    </x:row>
    <x:row r="510" ht="34" customHeight="1">
      <x:c r="A510" s="12" t="str">
        <x:v>DP3-B-R1</x:v>
      </x:c>
      <x:c r="B510" s="12" t="str">
        <x:v>U22</x:v>
      </x:c>
      <x:c r="C510" s="12" t="str">
        <x:v>final_result_audio</x:v>
      </x:c>
      <x:c r="D510" s="12" t="str">
        <x:v>request</x:v>
      </x:c>
      <x:c r="E510" s="12" t="str">
        <x:v>audio_output</x:v>
      </x:c>
      <x:c r="F510" s="15" t="n">
        <x:v>6</x:v>
      </x:c>
      <x:c r="G510" s="17" t="n">
        <x:v>0.002</x:v>
      </x:c>
      <x:c r="H510" s="15" t="n">
        <x:f>F510*G510</x:f>
        <x:v>0.012</x:v>
      </x:c>
    </x:row>
    <x:row r="511" ht="34" customHeight="1">
      <x:c r="A511" s="7" t="str">
        <x:v>DP3-B-R1</x:v>
      </x:c>
      <x:c r="B511" s="7" t="str">
        <x:v>U22</x:v>
      </x:c>
      <x:c r="C511" s="7" t="str">
        <x:v>input_end</x:v>
      </x:c>
      <x:c r="D511" s="7" t="str">
        <x:v>input</x:v>
      </x:c>
      <x:c r="E511" s="7" t="str">
        <x:v>audio_input</x:v>
      </x:c>
      <x:c r="F511" s="16" t="n">
        <x:v>3</x:v>
      </x:c>
      <x:c r="G511" s="18" t="n">
        <x:v>0.001</x:v>
      </x:c>
      <x:c r="H511" s="16" t="n">
        <x:f>F511*G511</x:f>
        <x:v>0.003</x:v>
      </x:c>
    </x:row>
    <x:row r="512" ht="34" customHeight="1">
      <x:c r="A512" s="12" t="str">
        <x:v>DP3-B-R1</x:v>
      </x:c>
      <x:c r="B512" s="12" t="str">
        <x:v>U23</x:v>
      </x:c>
      <x:c r="C512" s="12" t="str">
        <x:v>meaning</x:v>
      </x:c>
      <x:c r="D512" s="12" t="str">
        <x:v>request</x:v>
      </x:c>
      <x:c r="E512" s="12" t="str">
        <x:v>text_input</x:v>
      </x:c>
      <x:c r="F512" s="15" t="n">
        <x:v>3000</x:v>
      </x:c>
      <x:c r="G512" s="17" t="n">
        <x:v>0.000001</x:v>
      </x:c>
      <x:c r="H512" s="15" t="n">
        <x:f>F512*G512</x:f>
        <x:v>0.003</x:v>
      </x:c>
    </x:row>
    <x:row r="513" ht="34" customHeight="1">
      <x:c r="A513" s="7" t="str">
        <x:v>DP3-B-R1</x:v>
      </x:c>
      <x:c r="B513" s="7" t="str">
        <x:v>U23</x:v>
      </x:c>
      <x:c r="C513" s="7" t="str">
        <x:v>meaning</x:v>
      </x:c>
      <x:c r="D513" s="7" t="str">
        <x:v>request</x:v>
      </x:c>
      <x:c r="E513" s="7" t="str">
        <x:v>text_output</x:v>
      </x:c>
      <x:c r="F513" s="16" t="n">
        <x:v>64</x:v>
      </x:c>
      <x:c r="G513" s="18" t="n">
        <x:v>0.000004</x:v>
      </x:c>
      <x:c r="H513" s="16" t="n">
        <x:f>F513*G513</x:f>
        <x:v>0.000256</x:v>
      </x:c>
    </x:row>
    <x:row r="514" ht="34" customHeight="1">
      <x:c r="A514" s="12" t="str">
        <x:v>DP3-B-R1</x:v>
      </x:c>
      <x:c r="B514" s="12" t="str">
        <x:v>U23</x:v>
      </x:c>
      <x:c r="C514" s="12" t="str">
        <x:v>question_audio</x:v>
      </x:c>
      <x:c r="D514" s="12" t="str">
        <x:v>preparation</x:v>
      </x:c>
      <x:c r="E514" s="12" t="str">
        <x:v>text_input</x:v>
      </x:c>
      <x:c r="F514" s="15" t="n">
        <x:v>48</x:v>
      </x:c>
      <x:c r="G514" s="17" t="n">
        <x:v>0.000001</x:v>
      </x:c>
      <x:c r="H514" s="15" t="n">
        <x:f>F514*G514</x:f>
        <x:v>0.000048</x:v>
      </x:c>
    </x:row>
    <x:row r="515" ht="34" customHeight="1">
      <x:c r="A515" s="7" t="str">
        <x:v>DP3-B-R1</x:v>
      </x:c>
      <x:c r="B515" s="7" t="str">
        <x:v>U23</x:v>
      </x:c>
      <x:c r="C515" s="7" t="str">
        <x:v>question_audio</x:v>
      </x:c>
      <x:c r="D515" s="7" t="str">
        <x:v>preparation</x:v>
      </x:c>
      <x:c r="E515" s="7" t="str">
        <x:v>audio_output</x:v>
      </x:c>
      <x:c r="F515" s="16" t="n">
        <x:v>6</x:v>
      </x:c>
      <x:c r="G515" s="18" t="n">
        <x:v>0.002</x:v>
      </x:c>
      <x:c r="H515" s="16" t="n">
        <x:f>F515*G515</x:f>
        <x:v>0.012</x:v>
      </x:c>
    </x:row>
    <x:row r="516" ht="34" customHeight="1">
      <x:c r="A516" s="12" t="str">
        <x:v>DP3-B-R1</x:v>
      </x:c>
      <x:c r="B516" s="12" t="str">
        <x:v>U23</x:v>
      </x:c>
      <x:c r="C516" s="12" t="str">
        <x:v>final_result_audio</x:v>
      </x:c>
      <x:c r="D516" s="12" t="str">
        <x:v>request</x:v>
      </x:c>
      <x:c r="E516" s="12" t="str">
        <x:v>text_input</x:v>
      </x:c>
      <x:c r="F516" s="15" t="n">
        <x:v>48</x:v>
      </x:c>
      <x:c r="G516" s="17" t="n">
        <x:v>0.000001</x:v>
      </x:c>
      <x:c r="H516" s="15" t="n">
        <x:f>F516*G516</x:f>
        <x:v>0.000048</x:v>
      </x:c>
    </x:row>
    <x:row r="517" ht="34" customHeight="1">
      <x:c r="A517" s="7" t="str">
        <x:v>DP3-B-R1</x:v>
      </x:c>
      <x:c r="B517" s="7" t="str">
        <x:v>U23</x:v>
      </x:c>
      <x:c r="C517" s="7" t="str">
        <x:v>final_result_audio</x:v>
      </x:c>
      <x:c r="D517" s="7" t="str">
        <x:v>request</x:v>
      </x:c>
      <x:c r="E517" s="7" t="str">
        <x:v>audio_output</x:v>
      </x:c>
      <x:c r="F517" s="16" t="n">
        <x:v>6</x:v>
      </x:c>
      <x:c r="G517" s="18" t="n">
        <x:v>0.002</x:v>
      </x:c>
      <x:c r="H517" s="16" t="n">
        <x:f>F517*G517</x:f>
        <x:v>0.012</x:v>
      </x:c>
    </x:row>
    <x:row r="518" ht="34" customHeight="1">
      <x:c r="A518" s="12" t="str">
        <x:v>DP3-B-R1</x:v>
      </x:c>
      <x:c r="B518" s="12" t="str">
        <x:v>U24</x:v>
      </x:c>
      <x:c r="C518" s="12" t="str">
        <x:v>bg1</x:v>
      </x:c>
      <x:c r="D518" s="12" t="str">
        <x:v>background</x:v>
      </x:c>
      <x:c r="E518" s="12" t="str">
        <x:v>text_input</x:v>
      </x:c>
      <x:c r="F518" s="15" t="n">
        <x:v>1200</x:v>
      </x:c>
      <x:c r="G518" s="17" t="n">
        <x:v>0.000001</x:v>
      </x:c>
      <x:c r="H518" s="15" t="n">
        <x:f>F518*G518</x:f>
        <x:v>0.0012</x:v>
      </x:c>
    </x:row>
    <x:row r="519" ht="34" customHeight="1">
      <x:c r="A519" s="7" t="str">
        <x:v>DP3-B-R1</x:v>
      </x:c>
      <x:c r="B519" s="7" t="str">
        <x:v>U24</x:v>
      </x:c>
      <x:c r="C519" s="7" t="str">
        <x:v>bg1</x:v>
      </x:c>
      <x:c r="D519" s="7" t="str">
        <x:v>background</x:v>
      </x:c>
      <x:c r="E519" s="7" t="str">
        <x:v>text_output</x:v>
      </x:c>
      <x:c r="F519" s="16" t="n">
        <x:v>240</x:v>
      </x:c>
      <x:c r="G519" s="18" t="n">
        <x:v>0.000004</x:v>
      </x:c>
      <x:c r="H519" s="16" t="n">
        <x:f>F519*G519</x:f>
        <x:v>0.0009599999999999999</x:v>
      </x:c>
    </x:row>
    <x:row r="520" ht="34" customHeight="1">
      <x:c r="A520" s="12" t="str">
        <x:v>DP3-B-R1</x:v>
      </x:c>
      <x:c r="B520" s="12" t="str">
        <x:v>U24</x:v>
      </x:c>
      <x:c r="C520" s="12" t="str">
        <x:v>expand_need</x:v>
      </x:c>
      <x:c r="D520" s="12" t="str">
        <x:v>request</x:v>
      </x:c>
      <x:c r="E520" s="12" t="str">
        <x:v>text_input</x:v>
      </x:c>
      <x:c r="F520" s="15" t="n">
        <x:v>1640</x:v>
      </x:c>
      <x:c r="G520" s="17" t="n">
        <x:v>0.000001</x:v>
      </x:c>
      <x:c r="H520" s="15" t="n">
        <x:f>F520*G520</x:f>
        <x:v>0.00164</x:v>
      </x:c>
    </x:row>
    <x:row r="521" ht="34" customHeight="1">
      <x:c r="A521" s="7" t="str">
        <x:v>DP3-B-R1</x:v>
      </x:c>
      <x:c r="B521" s="7" t="str">
        <x:v>U24</x:v>
      </x:c>
      <x:c r="C521" s="7" t="str">
        <x:v>expand_need</x:v>
      </x:c>
      <x:c r="D521" s="7" t="str">
        <x:v>request</x:v>
      </x:c>
      <x:c r="E521" s="7" t="str">
        <x:v>text_output</x:v>
      </x:c>
      <x:c r="F521" s="16" t="n">
        <x:v>32</x:v>
      </x:c>
      <x:c r="G521" s="18" t="n">
        <x:v>0.000004</x:v>
      </x:c>
      <x:c r="H521" s="16" t="n">
        <x:f>F521*G521</x:f>
        <x:v>0.000128</x:v>
      </x:c>
    </x:row>
    <x:row r="522" ht="34" customHeight="1">
      <x:c r="A522" s="12" t="str">
        <x:v>DP3-B-R1</x:v>
      </x:c>
      <x:c r="B522" s="12" t="str">
        <x:v>U24</x:v>
      </x:c>
      <x:c r="C522" s="12" t="str">
        <x:v>meaning</x:v>
      </x:c>
      <x:c r="D522" s="12" t="str">
        <x:v>request</x:v>
      </x:c>
      <x:c r="E522" s="12" t="str">
        <x:v>text_input</x:v>
      </x:c>
      <x:c r="F522" s="15" t="n">
        <x:v>4940</x:v>
      </x:c>
      <x:c r="G522" s="17" t="n">
        <x:v>0.000001</x:v>
      </x:c>
      <x:c r="H522" s="15" t="n">
        <x:f>F522*G522</x:f>
        <x:v>0.00494</x:v>
      </x:c>
    </x:row>
    <x:row r="523" ht="34" customHeight="1">
      <x:c r="A523" s="7" t="str">
        <x:v>DP3-B-R1</x:v>
      </x:c>
      <x:c r="B523" s="7" t="str">
        <x:v>U24</x:v>
      </x:c>
      <x:c r="C523" s="7" t="str">
        <x:v>meaning</x:v>
      </x:c>
      <x:c r="D523" s="7" t="str">
        <x:v>request</x:v>
      </x:c>
      <x:c r="E523" s="7" t="str">
        <x:v>text_output</x:v>
      </x:c>
      <x:c r="F523" s="16" t="n">
        <x:v>64</x:v>
      </x:c>
      <x:c r="G523" s="18" t="n">
        <x:v>0.000004</x:v>
      </x:c>
      <x:c r="H523" s="16" t="n">
        <x:f>F523*G523</x:f>
        <x:v>0.000256</x:v>
      </x:c>
    </x:row>
    <x:row r="524" ht="34" customHeight="1">
      <x:c r="A524" s="12" t="str">
        <x:v>DP3-B-R1</x:v>
      </x:c>
      <x:c r="B524" s="12" t="str">
        <x:v>U24</x:v>
      </x:c>
      <x:c r="C524" s="12" t="str">
        <x:v>response_audio</x:v>
      </x:c>
      <x:c r="D524" s="12" t="str">
        <x:v>request</x:v>
      </x:c>
      <x:c r="E524" s="12" t="str">
        <x:v>text_input</x:v>
      </x:c>
      <x:c r="F524" s="15" t="n">
        <x:v>48</x:v>
      </x:c>
      <x:c r="G524" s="17" t="n">
        <x:v>0.000001</x:v>
      </x:c>
      <x:c r="H524" s="15" t="n">
        <x:f>F524*G524</x:f>
        <x:v>0.000048</x:v>
      </x:c>
    </x:row>
    <x:row r="525" ht="34" customHeight="1">
      <x:c r="A525" s="7" t="str">
        <x:v>DP3-B-R1</x:v>
      </x:c>
      <x:c r="B525" s="7" t="str">
        <x:v>U24</x:v>
      </x:c>
      <x:c r="C525" s="7" t="str">
        <x:v>response_audio</x:v>
      </x:c>
      <x:c r="D525" s="7" t="str">
        <x:v>request</x:v>
      </x:c>
      <x:c r="E525" s="7" t="str">
        <x:v>audio_output</x:v>
      </x:c>
      <x:c r="F525" s="16" t="n">
        <x:v>6</x:v>
      </x:c>
      <x:c r="G525" s="18" t="n">
        <x:v>0.002</x:v>
      </x:c>
      <x:c r="H525" s="16" t="n">
        <x:f>F525*G525</x:f>
        <x:v>0.012</x:v>
      </x:c>
    </x:row>
    <x:row r="526" ht="34" customHeight="1">
      <x:c r="A526" s="12" t="str">
        <x:v>DP3-B-R1</x:v>
      </x:c>
      <x:c r="B526" s="12" t="str">
        <x:v>U24</x:v>
      </x:c>
      <x:c r="C526" s="12" t="str">
        <x:v>intent_audio</x:v>
      </x:c>
      <x:c r="D526" s="12" t="str">
        <x:v>request</x:v>
      </x:c>
      <x:c r="E526" s="12" t="str">
        <x:v>text_input</x:v>
      </x:c>
      <x:c r="F526" s="15" t="n">
        <x:v>24</x:v>
      </x:c>
      <x:c r="G526" s="17" t="n">
        <x:v>0.000001</x:v>
      </x:c>
      <x:c r="H526" s="15" t="n">
        <x:f>F526*G526</x:f>
        <x:v>0.000024</x:v>
      </x:c>
    </x:row>
    <x:row r="527" ht="34" customHeight="1">
      <x:c r="A527" s="7" t="str">
        <x:v>DP3-B-R1</x:v>
      </x:c>
      <x:c r="B527" s="7" t="str">
        <x:v>U24</x:v>
      </x:c>
      <x:c r="C527" s="7" t="str">
        <x:v>intent_audio</x:v>
      </x:c>
      <x:c r="D527" s="7" t="str">
        <x:v>request</x:v>
      </x:c>
      <x:c r="E527" s="7" t="str">
        <x:v>audio_output</x:v>
      </x:c>
      <x:c r="F527" s="16" t="n">
        <x:v>3</x:v>
      </x:c>
      <x:c r="G527" s="18" t="n">
        <x:v>0.002</x:v>
      </x:c>
      <x:c r="H527" s="16" t="n">
        <x:f>F527*G527</x:f>
        <x:v>0.006</x:v>
      </x:c>
    </x:row>
    <x:row r="528" ht="34" customHeight="1">
      <x:c r="A528" s="12" t="str">
        <x:v>DP3-B-R1</x:v>
      </x:c>
      <x:c r="B528" s="12" t="str">
        <x:v>U24</x:v>
      </x:c>
      <x:c r="C528" s="12" t="str">
        <x:v>input_end</x:v>
      </x:c>
      <x:c r="D528" s="12" t="str">
        <x:v>input</x:v>
      </x:c>
      <x:c r="E528" s="12" t="str">
        <x:v>audio_input</x:v>
      </x:c>
      <x:c r="F528" s="15" t="n">
        <x:v>3</x:v>
      </x:c>
      <x:c r="G528" s="17" t="n">
        <x:v>0.001</x:v>
      </x:c>
      <x:c r="H528" s="15" t="n">
        <x:f>F528*G528</x:f>
        <x:v>0.003</x:v>
      </x:c>
    </x:row>
    <x:row r="529" ht="34" customHeight="1">
      <x:c r="A529" s="7" t="str">
        <x:v>DP3-B-R2</x:v>
      </x:c>
      <x:c r="B529" s="7" t="str">
        <x:v>U01</x:v>
      </x:c>
      <x:c r="C529" s="7" t="str">
        <x:v>meaning</x:v>
      </x:c>
      <x:c r="D529" s="7" t="str">
        <x:v>request</x:v>
      </x:c>
      <x:c r="E529" s="7" t="str">
        <x:v>text_input</x:v>
      </x:c>
      <x:c r="F529" s="16" t="n">
        <x:v>600</x:v>
      </x:c>
      <x:c r="G529" s="18" t="n">
        <x:v>0.000001</x:v>
      </x:c>
      <x:c r="H529" s="16" t="n">
        <x:f>F529*G529</x:f>
        <x:v>0.0006</x:v>
      </x:c>
    </x:row>
    <x:row r="530" ht="34" customHeight="1">
      <x:c r="A530" s="12" t="str">
        <x:v>DP3-B-R2</x:v>
      </x:c>
      <x:c r="B530" s="12" t="str">
        <x:v>U01</x:v>
      </x:c>
      <x:c r="C530" s="12" t="str">
        <x:v>meaning</x:v>
      </x:c>
      <x:c r="D530" s="12" t="str">
        <x:v>request</x:v>
      </x:c>
      <x:c r="E530" s="12" t="str">
        <x:v>text_output</x:v>
      </x:c>
      <x:c r="F530" s="15" t="n">
        <x:v>64</x:v>
      </x:c>
      <x:c r="G530" s="17" t="n">
        <x:v>0.000004</x:v>
      </x:c>
      <x:c r="H530" s="15" t="n">
        <x:f>F530*G530</x:f>
        <x:v>0.000256</x:v>
      </x:c>
    </x:row>
    <x:row r="531" ht="34" customHeight="1">
      <x:c r="A531" s="7" t="str">
        <x:v>DP3-B-R2</x:v>
      </x:c>
      <x:c r="B531" s="7" t="str">
        <x:v>U01</x:v>
      </x:c>
      <x:c r="C531" s="7" t="str">
        <x:v>response_audio</x:v>
      </x:c>
      <x:c r="D531" s="7" t="str">
        <x:v>request</x:v>
      </x:c>
      <x:c r="E531" s="7" t="str">
        <x:v>text_input</x:v>
      </x:c>
      <x:c r="F531" s="16" t="n">
        <x:v>48</x:v>
      </x:c>
      <x:c r="G531" s="18" t="n">
        <x:v>0.000001</x:v>
      </x:c>
      <x:c r="H531" s="16" t="n">
        <x:f>F531*G531</x:f>
        <x:v>0.000048</x:v>
      </x:c>
    </x:row>
    <x:row r="532" ht="34" customHeight="1">
      <x:c r="A532" s="12" t="str">
        <x:v>DP3-B-R2</x:v>
      </x:c>
      <x:c r="B532" s="12" t="str">
        <x:v>U01</x:v>
      </x:c>
      <x:c r="C532" s="12" t="str">
        <x:v>response_audio</x:v>
      </x:c>
      <x:c r="D532" s="12" t="str">
        <x:v>request</x:v>
      </x:c>
      <x:c r="E532" s="12" t="str">
        <x:v>audio_output</x:v>
      </x:c>
      <x:c r="F532" s="15" t="n">
        <x:v>6</x:v>
      </x:c>
      <x:c r="G532" s="17" t="n">
        <x:v>0.002</x:v>
      </x:c>
      <x:c r="H532" s="15" t="n">
        <x:f>F532*G532</x:f>
        <x:v>0.012</x:v>
      </x:c>
    </x:row>
    <x:row r="533" ht="34" customHeight="1">
      <x:c r="A533" s="7" t="str">
        <x:v>DP3-B-R2</x:v>
      </x:c>
      <x:c r="B533" s="7" t="str">
        <x:v>U02</x:v>
      </x:c>
      <x:c r="C533" s="7" t="str">
        <x:v>meaning</x:v>
      </x:c>
      <x:c r="D533" s="7" t="str">
        <x:v>request</x:v>
      </x:c>
      <x:c r="E533" s="7" t="str">
        <x:v>text_input</x:v>
      </x:c>
      <x:c r="F533" s="16" t="n">
        <x:v>600</x:v>
      </x:c>
      <x:c r="G533" s="18" t="n">
        <x:v>0.000001</x:v>
      </x:c>
      <x:c r="H533" s="16" t="n">
        <x:f>F533*G533</x:f>
        <x:v>0.0006</x:v>
      </x:c>
    </x:row>
    <x:row r="534" ht="34" customHeight="1">
      <x:c r="A534" s="12" t="str">
        <x:v>DP3-B-R2</x:v>
      </x:c>
      <x:c r="B534" s="12" t="str">
        <x:v>U02</x:v>
      </x:c>
      <x:c r="C534" s="12" t="str">
        <x:v>meaning</x:v>
      </x:c>
      <x:c r="D534" s="12" t="str">
        <x:v>request</x:v>
      </x:c>
      <x:c r="E534" s="12" t="str">
        <x:v>text_output</x:v>
      </x:c>
      <x:c r="F534" s="15" t="n">
        <x:v>64</x:v>
      </x:c>
      <x:c r="G534" s="17" t="n">
        <x:v>0.000004</x:v>
      </x:c>
      <x:c r="H534" s="15" t="n">
        <x:f>F534*G534</x:f>
        <x:v>0.000256</x:v>
      </x:c>
    </x:row>
    <x:row r="535" ht="34" customHeight="1">
      <x:c r="A535" s="7" t="str">
        <x:v>DP3-B-R2</x:v>
      </x:c>
      <x:c r="B535" s="7" t="str">
        <x:v>U02</x:v>
      </x:c>
      <x:c r="C535" s="7" t="str">
        <x:v>response_audio</x:v>
      </x:c>
      <x:c r="D535" s="7" t="str">
        <x:v>request</x:v>
      </x:c>
      <x:c r="E535" s="7" t="str">
        <x:v>text_input</x:v>
      </x:c>
      <x:c r="F535" s="16" t="n">
        <x:v>24</x:v>
      </x:c>
      <x:c r="G535" s="18" t="n">
        <x:v>0.000001</x:v>
      </x:c>
      <x:c r="H535" s="16" t="n">
        <x:f>F535*G535</x:f>
        <x:v>0.000024</x:v>
      </x:c>
    </x:row>
    <x:row r="536" ht="34" customHeight="1">
      <x:c r="A536" s="12" t="str">
        <x:v>DP3-B-R2</x:v>
      </x:c>
      <x:c r="B536" s="12" t="str">
        <x:v>U02</x:v>
      </x:c>
      <x:c r="C536" s="12" t="str">
        <x:v>response_audio</x:v>
      </x:c>
      <x:c r="D536" s="12" t="str">
        <x:v>request</x:v>
      </x:c>
      <x:c r="E536" s="12" t="str">
        <x:v>audio_output</x:v>
      </x:c>
      <x:c r="F536" s="15" t="n">
        <x:v>3</x:v>
      </x:c>
      <x:c r="G536" s="17" t="n">
        <x:v>0.002</x:v>
      </x:c>
      <x:c r="H536" s="15" t="n">
        <x:f>F536*G536</x:f>
        <x:v>0.006</x:v>
      </x:c>
    </x:row>
    <x:row r="537" ht="34" customHeight="1">
      <x:c r="A537" s="7" t="str">
        <x:v>DP3-B-R2</x:v>
      </x:c>
      <x:c r="B537" s="7" t="str">
        <x:v>U02</x:v>
      </x:c>
      <x:c r="C537" s="7" t="str">
        <x:v>input_end</x:v>
      </x:c>
      <x:c r="D537" s="7" t="str">
        <x:v>input</x:v>
      </x:c>
      <x:c r="E537" s="7" t="str">
        <x:v>audio_input</x:v>
      </x:c>
      <x:c r="F537" s="16" t="n">
        <x:v>3</x:v>
      </x:c>
      <x:c r="G537" s="18" t="n">
        <x:v>0.001</x:v>
      </x:c>
      <x:c r="H537" s="16" t="n">
        <x:f>F537*G537</x:f>
        <x:v>0.003</x:v>
      </x:c>
    </x:row>
    <x:row r="538" ht="34" customHeight="1">
      <x:c r="A538" s="12" t="str">
        <x:v>DP3-B-R2</x:v>
      </x:c>
      <x:c r="B538" s="12" t="str">
        <x:v>U03</x:v>
      </x:c>
      <x:c r="C538" s="12" t="str">
        <x:v>meaning</x:v>
      </x:c>
      <x:c r="D538" s="12" t="str">
        <x:v>request</x:v>
      </x:c>
      <x:c r="E538" s="12" t="str">
        <x:v>text_input</x:v>
      </x:c>
      <x:c r="F538" s="15" t="n">
        <x:v>600</x:v>
      </x:c>
      <x:c r="G538" s="17" t="n">
        <x:v>0.000001</x:v>
      </x:c>
      <x:c r="H538" s="15" t="n">
        <x:f>F538*G538</x:f>
        <x:v>0.0006</x:v>
      </x:c>
    </x:row>
    <x:row r="539" ht="34" customHeight="1">
      <x:c r="A539" s="7" t="str">
        <x:v>DP3-B-R2</x:v>
      </x:c>
      <x:c r="B539" s="7" t="str">
        <x:v>U03</x:v>
      </x:c>
      <x:c r="C539" s="7" t="str">
        <x:v>meaning</x:v>
      </x:c>
      <x:c r="D539" s="7" t="str">
        <x:v>request</x:v>
      </x:c>
      <x:c r="E539" s="7" t="str">
        <x:v>text_output</x:v>
      </x:c>
      <x:c r="F539" s="16" t="n">
        <x:v>64</x:v>
      </x:c>
      <x:c r="G539" s="18" t="n">
        <x:v>0.000004</x:v>
      </x:c>
      <x:c r="H539" s="16" t="n">
        <x:f>F539*G539</x:f>
        <x:v>0.000256</x:v>
      </x:c>
    </x:row>
    <x:row r="540" ht="34" customHeight="1">
      <x:c r="A540" s="12" t="str">
        <x:v>DP3-B-R2</x:v>
      </x:c>
      <x:c r="B540" s="12" t="str">
        <x:v>U03</x:v>
      </x:c>
      <x:c r="C540" s="12" t="str">
        <x:v>long_work</x:v>
      </x:c>
      <x:c r="D540" s="12" t="str">
        <x:v>request</x:v>
      </x:c>
      <x:c r="E540" s="12" t="str">
        <x:v>text_input</x:v>
      </x:c>
      <x:c r="F540" s="15" t="n">
        <x:v>1200</x:v>
      </x:c>
      <x:c r="G540" s="17" t="n">
        <x:v>0.000001</x:v>
      </x:c>
      <x:c r="H540" s="15" t="n">
        <x:f>F540*G540</x:f>
        <x:v>0.0012</x:v>
      </x:c>
    </x:row>
    <x:row r="541" ht="34" customHeight="1">
      <x:c r="A541" s="7" t="str">
        <x:v>DP3-B-R2</x:v>
      </x:c>
      <x:c r="B541" s="7" t="str">
        <x:v>U03</x:v>
      </x:c>
      <x:c r="C541" s="7" t="str">
        <x:v>long_work</x:v>
      </x:c>
      <x:c r="D541" s="7" t="str">
        <x:v>request</x:v>
      </x:c>
      <x:c r="E541" s="7" t="str">
        <x:v>text_output</x:v>
      </x:c>
      <x:c r="F541" s="16" t="n">
        <x:v>96</x:v>
      </x:c>
      <x:c r="G541" s="18" t="n">
        <x:v>0.000004</x:v>
      </x:c>
      <x:c r="H541" s="16" t="n">
        <x:f>F541*G541</x:f>
        <x:v>0.000384</x:v>
      </x:c>
    </x:row>
    <x:row r="542" ht="34" customHeight="1">
      <x:c r="A542" s="12" t="str">
        <x:v>DP3-B-R2</x:v>
      </x:c>
      <x:c r="B542" s="12" t="str">
        <x:v>U03</x:v>
      </x:c>
      <x:c r="C542" s="12" t="str">
        <x:v>response_audio</x:v>
      </x:c>
      <x:c r="D542" s="12" t="str">
        <x:v>request</x:v>
      </x:c>
      <x:c r="E542" s="12" t="str">
        <x:v>text_input</x:v>
      </x:c>
      <x:c r="F542" s="15" t="n">
        <x:v>48</x:v>
      </x:c>
      <x:c r="G542" s="17" t="n">
        <x:v>0.000001</x:v>
      </x:c>
      <x:c r="H542" s="15" t="n">
        <x:f>F542*G542</x:f>
        <x:v>0.000048</x:v>
      </x:c>
    </x:row>
    <x:row r="543" ht="34" customHeight="1">
      <x:c r="A543" s="7" t="str">
        <x:v>DP3-B-R2</x:v>
      </x:c>
      <x:c r="B543" s="7" t="str">
        <x:v>U03</x:v>
      </x:c>
      <x:c r="C543" s="7" t="str">
        <x:v>response_audio</x:v>
      </x:c>
      <x:c r="D543" s="7" t="str">
        <x:v>request</x:v>
      </x:c>
      <x:c r="E543" s="7" t="str">
        <x:v>audio_output</x:v>
      </x:c>
      <x:c r="F543" s="16" t="n">
        <x:v>6</x:v>
      </x:c>
      <x:c r="G543" s="18" t="n">
        <x:v>0.002</x:v>
      </x:c>
      <x:c r="H543" s="16" t="n">
        <x:f>F543*G543</x:f>
        <x:v>0.012</x:v>
      </x:c>
    </x:row>
    <x:row r="544" ht="34" customHeight="1">
      <x:c r="A544" s="12" t="str">
        <x:v>DP3-B-R2</x:v>
      </x:c>
      <x:c r="B544" s="12" t="str">
        <x:v>U03</x:v>
      </x:c>
      <x:c r="C544" s="12" t="str">
        <x:v>intent_audio</x:v>
      </x:c>
      <x:c r="D544" s="12" t="str">
        <x:v>request</x:v>
      </x:c>
      <x:c r="E544" s="12" t="str">
        <x:v>text_input</x:v>
      </x:c>
      <x:c r="F544" s="15" t="n">
        <x:v>24</x:v>
      </x:c>
      <x:c r="G544" s="17" t="n">
        <x:v>0.000001</x:v>
      </x:c>
      <x:c r="H544" s="15" t="n">
        <x:f>F544*G544</x:f>
        <x:v>0.000024</x:v>
      </x:c>
    </x:row>
    <x:row r="545" ht="34" customHeight="1">
      <x:c r="A545" s="7" t="str">
        <x:v>DP3-B-R2</x:v>
      </x:c>
      <x:c r="B545" s="7" t="str">
        <x:v>U03</x:v>
      </x:c>
      <x:c r="C545" s="7" t="str">
        <x:v>intent_audio</x:v>
      </x:c>
      <x:c r="D545" s="7" t="str">
        <x:v>request</x:v>
      </x:c>
      <x:c r="E545" s="7" t="str">
        <x:v>audio_output</x:v>
      </x:c>
      <x:c r="F545" s="16" t="n">
        <x:v>3</x:v>
      </x:c>
      <x:c r="G545" s="18" t="n">
        <x:v>0.002</x:v>
      </x:c>
      <x:c r="H545" s="16" t="n">
        <x:f>F545*G545</x:f>
        <x:v>0.006</x:v>
      </x:c>
    </x:row>
    <x:row r="546" ht="34" customHeight="1">
      <x:c r="A546" s="12" t="str">
        <x:v>DP3-B-R2</x:v>
      </x:c>
      <x:c r="B546" s="12" t="str">
        <x:v>U04</x:v>
      </x:c>
      <x:c r="C546" s="12" t="str">
        <x:v>meaning</x:v>
      </x:c>
      <x:c r="D546" s="12" t="str">
        <x:v>request</x:v>
      </x:c>
      <x:c r="E546" s="12" t="str">
        <x:v>text_input</x:v>
      </x:c>
      <x:c r="F546" s="15" t="n">
        <x:v>600</x:v>
      </x:c>
      <x:c r="G546" s="17" t="n">
        <x:v>0.000001</x:v>
      </x:c>
      <x:c r="H546" s="15" t="n">
        <x:f>F546*G546</x:f>
        <x:v>0.0006</x:v>
      </x:c>
    </x:row>
    <x:row r="547" ht="34" customHeight="1">
      <x:c r="A547" s="7" t="str">
        <x:v>DP3-B-R2</x:v>
      </x:c>
      <x:c r="B547" s="7" t="str">
        <x:v>U04</x:v>
      </x:c>
      <x:c r="C547" s="7" t="str">
        <x:v>meaning</x:v>
      </x:c>
      <x:c r="D547" s="7" t="str">
        <x:v>request</x:v>
      </x:c>
      <x:c r="E547" s="7" t="str">
        <x:v>text_output</x:v>
      </x:c>
      <x:c r="F547" s="16" t="n">
        <x:v>64</x:v>
      </x:c>
      <x:c r="G547" s="18" t="n">
        <x:v>0.000004</x:v>
      </x:c>
      <x:c r="H547" s="16" t="n">
        <x:f>F547*G547</x:f>
        <x:v>0.000256</x:v>
      </x:c>
    </x:row>
    <x:row r="548" ht="34" customHeight="1">
      <x:c r="A548" s="12" t="str">
        <x:v>DP3-B-R2</x:v>
      </x:c>
      <x:c r="B548" s="12" t="str">
        <x:v>U04</x:v>
      </x:c>
      <x:c r="C548" s="12" t="str">
        <x:v>response_audio</x:v>
      </x:c>
      <x:c r="D548" s="12" t="str">
        <x:v>request</x:v>
      </x:c>
      <x:c r="E548" s="12" t="str">
        <x:v>text_input</x:v>
      </x:c>
      <x:c r="F548" s="15" t="n">
        <x:v>48</x:v>
      </x:c>
      <x:c r="G548" s="17" t="n">
        <x:v>0.000001</x:v>
      </x:c>
      <x:c r="H548" s="15" t="n">
        <x:f>F548*G548</x:f>
        <x:v>0.000048</x:v>
      </x:c>
    </x:row>
    <x:row r="549" ht="34" customHeight="1">
      <x:c r="A549" s="7" t="str">
        <x:v>DP3-B-R2</x:v>
      </x:c>
      <x:c r="B549" s="7" t="str">
        <x:v>U04</x:v>
      </x:c>
      <x:c r="C549" s="7" t="str">
        <x:v>response_audio</x:v>
      </x:c>
      <x:c r="D549" s="7" t="str">
        <x:v>request</x:v>
      </x:c>
      <x:c r="E549" s="7" t="str">
        <x:v>audio_output</x:v>
      </x:c>
      <x:c r="F549" s="16" t="n">
        <x:v>6</x:v>
      </x:c>
      <x:c r="G549" s="18" t="n">
        <x:v>0.002</x:v>
      </x:c>
      <x:c r="H549" s="16" t="n">
        <x:f>F549*G549</x:f>
        <x:v>0.012</x:v>
      </x:c>
    </x:row>
    <x:row r="550" ht="34" customHeight="1">
      <x:c r="A550" s="12" t="str">
        <x:v>DP3-B-R2</x:v>
      </x:c>
      <x:c r="B550" s="12" t="str">
        <x:v>U04</x:v>
      </x:c>
      <x:c r="C550" s="12" t="str">
        <x:v>input_end</x:v>
      </x:c>
      <x:c r="D550" s="12" t="str">
        <x:v>input</x:v>
      </x:c>
      <x:c r="E550" s="12" t="str">
        <x:v>audio_input</x:v>
      </x:c>
      <x:c r="F550" s="15" t="n">
        <x:v>3</x:v>
      </x:c>
      <x:c r="G550" s="17" t="n">
        <x:v>0.001</x:v>
      </x:c>
      <x:c r="H550" s="15" t="n">
        <x:f>F550*G550</x:f>
        <x:v>0.003</x:v>
      </x:c>
    </x:row>
    <x:row r="551" ht="34" customHeight="1">
      <x:c r="A551" s="7" t="str">
        <x:v>DP3-B-R2</x:v>
      </x:c>
      <x:c r="B551" s="7" t="str">
        <x:v>U05</x:v>
      </x:c>
      <x:c r="C551" s="7" t="str">
        <x:v>bg1</x:v>
      </x:c>
      <x:c r="D551" s="7" t="str">
        <x:v>background</x:v>
      </x:c>
      <x:c r="E551" s="7" t="str">
        <x:v>text_input</x:v>
      </x:c>
      <x:c r="F551" s="16" t="n">
        <x:v>1200</x:v>
      </x:c>
      <x:c r="G551" s="18" t="n">
        <x:v>0.000001</x:v>
      </x:c>
      <x:c r="H551" s="16" t="n">
        <x:f>F551*G551</x:f>
        <x:v>0.0012</x:v>
      </x:c>
    </x:row>
    <x:row r="552" ht="34" customHeight="1">
      <x:c r="A552" s="12" t="str">
        <x:v>DP3-B-R2</x:v>
      </x:c>
      <x:c r="B552" s="12" t="str">
        <x:v>U05</x:v>
      </x:c>
      <x:c r="C552" s="12" t="str">
        <x:v>bg1</x:v>
      </x:c>
      <x:c r="D552" s="12" t="str">
        <x:v>background</x:v>
      </x:c>
      <x:c r="E552" s="12" t="str">
        <x:v>text_output</x:v>
      </x:c>
      <x:c r="F552" s="15" t="n">
        <x:v>240</x:v>
      </x:c>
      <x:c r="G552" s="17" t="n">
        <x:v>0.000004</x:v>
      </x:c>
      <x:c r="H552" s="15" t="n">
        <x:f>F552*G552</x:f>
        <x:v>0.0009599999999999999</x:v>
      </x:c>
    </x:row>
    <x:row r="553" ht="34" customHeight="1">
      <x:c r="A553" s="7" t="str">
        <x:v>DP3-B-R2</x:v>
      </x:c>
      <x:c r="B553" s="7" t="str">
        <x:v>U05</x:v>
      </x:c>
      <x:c r="C553" s="7" t="str">
        <x:v>meaning</x:v>
      </x:c>
      <x:c r="D553" s="7" t="str">
        <x:v>request</x:v>
      </x:c>
      <x:c r="E553" s="7" t="str">
        <x:v>text_input</x:v>
      </x:c>
      <x:c r="F553" s="16" t="n">
        <x:v>600</x:v>
      </x:c>
      <x:c r="G553" s="18" t="n">
        <x:v>0.000001</x:v>
      </x:c>
      <x:c r="H553" s="16" t="n">
        <x:f>F553*G553</x:f>
        <x:v>0.0006</x:v>
      </x:c>
    </x:row>
    <x:row r="554" ht="34" customHeight="1">
      <x:c r="A554" s="12" t="str">
        <x:v>DP3-B-R2</x:v>
      </x:c>
      <x:c r="B554" s="12" t="str">
        <x:v>U05</x:v>
      </x:c>
      <x:c r="C554" s="12" t="str">
        <x:v>meaning</x:v>
      </x:c>
      <x:c r="D554" s="12" t="str">
        <x:v>request</x:v>
      </x:c>
      <x:c r="E554" s="12" t="str">
        <x:v>text_output</x:v>
      </x:c>
      <x:c r="F554" s="15" t="n">
        <x:v>64</x:v>
      </x:c>
      <x:c r="G554" s="17" t="n">
        <x:v>0.000004</x:v>
      </x:c>
      <x:c r="H554" s="15" t="n">
        <x:f>F554*G554</x:f>
        <x:v>0.000256</x:v>
      </x:c>
    </x:row>
    <x:row r="555" ht="34" customHeight="1">
      <x:c r="A555" s="7" t="str">
        <x:v>DP3-B-R2</x:v>
      </x:c>
      <x:c r="B555" s="7" t="str">
        <x:v>U05</x:v>
      </x:c>
      <x:c r="C555" s="7" t="str">
        <x:v>response_audio</x:v>
      </x:c>
      <x:c r="D555" s="7" t="str">
        <x:v>request</x:v>
      </x:c>
      <x:c r="E555" s="7" t="str">
        <x:v>text_input</x:v>
      </x:c>
      <x:c r="F555" s="16" t="n">
        <x:v>48</x:v>
      </x:c>
      <x:c r="G555" s="18" t="n">
        <x:v>0.000001</x:v>
      </x:c>
      <x:c r="H555" s="16" t="n">
        <x:f>F555*G555</x:f>
        <x:v>0.000048</x:v>
      </x:c>
    </x:row>
    <x:row r="556" ht="34" customHeight="1">
      <x:c r="A556" s="12" t="str">
        <x:v>DP3-B-R2</x:v>
      </x:c>
      <x:c r="B556" s="12" t="str">
        <x:v>U05</x:v>
      </x:c>
      <x:c r="C556" s="12" t="str">
        <x:v>response_audio</x:v>
      </x:c>
      <x:c r="D556" s="12" t="str">
        <x:v>request</x:v>
      </x:c>
      <x:c r="E556" s="12" t="str">
        <x:v>audio_output</x:v>
      </x:c>
      <x:c r="F556" s="15" t="n">
        <x:v>6</x:v>
      </x:c>
      <x:c r="G556" s="17" t="n">
        <x:v>0.002</x:v>
      </x:c>
      <x:c r="H556" s="15" t="n">
        <x:f>F556*G556</x:f>
        <x:v>0.012</x:v>
      </x:c>
    </x:row>
    <x:row r="557" ht="34" customHeight="1">
      <x:c r="A557" s="7" t="str">
        <x:v>DP3-B-R2</x:v>
      </x:c>
      <x:c r="B557" s="7" t="str">
        <x:v>U05</x:v>
      </x:c>
      <x:c r="C557" s="7" t="str">
        <x:v>input_end</x:v>
      </x:c>
      <x:c r="D557" s="7" t="str">
        <x:v>input</x:v>
      </x:c>
      <x:c r="E557" s="7" t="str">
        <x:v>audio_input</x:v>
      </x:c>
      <x:c r="F557" s="16" t="n">
        <x:v>3</x:v>
      </x:c>
      <x:c r="G557" s="18" t="n">
        <x:v>0.001</x:v>
      </x:c>
      <x:c r="H557" s="16" t="n">
        <x:f>F557*G557</x:f>
        <x:v>0.003</x:v>
      </x:c>
    </x:row>
    <x:row r="558" ht="34" customHeight="1">
      <x:c r="A558" s="12" t="str">
        <x:v>DP3-B-R2</x:v>
      </x:c>
      <x:c r="B558" s="12" t="str">
        <x:v>U06</x:v>
      </x:c>
      <x:c r="C558" s="12" t="str">
        <x:v>bg1</x:v>
      </x:c>
      <x:c r="D558" s="12" t="str">
        <x:v>background</x:v>
      </x:c>
      <x:c r="E558" s="12" t="str">
        <x:v>text_input</x:v>
      </x:c>
      <x:c r="F558" s="15" t="n">
        <x:v>1200</x:v>
      </x:c>
      <x:c r="G558" s="17" t="n">
        <x:v>0.000001</x:v>
      </x:c>
      <x:c r="H558" s="15" t="n">
        <x:f>F558*G558</x:f>
        <x:v>0.0012</x:v>
      </x:c>
    </x:row>
    <x:row r="559" ht="34" customHeight="1">
      <x:c r="A559" s="7" t="str">
        <x:v>DP3-B-R2</x:v>
      </x:c>
      <x:c r="B559" s="7" t="str">
        <x:v>U06</x:v>
      </x:c>
      <x:c r="C559" s="7" t="str">
        <x:v>bg1</x:v>
      </x:c>
      <x:c r="D559" s="7" t="str">
        <x:v>background</x:v>
      </x:c>
      <x:c r="E559" s="7" t="str">
        <x:v>text_output</x:v>
      </x:c>
      <x:c r="F559" s="16" t="n">
        <x:v>240</x:v>
      </x:c>
      <x:c r="G559" s="18" t="n">
        <x:v>0.000004</x:v>
      </x:c>
      <x:c r="H559" s="16" t="n">
        <x:f>F559*G559</x:f>
        <x:v>0.0009599999999999999</x:v>
      </x:c>
    </x:row>
    <x:row r="560" ht="34" customHeight="1">
      <x:c r="A560" s="12" t="str">
        <x:v>DP3-B-R2</x:v>
      </x:c>
      <x:c r="B560" s="12" t="str">
        <x:v>U06</x:v>
      </x:c>
      <x:c r="C560" s="12" t="str">
        <x:v>meaning</x:v>
      </x:c>
      <x:c r="D560" s="12" t="str">
        <x:v>request</x:v>
      </x:c>
      <x:c r="E560" s="12" t="str">
        <x:v>text_input</x:v>
      </x:c>
      <x:c r="F560" s="15" t="n">
        <x:v>600</x:v>
      </x:c>
      <x:c r="G560" s="17" t="n">
        <x:v>0.000001</x:v>
      </x:c>
      <x:c r="H560" s="15" t="n">
        <x:f>F560*G560</x:f>
        <x:v>0.0006</x:v>
      </x:c>
    </x:row>
    <x:row r="561" ht="34" customHeight="1">
      <x:c r="A561" s="7" t="str">
        <x:v>DP3-B-R2</x:v>
      </x:c>
      <x:c r="B561" s="7" t="str">
        <x:v>U06</x:v>
      </x:c>
      <x:c r="C561" s="7" t="str">
        <x:v>meaning</x:v>
      </x:c>
      <x:c r="D561" s="7" t="str">
        <x:v>request</x:v>
      </x:c>
      <x:c r="E561" s="7" t="str">
        <x:v>text_output</x:v>
      </x:c>
      <x:c r="F561" s="16" t="n">
        <x:v>64</x:v>
      </x:c>
      <x:c r="G561" s="18" t="n">
        <x:v>0.000004</x:v>
      </x:c>
      <x:c r="H561" s="16" t="n">
        <x:f>F561*G561</x:f>
        <x:v>0.000256</x:v>
      </x:c>
    </x:row>
    <x:row r="562" ht="34" customHeight="1">
      <x:c r="A562" s="12" t="str">
        <x:v>DP3-B-R2</x:v>
      </x:c>
      <x:c r="B562" s="12" t="str">
        <x:v>U06</x:v>
      </x:c>
      <x:c r="C562" s="12" t="str">
        <x:v>long_work</x:v>
      </x:c>
      <x:c r="D562" s="12" t="str">
        <x:v>request</x:v>
      </x:c>
      <x:c r="E562" s="12" t="str">
        <x:v>text_input</x:v>
      </x:c>
      <x:c r="F562" s="15" t="n">
        <x:v>1200</x:v>
      </x:c>
      <x:c r="G562" s="17" t="n">
        <x:v>0.000001</x:v>
      </x:c>
      <x:c r="H562" s="15" t="n">
        <x:f>F562*G562</x:f>
        <x:v>0.0012</x:v>
      </x:c>
    </x:row>
    <x:row r="563" ht="34" customHeight="1">
      <x:c r="A563" s="7" t="str">
        <x:v>DP3-B-R2</x:v>
      </x:c>
      <x:c r="B563" s="7" t="str">
        <x:v>U06</x:v>
      </x:c>
      <x:c r="C563" s="7" t="str">
        <x:v>long_work</x:v>
      </x:c>
      <x:c r="D563" s="7" t="str">
        <x:v>request</x:v>
      </x:c>
      <x:c r="E563" s="7" t="str">
        <x:v>text_output</x:v>
      </x:c>
      <x:c r="F563" s="16" t="n">
        <x:v>96</x:v>
      </x:c>
      <x:c r="G563" s="18" t="n">
        <x:v>0.000004</x:v>
      </x:c>
      <x:c r="H563" s="16" t="n">
        <x:f>F563*G563</x:f>
        <x:v>0.000384</x:v>
      </x:c>
    </x:row>
    <x:row r="564" ht="34" customHeight="1">
      <x:c r="A564" s="12" t="str">
        <x:v>DP3-B-R2</x:v>
      </x:c>
      <x:c r="B564" s="12" t="str">
        <x:v>U06</x:v>
      </x:c>
      <x:c r="C564" s="12" t="str">
        <x:v>response_audio</x:v>
      </x:c>
      <x:c r="D564" s="12" t="str">
        <x:v>request</x:v>
      </x:c>
      <x:c r="E564" s="12" t="str">
        <x:v>text_input</x:v>
      </x:c>
      <x:c r="F564" s="15" t="n">
        <x:v>48</x:v>
      </x:c>
      <x:c r="G564" s="17" t="n">
        <x:v>0.000001</x:v>
      </x:c>
      <x:c r="H564" s="15" t="n">
        <x:f>F564*G564</x:f>
        <x:v>0.000048</x:v>
      </x:c>
    </x:row>
    <x:row r="565" ht="34" customHeight="1">
      <x:c r="A565" s="7" t="str">
        <x:v>DP3-B-R2</x:v>
      </x:c>
      <x:c r="B565" s="7" t="str">
        <x:v>U06</x:v>
      </x:c>
      <x:c r="C565" s="7" t="str">
        <x:v>response_audio</x:v>
      </x:c>
      <x:c r="D565" s="7" t="str">
        <x:v>request</x:v>
      </x:c>
      <x:c r="E565" s="7" t="str">
        <x:v>audio_output</x:v>
      </x:c>
      <x:c r="F565" s="16" t="n">
        <x:v>6</x:v>
      </x:c>
      <x:c r="G565" s="18" t="n">
        <x:v>0.002</x:v>
      </x:c>
      <x:c r="H565" s="16" t="n">
        <x:f>F565*G565</x:f>
        <x:v>0.012</x:v>
      </x:c>
    </x:row>
    <x:row r="566" ht="34" customHeight="1">
      <x:c r="A566" s="12" t="str">
        <x:v>DP3-B-R2</x:v>
      </x:c>
      <x:c r="B566" s="12" t="str">
        <x:v>U06</x:v>
      </x:c>
      <x:c r="C566" s="12" t="str">
        <x:v>intent_audio</x:v>
      </x:c>
      <x:c r="D566" s="12" t="str">
        <x:v>request</x:v>
      </x:c>
      <x:c r="E566" s="12" t="str">
        <x:v>text_input</x:v>
      </x:c>
      <x:c r="F566" s="15" t="n">
        <x:v>24</x:v>
      </x:c>
      <x:c r="G566" s="17" t="n">
        <x:v>0.000001</x:v>
      </x:c>
      <x:c r="H566" s="15" t="n">
        <x:f>F566*G566</x:f>
        <x:v>0.000024</x:v>
      </x:c>
    </x:row>
    <x:row r="567" ht="34" customHeight="1">
      <x:c r="A567" s="7" t="str">
        <x:v>DP3-B-R2</x:v>
      </x:c>
      <x:c r="B567" s="7" t="str">
        <x:v>U06</x:v>
      </x:c>
      <x:c r="C567" s="7" t="str">
        <x:v>intent_audio</x:v>
      </x:c>
      <x:c r="D567" s="7" t="str">
        <x:v>request</x:v>
      </x:c>
      <x:c r="E567" s="7" t="str">
        <x:v>audio_output</x:v>
      </x:c>
      <x:c r="F567" s="16" t="n">
        <x:v>3</x:v>
      </x:c>
      <x:c r="G567" s="18" t="n">
        <x:v>0.002</x:v>
      </x:c>
      <x:c r="H567" s="16" t="n">
        <x:f>F567*G567</x:f>
        <x:v>0.006</x:v>
      </x:c>
    </x:row>
    <x:row r="568" ht="34" customHeight="1">
      <x:c r="A568" s="12" t="str">
        <x:v>DP3-B-R2</x:v>
      </x:c>
      <x:c r="B568" s="12" t="str">
        <x:v>U07</x:v>
      </x:c>
      <x:c r="C568" s="12" t="str">
        <x:v>bg1</x:v>
      </x:c>
      <x:c r="D568" s="12" t="str">
        <x:v>background</x:v>
      </x:c>
      <x:c r="E568" s="12" t="str">
        <x:v>text_input</x:v>
      </x:c>
      <x:c r="F568" s="15" t="n">
        <x:v>1200</x:v>
      </x:c>
      <x:c r="G568" s="17" t="n">
        <x:v>0.000001</x:v>
      </x:c>
      <x:c r="H568" s="15" t="n">
        <x:f>F568*G568</x:f>
        <x:v>0.0012</x:v>
      </x:c>
    </x:row>
    <x:row r="569" ht="34" customHeight="1">
      <x:c r="A569" s="7" t="str">
        <x:v>DP3-B-R2</x:v>
      </x:c>
      <x:c r="B569" s="7" t="str">
        <x:v>U07</x:v>
      </x:c>
      <x:c r="C569" s="7" t="str">
        <x:v>bg1</x:v>
      </x:c>
      <x:c r="D569" s="7" t="str">
        <x:v>background</x:v>
      </x:c>
      <x:c r="E569" s="7" t="str">
        <x:v>text_output</x:v>
      </x:c>
      <x:c r="F569" s="16" t="n">
        <x:v>240</x:v>
      </x:c>
      <x:c r="G569" s="18" t="n">
        <x:v>0.000004</x:v>
      </x:c>
      <x:c r="H569" s="16" t="n">
        <x:f>F569*G569</x:f>
        <x:v>0.0009599999999999999</x:v>
      </x:c>
    </x:row>
    <x:row r="570" ht="34" customHeight="1">
      <x:c r="A570" s="12" t="str">
        <x:v>DP3-B-R2</x:v>
      </x:c>
      <x:c r="B570" s="12" t="str">
        <x:v>U07</x:v>
      </x:c>
      <x:c r="C570" s="12" t="str">
        <x:v>bg2</x:v>
      </x:c>
      <x:c r="D570" s="12" t="str">
        <x:v>background</x:v>
      </x:c>
      <x:c r="E570" s="12" t="str">
        <x:v>text_input</x:v>
      </x:c>
      <x:c r="F570" s="15" t="n">
        <x:v>1200</x:v>
      </x:c>
      <x:c r="G570" s="17" t="n">
        <x:v>0.000001</x:v>
      </x:c>
      <x:c r="H570" s="15" t="n">
        <x:f>F570*G570</x:f>
        <x:v>0.0012</x:v>
      </x:c>
    </x:row>
    <x:row r="571" ht="34" customHeight="1">
      <x:c r="A571" s="7" t="str">
        <x:v>DP3-B-R2</x:v>
      </x:c>
      <x:c r="B571" s="7" t="str">
        <x:v>U07</x:v>
      </x:c>
      <x:c r="C571" s="7" t="str">
        <x:v>bg2</x:v>
      </x:c>
      <x:c r="D571" s="7" t="str">
        <x:v>background</x:v>
      </x:c>
      <x:c r="E571" s="7" t="str">
        <x:v>text_output</x:v>
      </x:c>
      <x:c r="F571" s="16" t="n">
        <x:v>240</x:v>
      </x:c>
      <x:c r="G571" s="18" t="n">
        <x:v>0.000004</x:v>
      </x:c>
      <x:c r="H571" s="16" t="n">
        <x:f>F571*G571</x:f>
        <x:v>0.0009599999999999999</x:v>
      </x:c>
    </x:row>
    <x:row r="572" ht="34" customHeight="1">
      <x:c r="A572" s="12" t="str">
        <x:v>DP3-B-R2</x:v>
      </x:c>
      <x:c r="B572" s="12" t="str">
        <x:v>U07</x:v>
      </x:c>
      <x:c r="C572" s="12" t="str">
        <x:v>meaning</x:v>
      </x:c>
      <x:c r="D572" s="12" t="str">
        <x:v>request</x:v>
      </x:c>
      <x:c r="E572" s="12" t="str">
        <x:v>text_input</x:v>
      </x:c>
      <x:c r="F572" s="15" t="n">
        <x:v>600</x:v>
      </x:c>
      <x:c r="G572" s="17" t="n">
        <x:v>0.000001</x:v>
      </x:c>
      <x:c r="H572" s="15" t="n">
        <x:f>F572*G572</x:f>
        <x:v>0.0006</x:v>
      </x:c>
    </x:row>
    <x:row r="573" ht="34" customHeight="1">
      <x:c r="A573" s="7" t="str">
        <x:v>DP3-B-R2</x:v>
      </x:c>
      <x:c r="B573" s="7" t="str">
        <x:v>U07</x:v>
      </x:c>
      <x:c r="C573" s="7" t="str">
        <x:v>meaning</x:v>
      </x:c>
      <x:c r="D573" s="7" t="str">
        <x:v>request</x:v>
      </x:c>
      <x:c r="E573" s="7" t="str">
        <x:v>text_output</x:v>
      </x:c>
      <x:c r="F573" s="16" t="n">
        <x:v>64</x:v>
      </x:c>
      <x:c r="G573" s="18" t="n">
        <x:v>0.000004</x:v>
      </x:c>
      <x:c r="H573" s="16" t="n">
        <x:f>F573*G573</x:f>
        <x:v>0.000256</x:v>
      </x:c>
    </x:row>
    <x:row r="574" ht="34" customHeight="1">
      <x:c r="A574" s="12" t="str">
        <x:v>DP3-B-R2</x:v>
      </x:c>
      <x:c r="B574" s="12" t="str">
        <x:v>U07</x:v>
      </x:c>
      <x:c r="C574" s="12" t="str">
        <x:v>long_work</x:v>
      </x:c>
      <x:c r="D574" s="12" t="str">
        <x:v>request</x:v>
      </x:c>
      <x:c r="E574" s="12" t="str">
        <x:v>text_input</x:v>
      </x:c>
      <x:c r="F574" s="15" t="n">
        <x:v>1200</x:v>
      </x:c>
      <x:c r="G574" s="17" t="n">
        <x:v>0.000001</x:v>
      </x:c>
      <x:c r="H574" s="15" t="n">
        <x:f>F574*G574</x:f>
        <x:v>0.0012</x:v>
      </x:c>
    </x:row>
    <x:row r="575" ht="34" customHeight="1">
      <x:c r="A575" s="7" t="str">
        <x:v>DP3-B-R2</x:v>
      </x:c>
      <x:c r="B575" s="7" t="str">
        <x:v>U07</x:v>
      </x:c>
      <x:c r="C575" s="7" t="str">
        <x:v>long_work</x:v>
      </x:c>
      <x:c r="D575" s="7" t="str">
        <x:v>request</x:v>
      </x:c>
      <x:c r="E575" s="7" t="str">
        <x:v>text_output</x:v>
      </x:c>
      <x:c r="F575" s="16" t="n">
        <x:v>96</x:v>
      </x:c>
      <x:c r="G575" s="18" t="n">
        <x:v>0.000004</x:v>
      </x:c>
      <x:c r="H575" s="16" t="n">
        <x:f>F575*G575</x:f>
        <x:v>0.000384</x:v>
      </x:c>
    </x:row>
    <x:row r="576" ht="34" customHeight="1">
      <x:c r="A576" s="12" t="str">
        <x:v>DP3-B-R2</x:v>
      </x:c>
      <x:c r="B576" s="12" t="str">
        <x:v>U07</x:v>
      </x:c>
      <x:c r="C576" s="12" t="str">
        <x:v>response_audio</x:v>
      </x:c>
      <x:c r="D576" s="12" t="str">
        <x:v>request</x:v>
      </x:c>
      <x:c r="E576" s="12" t="str">
        <x:v>text_input</x:v>
      </x:c>
      <x:c r="F576" s="15" t="n">
        <x:v>48</x:v>
      </x:c>
      <x:c r="G576" s="17" t="n">
        <x:v>0.000001</x:v>
      </x:c>
      <x:c r="H576" s="15" t="n">
        <x:f>F576*G576</x:f>
        <x:v>0.000048</x:v>
      </x:c>
    </x:row>
    <x:row r="577" ht="34" customHeight="1">
      <x:c r="A577" s="7" t="str">
        <x:v>DP3-B-R2</x:v>
      </x:c>
      <x:c r="B577" s="7" t="str">
        <x:v>U07</x:v>
      </x:c>
      <x:c r="C577" s="7" t="str">
        <x:v>response_audio</x:v>
      </x:c>
      <x:c r="D577" s="7" t="str">
        <x:v>request</x:v>
      </x:c>
      <x:c r="E577" s="7" t="str">
        <x:v>audio_output</x:v>
      </x:c>
      <x:c r="F577" s="16" t="n">
        <x:v>6</x:v>
      </x:c>
      <x:c r="G577" s="18" t="n">
        <x:v>0.002</x:v>
      </x:c>
      <x:c r="H577" s="16" t="n">
        <x:f>F577*G577</x:f>
        <x:v>0.012</x:v>
      </x:c>
    </x:row>
    <x:row r="578" ht="34" customHeight="1">
      <x:c r="A578" s="12" t="str">
        <x:v>DP3-B-R2</x:v>
      </x:c>
      <x:c r="B578" s="12" t="str">
        <x:v>U07</x:v>
      </x:c>
      <x:c r="C578" s="12" t="str">
        <x:v>intent_audio</x:v>
      </x:c>
      <x:c r="D578" s="12" t="str">
        <x:v>request</x:v>
      </x:c>
      <x:c r="E578" s="12" t="str">
        <x:v>text_input</x:v>
      </x:c>
      <x:c r="F578" s="15" t="n">
        <x:v>24</x:v>
      </x:c>
      <x:c r="G578" s="17" t="n">
        <x:v>0.000001</x:v>
      </x:c>
      <x:c r="H578" s="15" t="n">
        <x:f>F578*G578</x:f>
        <x:v>0.000024</x:v>
      </x:c>
    </x:row>
    <x:row r="579" ht="34" customHeight="1">
      <x:c r="A579" s="7" t="str">
        <x:v>DP3-B-R2</x:v>
      </x:c>
      <x:c r="B579" s="7" t="str">
        <x:v>U07</x:v>
      </x:c>
      <x:c r="C579" s="7" t="str">
        <x:v>intent_audio</x:v>
      </x:c>
      <x:c r="D579" s="7" t="str">
        <x:v>request</x:v>
      </x:c>
      <x:c r="E579" s="7" t="str">
        <x:v>audio_output</x:v>
      </x:c>
      <x:c r="F579" s="16" t="n">
        <x:v>3</x:v>
      </x:c>
      <x:c r="G579" s="18" t="n">
        <x:v>0.002</x:v>
      </x:c>
      <x:c r="H579" s="16" t="n">
        <x:f>F579*G579</x:f>
        <x:v>0.006</x:v>
      </x:c>
    </x:row>
    <x:row r="580" ht="34" customHeight="1">
      <x:c r="A580" s="12" t="str">
        <x:v>DP3-B-R2</x:v>
      </x:c>
      <x:c r="B580" s="12" t="str">
        <x:v>U07</x:v>
      </x:c>
      <x:c r="C580" s="12" t="str">
        <x:v>input_end</x:v>
      </x:c>
      <x:c r="D580" s="12" t="str">
        <x:v>input</x:v>
      </x:c>
      <x:c r="E580" s="12" t="str">
        <x:v>audio_input</x:v>
      </x:c>
      <x:c r="F580" s="15" t="n">
        <x:v>3</x:v>
      </x:c>
      <x:c r="G580" s="17" t="n">
        <x:v>0.001</x:v>
      </x:c>
      <x:c r="H580" s="15" t="n">
        <x:f>F580*G580</x:f>
        <x:v>0.003</x:v>
      </x:c>
    </x:row>
    <x:row r="581" ht="34" customHeight="1">
      <x:c r="A581" s="7" t="str">
        <x:v>DP3-B-R2</x:v>
      </x:c>
      <x:c r="B581" s="7" t="str">
        <x:v>U08</x:v>
      </x:c>
      <x:c r="C581" s="7" t="str">
        <x:v>bg1</x:v>
      </x:c>
      <x:c r="D581" s="7" t="str">
        <x:v>background</x:v>
      </x:c>
      <x:c r="E581" s="7" t="str">
        <x:v>text_input</x:v>
      </x:c>
      <x:c r="F581" s="16" t="n">
        <x:v>1200</x:v>
      </x:c>
      <x:c r="G581" s="18" t="n">
        <x:v>0.000001</x:v>
      </x:c>
      <x:c r="H581" s="16" t="n">
        <x:f>F581*G581</x:f>
        <x:v>0.0012</x:v>
      </x:c>
    </x:row>
    <x:row r="582" ht="34" customHeight="1">
      <x:c r="A582" s="12" t="str">
        <x:v>DP3-B-R2</x:v>
      </x:c>
      <x:c r="B582" s="12" t="str">
        <x:v>U08</x:v>
      </x:c>
      <x:c r="C582" s="12" t="str">
        <x:v>bg1</x:v>
      </x:c>
      <x:c r="D582" s="12" t="str">
        <x:v>background</x:v>
      </x:c>
      <x:c r="E582" s="12" t="str">
        <x:v>text_output</x:v>
      </x:c>
      <x:c r="F582" s="15" t="n">
        <x:v>240</x:v>
      </x:c>
      <x:c r="G582" s="17" t="n">
        <x:v>0.000004</x:v>
      </x:c>
      <x:c r="H582" s="15" t="n">
        <x:f>F582*G582</x:f>
        <x:v>0.0009599999999999999</x:v>
      </x:c>
    </x:row>
    <x:row r="583" ht="34" customHeight="1">
      <x:c r="A583" s="7" t="str">
        <x:v>DP3-B-R2</x:v>
      </x:c>
      <x:c r="B583" s="7" t="str">
        <x:v>U08</x:v>
      </x:c>
      <x:c r="C583" s="7" t="str">
        <x:v>meaning</x:v>
      </x:c>
      <x:c r="D583" s="7" t="str">
        <x:v>request</x:v>
      </x:c>
      <x:c r="E583" s="7" t="str">
        <x:v>text_input</x:v>
      </x:c>
      <x:c r="F583" s="16" t="n">
        <x:v>600</x:v>
      </x:c>
      <x:c r="G583" s="18" t="n">
        <x:v>0.000001</x:v>
      </x:c>
      <x:c r="H583" s="16" t="n">
        <x:f>F583*G583</x:f>
        <x:v>0.0006</x:v>
      </x:c>
    </x:row>
    <x:row r="584" ht="34" customHeight="1">
      <x:c r="A584" s="12" t="str">
        <x:v>DP3-B-R2</x:v>
      </x:c>
      <x:c r="B584" s="12" t="str">
        <x:v>U08</x:v>
      </x:c>
      <x:c r="C584" s="12" t="str">
        <x:v>meaning</x:v>
      </x:c>
      <x:c r="D584" s="12" t="str">
        <x:v>request</x:v>
      </x:c>
      <x:c r="E584" s="12" t="str">
        <x:v>text_output</x:v>
      </x:c>
      <x:c r="F584" s="15" t="n">
        <x:v>64</x:v>
      </x:c>
      <x:c r="G584" s="17" t="n">
        <x:v>0.000004</x:v>
      </x:c>
      <x:c r="H584" s="15" t="n">
        <x:f>F584*G584</x:f>
        <x:v>0.000256</x:v>
      </x:c>
    </x:row>
    <x:row r="585" ht="34" customHeight="1">
      <x:c r="A585" s="7" t="str">
        <x:v>DP3-B-R2</x:v>
      </x:c>
      <x:c r="B585" s="7" t="str">
        <x:v>U08</x:v>
      </x:c>
      <x:c r="C585" s="7" t="str">
        <x:v>long_work</x:v>
      </x:c>
      <x:c r="D585" s="7" t="str">
        <x:v>request</x:v>
      </x:c>
      <x:c r="E585" s="7" t="str">
        <x:v>text_input</x:v>
      </x:c>
      <x:c r="F585" s="16" t="n">
        <x:v>1200</x:v>
      </x:c>
      <x:c r="G585" s="18" t="n">
        <x:v>0.000001</x:v>
      </x:c>
      <x:c r="H585" s="16" t="n">
        <x:f>F585*G585</x:f>
        <x:v>0.0012</x:v>
      </x:c>
    </x:row>
    <x:row r="586" ht="34" customHeight="1">
      <x:c r="A586" s="12" t="str">
        <x:v>DP3-B-R2</x:v>
      </x:c>
      <x:c r="B586" s="12" t="str">
        <x:v>U08</x:v>
      </x:c>
      <x:c r="C586" s="12" t="str">
        <x:v>long_work</x:v>
      </x:c>
      <x:c r="D586" s="12" t="str">
        <x:v>request</x:v>
      </x:c>
      <x:c r="E586" s="12" t="str">
        <x:v>text_output</x:v>
      </x:c>
      <x:c r="F586" s="15" t="n">
        <x:v>96</x:v>
      </x:c>
      <x:c r="G586" s="17" t="n">
        <x:v>0.000004</x:v>
      </x:c>
      <x:c r="H586" s="15" t="n">
        <x:f>F586*G586</x:f>
        <x:v>0.000384</x:v>
      </x:c>
    </x:row>
    <x:row r="587" ht="34" customHeight="1">
      <x:c r="A587" s="7" t="str">
        <x:v>DP3-B-R2</x:v>
      </x:c>
      <x:c r="B587" s="7" t="str">
        <x:v>U08</x:v>
      </x:c>
      <x:c r="C587" s="7" t="str">
        <x:v>response_audio</x:v>
      </x:c>
      <x:c r="D587" s="7" t="str">
        <x:v>request</x:v>
      </x:c>
      <x:c r="E587" s="7" t="str">
        <x:v>text_input</x:v>
      </x:c>
      <x:c r="F587" s="16" t="n">
        <x:v>48</x:v>
      </x:c>
      <x:c r="G587" s="18" t="n">
        <x:v>0.000001</x:v>
      </x:c>
      <x:c r="H587" s="16" t="n">
        <x:f>F587*G587</x:f>
        <x:v>0.000048</x:v>
      </x:c>
    </x:row>
    <x:row r="588" ht="34" customHeight="1">
      <x:c r="A588" s="12" t="str">
        <x:v>DP3-B-R2</x:v>
      </x:c>
      <x:c r="B588" s="12" t="str">
        <x:v>U08</x:v>
      </x:c>
      <x:c r="C588" s="12" t="str">
        <x:v>response_audio</x:v>
      </x:c>
      <x:c r="D588" s="12" t="str">
        <x:v>request</x:v>
      </x:c>
      <x:c r="E588" s="12" t="str">
        <x:v>audio_output</x:v>
      </x:c>
      <x:c r="F588" s="15" t="n">
        <x:v>6</x:v>
      </x:c>
      <x:c r="G588" s="17" t="n">
        <x:v>0.002</x:v>
      </x:c>
      <x:c r="H588" s="15" t="n">
        <x:f>F588*G588</x:f>
        <x:v>0.012</x:v>
      </x:c>
    </x:row>
    <x:row r="589" ht="34" customHeight="1">
      <x:c r="A589" s="7" t="str">
        <x:v>DP3-B-R2</x:v>
      </x:c>
      <x:c r="B589" s="7" t="str">
        <x:v>U08</x:v>
      </x:c>
      <x:c r="C589" s="7" t="str">
        <x:v>intent_audio</x:v>
      </x:c>
      <x:c r="D589" s="7" t="str">
        <x:v>request</x:v>
      </x:c>
      <x:c r="E589" s="7" t="str">
        <x:v>text_input</x:v>
      </x:c>
      <x:c r="F589" s="16" t="n">
        <x:v>24</x:v>
      </x:c>
      <x:c r="G589" s="18" t="n">
        <x:v>0.000001</x:v>
      </x:c>
      <x:c r="H589" s="16" t="n">
        <x:f>F589*G589</x:f>
        <x:v>0.000024</x:v>
      </x:c>
    </x:row>
    <x:row r="590" ht="34" customHeight="1">
      <x:c r="A590" s="12" t="str">
        <x:v>DP3-B-R2</x:v>
      </x:c>
      <x:c r="B590" s="12" t="str">
        <x:v>U08</x:v>
      </x:c>
      <x:c r="C590" s="12" t="str">
        <x:v>intent_audio</x:v>
      </x:c>
      <x:c r="D590" s="12" t="str">
        <x:v>request</x:v>
      </x:c>
      <x:c r="E590" s="12" t="str">
        <x:v>audio_output</x:v>
      </x:c>
      <x:c r="F590" s="15" t="n">
        <x:v>3</x:v>
      </x:c>
      <x:c r="G590" s="17" t="n">
        <x:v>0.002</x:v>
      </x:c>
      <x:c r="H590" s="15" t="n">
        <x:f>F590*G590</x:f>
        <x:v>0.006</x:v>
      </x:c>
    </x:row>
    <x:row r="591" ht="34" customHeight="1">
      <x:c r="A591" s="7" t="str">
        <x:v>DP3-B-R2</x:v>
      </x:c>
      <x:c r="B591" s="7" t="str">
        <x:v>U09</x:v>
      </x:c>
      <x:c r="C591" s="7" t="str">
        <x:v>meaning</x:v>
      </x:c>
      <x:c r="D591" s="7" t="str">
        <x:v>request</x:v>
      </x:c>
      <x:c r="E591" s="7" t="str">
        <x:v>text_input</x:v>
      </x:c>
      <x:c r="F591" s="16" t="n">
        <x:v>600</x:v>
      </x:c>
      <x:c r="G591" s="18" t="n">
        <x:v>0.000001</x:v>
      </x:c>
      <x:c r="H591" s="16" t="n">
        <x:f>F591*G591</x:f>
        <x:v>0.0006</x:v>
      </x:c>
    </x:row>
    <x:row r="592" ht="34" customHeight="1">
      <x:c r="A592" s="12" t="str">
        <x:v>DP3-B-R2</x:v>
      </x:c>
      <x:c r="B592" s="12" t="str">
        <x:v>U09</x:v>
      </x:c>
      <x:c r="C592" s="12" t="str">
        <x:v>meaning</x:v>
      </x:c>
      <x:c r="D592" s="12" t="str">
        <x:v>request</x:v>
      </x:c>
      <x:c r="E592" s="12" t="str">
        <x:v>text_output</x:v>
      </x:c>
      <x:c r="F592" s="15" t="n">
        <x:v>64</x:v>
      </x:c>
      <x:c r="G592" s="17" t="n">
        <x:v>0.000004</x:v>
      </x:c>
      <x:c r="H592" s="15" t="n">
        <x:f>F592*G592</x:f>
        <x:v>0.000256</x:v>
      </x:c>
    </x:row>
    <x:row r="593" ht="34" customHeight="1">
      <x:c r="A593" s="7" t="str">
        <x:v>DP3-B-R2</x:v>
      </x:c>
      <x:c r="B593" s="7" t="str">
        <x:v>U09</x:v>
      </x:c>
      <x:c r="C593" s="7" t="str">
        <x:v>response_audio</x:v>
      </x:c>
      <x:c r="D593" s="7" t="str">
        <x:v>request</x:v>
      </x:c>
      <x:c r="E593" s="7" t="str">
        <x:v>text_input</x:v>
      </x:c>
      <x:c r="F593" s="16" t="n">
        <x:v>48</x:v>
      </x:c>
      <x:c r="G593" s="18" t="n">
        <x:v>0.000001</x:v>
      </x:c>
      <x:c r="H593" s="16" t="n">
        <x:f>F593*G593</x:f>
        <x:v>0.000048</x:v>
      </x:c>
    </x:row>
    <x:row r="594" ht="34" customHeight="1">
      <x:c r="A594" s="12" t="str">
        <x:v>DP3-B-R2</x:v>
      </x:c>
      <x:c r="B594" s="12" t="str">
        <x:v>U09</x:v>
      </x:c>
      <x:c r="C594" s="12" t="str">
        <x:v>response_audio</x:v>
      </x:c>
      <x:c r="D594" s="12" t="str">
        <x:v>request</x:v>
      </x:c>
      <x:c r="E594" s="12" t="str">
        <x:v>audio_output</x:v>
      </x:c>
      <x:c r="F594" s="15" t="n">
        <x:v>6</x:v>
      </x:c>
      <x:c r="G594" s="17" t="n">
        <x:v>0.002</x:v>
      </x:c>
      <x:c r="H594" s="15" t="n">
        <x:f>F594*G594</x:f>
        <x:v>0.012</x:v>
      </x:c>
    </x:row>
    <x:row r="595" ht="34" customHeight="1">
      <x:c r="A595" s="7" t="str">
        <x:v>DP3-B-R2</x:v>
      </x:c>
      <x:c r="B595" s="7" t="str">
        <x:v>U09</x:v>
      </x:c>
      <x:c r="C595" s="7" t="str">
        <x:v>intent_audio</x:v>
      </x:c>
      <x:c r="D595" s="7" t="str">
        <x:v>request</x:v>
      </x:c>
      <x:c r="E595" s="7" t="str">
        <x:v>text_input</x:v>
      </x:c>
      <x:c r="F595" s="16" t="n">
        <x:v>24</x:v>
      </x:c>
      <x:c r="G595" s="18" t="n">
        <x:v>0.000001</x:v>
      </x:c>
      <x:c r="H595" s="16" t="n">
        <x:f>F595*G595</x:f>
        <x:v>0.000024</x:v>
      </x:c>
    </x:row>
    <x:row r="596" ht="34" customHeight="1">
      <x:c r="A596" s="12" t="str">
        <x:v>DP3-B-R2</x:v>
      </x:c>
      <x:c r="B596" s="12" t="str">
        <x:v>U09</x:v>
      </x:c>
      <x:c r="C596" s="12" t="str">
        <x:v>intent_audio</x:v>
      </x:c>
      <x:c r="D596" s="12" t="str">
        <x:v>request</x:v>
      </x:c>
      <x:c r="E596" s="12" t="str">
        <x:v>audio_output</x:v>
      </x:c>
      <x:c r="F596" s="15" t="n">
        <x:v>3</x:v>
      </x:c>
      <x:c r="G596" s="17" t="n">
        <x:v>0.002</x:v>
      </x:c>
      <x:c r="H596" s="15" t="n">
        <x:f>F596*G596</x:f>
        <x:v>0.006</x:v>
      </x:c>
    </x:row>
    <x:row r="597" ht="34" customHeight="1">
      <x:c r="A597" s="7" t="str">
        <x:v>DP3-B-R2</x:v>
      </x:c>
      <x:c r="B597" s="7" t="str">
        <x:v>U09</x:v>
      </x:c>
      <x:c r="C597" s="7" t="str">
        <x:v>input_end</x:v>
      </x:c>
      <x:c r="D597" s="7" t="str">
        <x:v>input</x:v>
      </x:c>
      <x:c r="E597" s="7" t="str">
        <x:v>audio_input</x:v>
      </x:c>
      <x:c r="F597" s="16" t="n">
        <x:v>3</x:v>
      </x:c>
      <x:c r="G597" s="18" t="n">
        <x:v>0.001</x:v>
      </x:c>
      <x:c r="H597" s="16" t="n">
        <x:f>F597*G597</x:f>
        <x:v>0.003</x:v>
      </x:c>
    </x:row>
    <x:row r="598" ht="34" customHeight="1">
      <x:c r="A598" s="12" t="str">
        <x:v>DP3-B-R2</x:v>
      </x:c>
      <x:c r="B598" s="12" t="str">
        <x:v>U10</x:v>
      </x:c>
      <x:c r="C598" s="12" t="str">
        <x:v>meaning</x:v>
      </x:c>
      <x:c r="D598" s="12" t="str">
        <x:v>request</x:v>
      </x:c>
      <x:c r="E598" s="12" t="str">
        <x:v>text_input</x:v>
      </x:c>
      <x:c r="F598" s="15" t="n">
        <x:v>1120</x:v>
      </x:c>
      <x:c r="G598" s="17" t="n">
        <x:v>0.000001</x:v>
      </x:c>
      <x:c r="H598" s="15" t="n">
        <x:f>F598*G598</x:f>
        <x:v>0.00112</x:v>
      </x:c>
    </x:row>
    <x:row r="599" ht="34" customHeight="1">
      <x:c r="A599" s="7" t="str">
        <x:v>DP3-B-R2</x:v>
      </x:c>
      <x:c r="B599" s="7" t="str">
        <x:v>U10</x:v>
      </x:c>
      <x:c r="C599" s="7" t="str">
        <x:v>meaning</x:v>
      </x:c>
      <x:c r="D599" s="7" t="str">
        <x:v>request</x:v>
      </x:c>
      <x:c r="E599" s="7" t="str">
        <x:v>text_output</x:v>
      </x:c>
      <x:c r="F599" s="16" t="n">
        <x:v>64</x:v>
      </x:c>
      <x:c r="G599" s="18" t="n">
        <x:v>0.000004</x:v>
      </x:c>
      <x:c r="H599" s="16" t="n">
        <x:f>F599*G599</x:f>
        <x:v>0.000256</x:v>
      </x:c>
    </x:row>
    <x:row r="600" ht="34" customHeight="1">
      <x:c r="A600" s="12" t="str">
        <x:v>DP3-B-R2</x:v>
      </x:c>
      <x:c r="B600" s="12" t="str">
        <x:v>U10</x:v>
      </x:c>
      <x:c r="C600" s="12" t="str">
        <x:v>response_audio</x:v>
      </x:c>
      <x:c r="D600" s="12" t="str">
        <x:v>request</x:v>
      </x:c>
      <x:c r="E600" s="12" t="str">
        <x:v>text_input</x:v>
      </x:c>
      <x:c r="F600" s="15" t="n">
        <x:v>48</x:v>
      </x:c>
      <x:c r="G600" s="17" t="n">
        <x:v>0.000001</x:v>
      </x:c>
      <x:c r="H600" s="15" t="n">
        <x:f>F600*G600</x:f>
        <x:v>0.000048</x:v>
      </x:c>
    </x:row>
    <x:row r="601" ht="34" customHeight="1">
      <x:c r="A601" s="7" t="str">
        <x:v>DP3-B-R2</x:v>
      </x:c>
      <x:c r="B601" s="7" t="str">
        <x:v>U10</x:v>
      </x:c>
      <x:c r="C601" s="7" t="str">
        <x:v>response_audio</x:v>
      </x:c>
      <x:c r="D601" s="7" t="str">
        <x:v>request</x:v>
      </x:c>
      <x:c r="E601" s="7" t="str">
        <x:v>audio_output</x:v>
      </x:c>
      <x:c r="F601" s="16" t="n">
        <x:v>6</x:v>
      </x:c>
      <x:c r="G601" s="18" t="n">
        <x:v>0.002</x:v>
      </x:c>
      <x:c r="H601" s="16" t="n">
        <x:f>F601*G601</x:f>
        <x:v>0.012</x:v>
      </x:c>
    </x:row>
    <x:row r="602" ht="34" customHeight="1">
      <x:c r="A602" s="12" t="str">
        <x:v>DP3-B-R2</x:v>
      </x:c>
      <x:c r="B602" s="12" t="str">
        <x:v>U10</x:v>
      </x:c>
      <x:c r="C602" s="12" t="str">
        <x:v>intent_audio</x:v>
      </x:c>
      <x:c r="D602" s="12" t="str">
        <x:v>request</x:v>
      </x:c>
      <x:c r="E602" s="12" t="str">
        <x:v>text_input</x:v>
      </x:c>
      <x:c r="F602" s="15" t="n">
        <x:v>24</x:v>
      </x:c>
      <x:c r="G602" s="17" t="n">
        <x:v>0.000001</x:v>
      </x:c>
      <x:c r="H602" s="15" t="n">
        <x:f>F602*G602</x:f>
        <x:v>0.000024</x:v>
      </x:c>
    </x:row>
    <x:row r="603" ht="34" customHeight="1">
      <x:c r="A603" s="7" t="str">
        <x:v>DP3-B-R2</x:v>
      </x:c>
      <x:c r="B603" s="7" t="str">
        <x:v>U10</x:v>
      </x:c>
      <x:c r="C603" s="7" t="str">
        <x:v>intent_audio</x:v>
      </x:c>
      <x:c r="D603" s="7" t="str">
        <x:v>request</x:v>
      </x:c>
      <x:c r="E603" s="7" t="str">
        <x:v>audio_output</x:v>
      </x:c>
      <x:c r="F603" s="16" t="n">
        <x:v>3</x:v>
      </x:c>
      <x:c r="G603" s="18" t="n">
        <x:v>0.002</x:v>
      </x:c>
      <x:c r="H603" s="16" t="n">
        <x:f>F603*G603</x:f>
        <x:v>0.006</x:v>
      </x:c>
    </x:row>
    <x:row r="604" ht="34" customHeight="1">
      <x:c r="A604" s="12" t="str">
        <x:v>DP3-B-R2</x:v>
      </x:c>
      <x:c r="B604" s="12" t="str">
        <x:v>U10</x:v>
      </x:c>
      <x:c r="C604" s="12" t="str">
        <x:v>input_end</x:v>
      </x:c>
      <x:c r="D604" s="12" t="str">
        <x:v>input</x:v>
      </x:c>
      <x:c r="E604" s="12" t="str">
        <x:v>audio_input</x:v>
      </x:c>
      <x:c r="F604" s="15" t="n">
        <x:v>3</x:v>
      </x:c>
      <x:c r="G604" s="17" t="n">
        <x:v>0.001</x:v>
      </x:c>
      <x:c r="H604" s="15" t="n">
        <x:f>F604*G604</x:f>
        <x:v>0.003</x:v>
      </x:c>
    </x:row>
    <x:row r="605" ht="34" customHeight="1">
      <x:c r="A605" s="7" t="str">
        <x:v>DP3-B-R2</x:v>
      </x:c>
      <x:c r="B605" s="7" t="str">
        <x:v>U11</x:v>
      </x:c>
      <x:c r="C605" s="7" t="str">
        <x:v>expand_need</x:v>
      </x:c>
      <x:c r="D605" s="7" t="str">
        <x:v>request</x:v>
      </x:c>
      <x:c r="E605" s="7" t="str">
        <x:v>text_input</x:v>
      </x:c>
      <x:c r="F605" s="16" t="n">
        <x:v>1640</x:v>
      </x:c>
      <x:c r="G605" s="18" t="n">
        <x:v>0.000001</x:v>
      </x:c>
      <x:c r="H605" s="16" t="n">
        <x:f>F605*G605</x:f>
        <x:v>0.00164</x:v>
      </x:c>
    </x:row>
    <x:row r="606" ht="34" customHeight="1">
      <x:c r="A606" s="12" t="str">
        <x:v>DP3-B-R2</x:v>
      </x:c>
      <x:c r="B606" s="12" t="str">
        <x:v>U11</x:v>
      </x:c>
      <x:c r="C606" s="12" t="str">
        <x:v>expand_need</x:v>
      </x:c>
      <x:c r="D606" s="12" t="str">
        <x:v>request</x:v>
      </x:c>
      <x:c r="E606" s="12" t="str">
        <x:v>text_output</x:v>
      </x:c>
      <x:c r="F606" s="15" t="n">
        <x:v>32</x:v>
      </x:c>
      <x:c r="G606" s="17" t="n">
        <x:v>0.000004</x:v>
      </x:c>
      <x:c r="H606" s="15" t="n">
        <x:f>F606*G606</x:f>
        <x:v>0.000128</x:v>
      </x:c>
    </x:row>
    <x:row r="607" ht="34" customHeight="1">
      <x:c r="A607" s="7" t="str">
        <x:v>DP3-B-R2</x:v>
      </x:c>
      <x:c r="B607" s="7" t="str">
        <x:v>U11</x:v>
      </x:c>
      <x:c r="C607" s="7" t="str">
        <x:v>meaning</x:v>
      </x:c>
      <x:c r="D607" s="7" t="str">
        <x:v>request</x:v>
      </x:c>
      <x:c r="E607" s="7" t="str">
        <x:v>text_input</x:v>
      </x:c>
      <x:c r="F607" s="16" t="n">
        <x:v>2540</x:v>
      </x:c>
      <x:c r="G607" s="18" t="n">
        <x:v>0.000001</x:v>
      </x:c>
      <x:c r="H607" s="16" t="n">
        <x:f>F607*G607</x:f>
        <x:v>0.0025399999999999997</x:v>
      </x:c>
    </x:row>
    <x:row r="608" ht="34" customHeight="1">
      <x:c r="A608" s="12" t="str">
        <x:v>DP3-B-R2</x:v>
      </x:c>
      <x:c r="B608" s="12" t="str">
        <x:v>U11</x:v>
      </x:c>
      <x:c r="C608" s="12" t="str">
        <x:v>meaning</x:v>
      </x:c>
      <x:c r="D608" s="12" t="str">
        <x:v>request</x:v>
      </x:c>
      <x:c r="E608" s="12" t="str">
        <x:v>text_output</x:v>
      </x:c>
      <x:c r="F608" s="15" t="n">
        <x:v>64</x:v>
      </x:c>
      <x:c r="G608" s="17" t="n">
        <x:v>0.000004</x:v>
      </x:c>
      <x:c r="H608" s="15" t="n">
        <x:f>F608*G608</x:f>
        <x:v>0.000256</x:v>
      </x:c>
    </x:row>
    <x:row r="609" ht="34" customHeight="1">
      <x:c r="A609" s="7" t="str">
        <x:v>DP3-B-R2</x:v>
      </x:c>
      <x:c r="B609" s="7" t="str">
        <x:v>U11</x:v>
      </x:c>
      <x:c r="C609" s="7" t="str">
        <x:v>response_audio</x:v>
      </x:c>
      <x:c r="D609" s="7" t="str">
        <x:v>request</x:v>
      </x:c>
      <x:c r="E609" s="7" t="str">
        <x:v>text_input</x:v>
      </x:c>
      <x:c r="F609" s="16" t="n">
        <x:v>48</x:v>
      </x:c>
      <x:c r="G609" s="18" t="n">
        <x:v>0.000001</x:v>
      </x:c>
      <x:c r="H609" s="16" t="n">
        <x:f>F609*G609</x:f>
        <x:v>0.000048</x:v>
      </x:c>
    </x:row>
    <x:row r="610" ht="34" customHeight="1">
      <x:c r="A610" s="12" t="str">
        <x:v>DP3-B-R2</x:v>
      </x:c>
      <x:c r="B610" s="12" t="str">
        <x:v>U11</x:v>
      </x:c>
      <x:c r="C610" s="12" t="str">
        <x:v>response_audio</x:v>
      </x:c>
      <x:c r="D610" s="12" t="str">
        <x:v>request</x:v>
      </x:c>
      <x:c r="E610" s="12" t="str">
        <x:v>audio_output</x:v>
      </x:c>
      <x:c r="F610" s="15" t="n">
        <x:v>6</x:v>
      </x:c>
      <x:c r="G610" s="17" t="n">
        <x:v>0.002</x:v>
      </x:c>
      <x:c r="H610" s="15" t="n">
        <x:f>F610*G610</x:f>
        <x:v>0.012</x:v>
      </x:c>
    </x:row>
    <x:row r="611" ht="34" customHeight="1">
      <x:c r="A611" s="7" t="str">
        <x:v>DP3-B-R2</x:v>
      </x:c>
      <x:c r="B611" s="7" t="str">
        <x:v>U11</x:v>
      </x:c>
      <x:c r="C611" s="7" t="str">
        <x:v>intent_audio</x:v>
      </x:c>
      <x:c r="D611" s="7" t="str">
        <x:v>request</x:v>
      </x:c>
      <x:c r="E611" s="7" t="str">
        <x:v>text_input</x:v>
      </x:c>
      <x:c r="F611" s="16" t="n">
        <x:v>24</x:v>
      </x:c>
      <x:c r="G611" s="18" t="n">
        <x:v>0.000001</x:v>
      </x:c>
      <x:c r="H611" s="16" t="n">
        <x:f>F611*G611</x:f>
        <x:v>0.000024</x:v>
      </x:c>
    </x:row>
    <x:row r="612" ht="34" customHeight="1">
      <x:c r="A612" s="12" t="str">
        <x:v>DP3-B-R2</x:v>
      </x:c>
      <x:c r="B612" s="12" t="str">
        <x:v>U11</x:v>
      </x:c>
      <x:c r="C612" s="12" t="str">
        <x:v>intent_audio</x:v>
      </x:c>
      <x:c r="D612" s="12" t="str">
        <x:v>request</x:v>
      </x:c>
      <x:c r="E612" s="12" t="str">
        <x:v>audio_output</x:v>
      </x:c>
      <x:c r="F612" s="15" t="n">
        <x:v>3</x:v>
      </x:c>
      <x:c r="G612" s="17" t="n">
        <x:v>0.002</x:v>
      </x:c>
      <x:c r="H612" s="15" t="n">
        <x:f>F612*G612</x:f>
        <x:v>0.006</x:v>
      </x:c>
    </x:row>
    <x:row r="613" ht="34" customHeight="1">
      <x:c r="A613" s="7" t="str">
        <x:v>DP3-B-R2</x:v>
      </x:c>
      <x:c r="B613" s="7" t="str">
        <x:v>U11</x:v>
      </x:c>
      <x:c r="C613" s="7" t="str">
        <x:v>input_end</x:v>
      </x:c>
      <x:c r="D613" s="7" t="str">
        <x:v>input</x:v>
      </x:c>
      <x:c r="E613" s="7" t="str">
        <x:v>audio_input</x:v>
      </x:c>
      <x:c r="F613" s="16" t="n">
        <x:v>3</x:v>
      </x:c>
      <x:c r="G613" s="18" t="n">
        <x:v>0.001</x:v>
      </x:c>
      <x:c r="H613" s="16" t="n">
        <x:f>F613*G613</x:f>
        <x:v>0.003</x:v>
      </x:c>
    </x:row>
    <x:row r="614" ht="34" customHeight="1">
      <x:c r="A614" s="12" t="str">
        <x:v>DP3-B-R2</x:v>
      </x:c>
      <x:c r="B614" s="12" t="str">
        <x:v>U12</x:v>
      </x:c>
      <x:c r="C614" s="12" t="str">
        <x:v>pre_adopt</x:v>
      </x:c>
      <x:c r="D614" s="12" t="str">
        <x:v>preparation</x:v>
      </x:c>
      <x:c r="E614" s="12" t="str">
        <x:v>text_input</x:v>
      </x:c>
      <x:c r="F614" s="15" t="n">
        <x:v>1120</x:v>
      </x:c>
      <x:c r="G614" s="17" t="n">
        <x:v>0.000001</x:v>
      </x:c>
      <x:c r="H614" s="15" t="n">
        <x:f>F614*G614</x:f>
        <x:v>0.00112</x:v>
      </x:c>
    </x:row>
    <x:row r="615" ht="34" customHeight="1">
      <x:c r="A615" s="7" t="str">
        <x:v>DP3-B-R2</x:v>
      </x:c>
      <x:c r="B615" s="7" t="str">
        <x:v>U12</x:v>
      </x:c>
      <x:c r="C615" s="7" t="str">
        <x:v>pre_adopt</x:v>
      </x:c>
      <x:c r="D615" s="7" t="str">
        <x:v>preparation</x:v>
      </x:c>
      <x:c r="E615" s="7" t="str">
        <x:v>text_output</x:v>
      </x:c>
      <x:c r="F615" s="16" t="n">
        <x:v>64</x:v>
      </x:c>
      <x:c r="G615" s="18" t="n">
        <x:v>0.000004</x:v>
      </x:c>
      <x:c r="H615" s="16" t="n">
        <x:f>F615*G615</x:f>
        <x:v>0.000256</x:v>
      </x:c>
    </x:row>
    <x:row r="616" ht="34" customHeight="1">
      <x:c r="A616" s="12" t="str">
        <x:v>DP3-B-R2</x:v>
      </x:c>
      <x:c r="B616" s="12" t="str">
        <x:v>U12</x:v>
      </x:c>
      <x:c r="C616" s="12" t="str">
        <x:v>meaning</x:v>
      </x:c>
      <x:c r="D616" s="12" t="str">
        <x:v>request</x:v>
      </x:c>
      <x:c r="E616" s="12" t="str">
        <x:v>text_input</x:v>
      </x:c>
      <x:c r="F616" s="15" t="n">
        <x:v>600</x:v>
      </x:c>
      <x:c r="G616" s="17" t="n">
        <x:v>0.000001</x:v>
      </x:c>
      <x:c r="H616" s="15" t="n">
        <x:f>F616*G616</x:f>
        <x:v>0.0006</x:v>
      </x:c>
    </x:row>
    <x:row r="617" ht="34" customHeight="1">
      <x:c r="A617" s="7" t="str">
        <x:v>DP3-B-R2</x:v>
      </x:c>
      <x:c r="B617" s="7" t="str">
        <x:v>U12</x:v>
      </x:c>
      <x:c r="C617" s="7" t="str">
        <x:v>meaning</x:v>
      </x:c>
      <x:c r="D617" s="7" t="str">
        <x:v>request</x:v>
      </x:c>
      <x:c r="E617" s="7" t="str">
        <x:v>text_output</x:v>
      </x:c>
      <x:c r="F617" s="16" t="n">
        <x:v>64</x:v>
      </x:c>
      <x:c r="G617" s="18" t="n">
        <x:v>0.000004</x:v>
      </x:c>
      <x:c r="H617" s="16" t="n">
        <x:f>F617*G617</x:f>
        <x:v>0.000256</x:v>
      </x:c>
    </x:row>
    <x:row r="618" ht="34" customHeight="1">
      <x:c r="A618" s="12" t="str">
        <x:v>DP3-B-R2</x:v>
      </x:c>
      <x:c r="B618" s="12" t="str">
        <x:v>U12</x:v>
      </x:c>
      <x:c r="C618" s="12" t="str">
        <x:v>response_audio</x:v>
      </x:c>
      <x:c r="D618" s="12" t="str">
        <x:v>request</x:v>
      </x:c>
      <x:c r="E618" s="12" t="str">
        <x:v>text_input</x:v>
      </x:c>
      <x:c r="F618" s="15" t="n">
        <x:v>48</x:v>
      </x:c>
      <x:c r="G618" s="17" t="n">
        <x:v>0.000001</x:v>
      </x:c>
      <x:c r="H618" s="15" t="n">
        <x:f>F618*G618</x:f>
        <x:v>0.000048</x:v>
      </x:c>
    </x:row>
    <x:row r="619" ht="34" customHeight="1">
      <x:c r="A619" s="7" t="str">
        <x:v>DP3-B-R2</x:v>
      </x:c>
      <x:c r="B619" s="7" t="str">
        <x:v>U12</x:v>
      </x:c>
      <x:c r="C619" s="7" t="str">
        <x:v>response_audio</x:v>
      </x:c>
      <x:c r="D619" s="7" t="str">
        <x:v>request</x:v>
      </x:c>
      <x:c r="E619" s="7" t="str">
        <x:v>audio_output</x:v>
      </x:c>
      <x:c r="F619" s="16" t="n">
        <x:v>6</x:v>
      </x:c>
      <x:c r="G619" s="18" t="n">
        <x:v>0.002</x:v>
      </x:c>
      <x:c r="H619" s="16" t="n">
        <x:f>F619*G619</x:f>
        <x:v>0.012</x:v>
      </x:c>
    </x:row>
    <x:row r="620" ht="34" customHeight="1">
      <x:c r="A620" s="12" t="str">
        <x:v>DP3-B-R2</x:v>
      </x:c>
      <x:c r="B620" s="12" t="str">
        <x:v>U12</x:v>
      </x:c>
      <x:c r="C620" s="12" t="str">
        <x:v>intent_audio</x:v>
      </x:c>
      <x:c r="D620" s="12" t="str">
        <x:v>request</x:v>
      </x:c>
      <x:c r="E620" s="12" t="str">
        <x:v>text_input</x:v>
      </x:c>
      <x:c r="F620" s="15" t="n">
        <x:v>24</x:v>
      </x:c>
      <x:c r="G620" s="17" t="n">
        <x:v>0.000001</x:v>
      </x:c>
      <x:c r="H620" s="15" t="n">
        <x:f>F620*G620</x:f>
        <x:v>0.000024</x:v>
      </x:c>
    </x:row>
    <x:row r="621" ht="34" customHeight="1">
      <x:c r="A621" s="7" t="str">
        <x:v>DP3-B-R2</x:v>
      </x:c>
      <x:c r="B621" s="7" t="str">
        <x:v>U12</x:v>
      </x:c>
      <x:c r="C621" s="7" t="str">
        <x:v>intent_audio</x:v>
      </x:c>
      <x:c r="D621" s="7" t="str">
        <x:v>request</x:v>
      </x:c>
      <x:c r="E621" s="7" t="str">
        <x:v>audio_output</x:v>
      </x:c>
      <x:c r="F621" s="16" t="n">
        <x:v>3</x:v>
      </x:c>
      <x:c r="G621" s="18" t="n">
        <x:v>0.002</x:v>
      </x:c>
      <x:c r="H621" s="16" t="n">
        <x:f>F621*G621</x:f>
        <x:v>0.006</x:v>
      </x:c>
    </x:row>
    <x:row r="622" ht="34" customHeight="1">
      <x:c r="A622" s="12" t="str">
        <x:v>DP3-B-R2</x:v>
      </x:c>
      <x:c r="B622" s="12" t="str">
        <x:v>U12</x:v>
      </x:c>
      <x:c r="C622" s="12" t="str">
        <x:v>input_end</x:v>
      </x:c>
      <x:c r="D622" s="12" t="str">
        <x:v>input</x:v>
      </x:c>
      <x:c r="E622" s="12" t="str">
        <x:v>audio_input</x:v>
      </x:c>
      <x:c r="F622" s="15" t="n">
        <x:v>3</x:v>
      </x:c>
      <x:c r="G622" s="17" t="n">
        <x:v>0.001</x:v>
      </x:c>
      <x:c r="H622" s="15" t="n">
        <x:f>F622*G622</x:f>
        <x:v>0.003</x:v>
      </x:c>
    </x:row>
    <x:row r="623" ht="34" customHeight="1">
      <x:c r="A623" s="7" t="str">
        <x:v>DP3-B-R2</x:v>
      </x:c>
      <x:c r="B623" s="7" t="str">
        <x:v>U13</x:v>
      </x:c>
      <x:c r="C623" s="7" t="str">
        <x:v>meaning</x:v>
      </x:c>
      <x:c r="D623" s="7" t="str">
        <x:v>request</x:v>
      </x:c>
      <x:c r="E623" s="7" t="str">
        <x:v>text_input</x:v>
      </x:c>
      <x:c r="F623" s="16" t="n">
        <x:v>600</x:v>
      </x:c>
      <x:c r="G623" s="18" t="n">
        <x:v>0.000001</x:v>
      </x:c>
      <x:c r="H623" s="16" t="n">
        <x:f>F623*G623</x:f>
        <x:v>0.0006</x:v>
      </x:c>
    </x:row>
    <x:row r="624" ht="34" customHeight="1">
      <x:c r="A624" s="12" t="str">
        <x:v>DP3-B-R2</x:v>
      </x:c>
      <x:c r="B624" s="12" t="str">
        <x:v>U13</x:v>
      </x:c>
      <x:c r="C624" s="12" t="str">
        <x:v>meaning</x:v>
      </x:c>
      <x:c r="D624" s="12" t="str">
        <x:v>request</x:v>
      </x:c>
      <x:c r="E624" s="12" t="str">
        <x:v>text_output</x:v>
      </x:c>
      <x:c r="F624" s="15" t="n">
        <x:v>64</x:v>
      </x:c>
      <x:c r="G624" s="17" t="n">
        <x:v>0.000004</x:v>
      </x:c>
      <x:c r="H624" s="15" t="n">
        <x:f>F624*G624</x:f>
        <x:v>0.000256</x:v>
      </x:c>
    </x:row>
    <x:row r="625" ht="34" customHeight="1">
      <x:c r="A625" s="7" t="str">
        <x:v>DP3-B-R2</x:v>
      </x:c>
      <x:c r="B625" s="7" t="str">
        <x:v>U13</x:v>
      </x:c>
      <x:c r="C625" s="7" t="str">
        <x:v>response_audio</x:v>
      </x:c>
      <x:c r="D625" s="7" t="str">
        <x:v>request</x:v>
      </x:c>
      <x:c r="E625" s="7" t="str">
        <x:v>text_input</x:v>
      </x:c>
      <x:c r="F625" s="16" t="n">
        <x:v>48</x:v>
      </x:c>
      <x:c r="G625" s="18" t="n">
        <x:v>0.000001</x:v>
      </x:c>
      <x:c r="H625" s="16" t="n">
        <x:f>F625*G625</x:f>
        <x:v>0.000048</x:v>
      </x:c>
    </x:row>
    <x:row r="626" ht="34" customHeight="1">
      <x:c r="A626" s="12" t="str">
        <x:v>DP3-B-R2</x:v>
      </x:c>
      <x:c r="B626" s="12" t="str">
        <x:v>U13</x:v>
      </x:c>
      <x:c r="C626" s="12" t="str">
        <x:v>response_audio</x:v>
      </x:c>
      <x:c r="D626" s="12" t="str">
        <x:v>request</x:v>
      </x:c>
      <x:c r="E626" s="12" t="str">
        <x:v>audio_output</x:v>
      </x:c>
      <x:c r="F626" s="15" t="n">
        <x:v>6</x:v>
      </x:c>
      <x:c r="G626" s="17" t="n">
        <x:v>0.002</x:v>
      </x:c>
      <x:c r="H626" s="15" t="n">
        <x:f>F626*G626</x:f>
        <x:v>0.012</x:v>
      </x:c>
    </x:row>
    <x:row r="627" ht="34" customHeight="1">
      <x:c r="A627" s="7" t="str">
        <x:v>DP3-B-R2</x:v>
      </x:c>
      <x:c r="B627" s="7" t="str">
        <x:v>U13</x:v>
      </x:c>
      <x:c r="C627" s="7" t="str">
        <x:v>intent_audio</x:v>
      </x:c>
      <x:c r="D627" s="7" t="str">
        <x:v>request</x:v>
      </x:c>
      <x:c r="E627" s="7" t="str">
        <x:v>text_input</x:v>
      </x:c>
      <x:c r="F627" s="16" t="n">
        <x:v>24</x:v>
      </x:c>
      <x:c r="G627" s="18" t="n">
        <x:v>0.000001</x:v>
      </x:c>
      <x:c r="H627" s="16" t="n">
        <x:f>F627*G627</x:f>
        <x:v>0.000024</x:v>
      </x:c>
    </x:row>
    <x:row r="628" ht="34" customHeight="1">
      <x:c r="A628" s="12" t="str">
        <x:v>DP3-B-R2</x:v>
      </x:c>
      <x:c r="B628" s="12" t="str">
        <x:v>U13</x:v>
      </x:c>
      <x:c r="C628" s="12" t="str">
        <x:v>intent_audio</x:v>
      </x:c>
      <x:c r="D628" s="12" t="str">
        <x:v>request</x:v>
      </x:c>
      <x:c r="E628" s="12" t="str">
        <x:v>audio_output</x:v>
      </x:c>
      <x:c r="F628" s="15" t="n">
        <x:v>3</x:v>
      </x:c>
      <x:c r="G628" s="17" t="n">
        <x:v>0.002</x:v>
      </x:c>
      <x:c r="H628" s="15" t="n">
        <x:f>F628*G628</x:f>
        <x:v>0.006</x:v>
      </x:c>
    </x:row>
    <x:row r="629" ht="34" customHeight="1">
      <x:c r="A629" s="7" t="str">
        <x:v>DP3-B-R2</x:v>
      </x:c>
      <x:c r="B629" s="7" t="str">
        <x:v>U14</x:v>
      </x:c>
      <x:c r="C629" s="7" t="str">
        <x:v>meaning</x:v>
      </x:c>
      <x:c r="D629" s="7" t="str">
        <x:v>request</x:v>
      </x:c>
      <x:c r="E629" s="7" t="str">
        <x:v>text_input</x:v>
      </x:c>
      <x:c r="F629" s="16" t="n">
        <x:v>3000</x:v>
      </x:c>
      <x:c r="G629" s="18" t="n">
        <x:v>0.000001</x:v>
      </x:c>
      <x:c r="H629" s="16" t="n">
        <x:f>F629*G629</x:f>
        <x:v>0.003</x:v>
      </x:c>
    </x:row>
    <x:row r="630" ht="34" customHeight="1">
      <x:c r="A630" s="12" t="str">
        <x:v>DP3-B-R2</x:v>
      </x:c>
      <x:c r="B630" s="12" t="str">
        <x:v>U14</x:v>
      </x:c>
      <x:c r="C630" s="12" t="str">
        <x:v>meaning</x:v>
      </x:c>
      <x:c r="D630" s="12" t="str">
        <x:v>request</x:v>
      </x:c>
      <x:c r="E630" s="12" t="str">
        <x:v>text_output</x:v>
      </x:c>
      <x:c r="F630" s="15" t="n">
        <x:v>64</x:v>
      </x:c>
      <x:c r="G630" s="17" t="n">
        <x:v>0.000004</x:v>
      </x:c>
      <x:c r="H630" s="15" t="n">
        <x:f>F630*G630</x:f>
        <x:v>0.000256</x:v>
      </x:c>
    </x:row>
    <x:row r="631" ht="34" customHeight="1">
      <x:c r="A631" s="7" t="str">
        <x:v>DP3-B-R2</x:v>
      </x:c>
      <x:c r="B631" s="7" t="str">
        <x:v>U14</x:v>
      </x:c>
      <x:c r="C631" s="7" t="str">
        <x:v>response_audio</x:v>
      </x:c>
      <x:c r="D631" s="7" t="str">
        <x:v>request</x:v>
      </x:c>
      <x:c r="E631" s="7" t="str">
        <x:v>text_input</x:v>
      </x:c>
      <x:c r="F631" s="16" t="n">
        <x:v>48</x:v>
      </x:c>
      <x:c r="G631" s="18" t="n">
        <x:v>0.000001</x:v>
      </x:c>
      <x:c r="H631" s="16" t="n">
        <x:f>F631*G631</x:f>
        <x:v>0.000048</x:v>
      </x:c>
    </x:row>
    <x:row r="632" ht="34" customHeight="1">
      <x:c r="A632" s="12" t="str">
        <x:v>DP3-B-R2</x:v>
      </x:c>
      <x:c r="B632" s="12" t="str">
        <x:v>U14</x:v>
      </x:c>
      <x:c r="C632" s="12" t="str">
        <x:v>response_audio</x:v>
      </x:c>
      <x:c r="D632" s="12" t="str">
        <x:v>request</x:v>
      </x:c>
      <x:c r="E632" s="12" t="str">
        <x:v>audio_output</x:v>
      </x:c>
      <x:c r="F632" s="15" t="n">
        <x:v>6</x:v>
      </x:c>
      <x:c r="G632" s="17" t="n">
        <x:v>0.002</x:v>
      </x:c>
      <x:c r="H632" s="15" t="n">
        <x:f>F632*G632</x:f>
        <x:v>0.012</x:v>
      </x:c>
    </x:row>
    <x:row r="633" ht="34" customHeight="1">
      <x:c r="A633" s="7" t="str">
        <x:v>DP3-B-R2</x:v>
      </x:c>
      <x:c r="B633" s="7" t="str">
        <x:v>U14</x:v>
      </x:c>
      <x:c r="C633" s="7" t="str">
        <x:v>intent_audio</x:v>
      </x:c>
      <x:c r="D633" s="7" t="str">
        <x:v>request</x:v>
      </x:c>
      <x:c r="E633" s="7" t="str">
        <x:v>text_input</x:v>
      </x:c>
      <x:c r="F633" s="16" t="n">
        <x:v>24</x:v>
      </x:c>
      <x:c r="G633" s="18" t="n">
        <x:v>0.000001</x:v>
      </x:c>
      <x:c r="H633" s="16" t="n">
        <x:f>F633*G633</x:f>
        <x:v>0.000024</x:v>
      </x:c>
    </x:row>
    <x:row r="634" ht="34" customHeight="1">
      <x:c r="A634" s="12" t="str">
        <x:v>DP3-B-R2</x:v>
      </x:c>
      <x:c r="B634" s="12" t="str">
        <x:v>U14</x:v>
      </x:c>
      <x:c r="C634" s="12" t="str">
        <x:v>intent_audio</x:v>
      </x:c>
      <x:c r="D634" s="12" t="str">
        <x:v>request</x:v>
      </x:c>
      <x:c r="E634" s="12" t="str">
        <x:v>audio_output</x:v>
      </x:c>
      <x:c r="F634" s="15" t="n">
        <x:v>3</x:v>
      </x:c>
      <x:c r="G634" s="17" t="n">
        <x:v>0.002</x:v>
      </x:c>
      <x:c r="H634" s="15" t="n">
        <x:f>F634*G634</x:f>
        <x:v>0.006</x:v>
      </x:c>
    </x:row>
    <x:row r="635" ht="34" customHeight="1">
      <x:c r="A635" s="7" t="str">
        <x:v>DP3-B-R2</x:v>
      </x:c>
      <x:c r="B635" s="7" t="str">
        <x:v>U14</x:v>
      </x:c>
      <x:c r="C635" s="7" t="str">
        <x:v>input_end</x:v>
      </x:c>
      <x:c r="D635" s="7" t="str">
        <x:v>input</x:v>
      </x:c>
      <x:c r="E635" s="7" t="str">
        <x:v>audio_input</x:v>
      </x:c>
      <x:c r="F635" s="16" t="n">
        <x:v>3</x:v>
      </x:c>
      <x:c r="G635" s="18" t="n">
        <x:v>0.001</x:v>
      </x:c>
      <x:c r="H635" s="16" t="n">
        <x:f>F635*G635</x:f>
        <x:v>0.003</x:v>
      </x:c>
    </x:row>
    <x:row r="636" ht="34" customHeight="1">
      <x:c r="A636" s="12" t="str">
        <x:v>DP3-B-R2</x:v>
      </x:c>
      <x:c r="B636" s="12" t="str">
        <x:v>U15</x:v>
      </x:c>
      <x:c r="C636" s="12" t="str">
        <x:v>meaning</x:v>
      </x:c>
      <x:c r="D636" s="12" t="str">
        <x:v>request</x:v>
      </x:c>
      <x:c r="E636" s="12" t="str">
        <x:v>text_input</x:v>
      </x:c>
      <x:c r="F636" s="15" t="n">
        <x:v>600</x:v>
      </x:c>
      <x:c r="G636" s="17" t="n">
        <x:v>0.000001</x:v>
      </x:c>
      <x:c r="H636" s="15" t="n">
        <x:f>F636*G636</x:f>
        <x:v>0.0006</x:v>
      </x:c>
    </x:row>
    <x:row r="637" ht="34" customHeight="1">
      <x:c r="A637" s="7" t="str">
        <x:v>DP3-B-R2</x:v>
      </x:c>
      <x:c r="B637" s="7" t="str">
        <x:v>U15</x:v>
      </x:c>
      <x:c r="C637" s="7" t="str">
        <x:v>meaning</x:v>
      </x:c>
      <x:c r="D637" s="7" t="str">
        <x:v>request</x:v>
      </x:c>
      <x:c r="E637" s="7" t="str">
        <x:v>text_output</x:v>
      </x:c>
      <x:c r="F637" s="16" t="n">
        <x:v>64</x:v>
      </x:c>
      <x:c r="G637" s="18" t="n">
        <x:v>0.000004</x:v>
      </x:c>
      <x:c r="H637" s="16" t="n">
        <x:f>F637*G637</x:f>
        <x:v>0.000256</x:v>
      </x:c>
    </x:row>
    <x:row r="638" ht="34" customHeight="1">
      <x:c r="A638" s="12" t="str">
        <x:v>DP3-B-R2</x:v>
      </x:c>
      <x:c r="B638" s="12" t="str">
        <x:v>U15</x:v>
      </x:c>
      <x:c r="C638" s="12" t="str">
        <x:v>response_audio</x:v>
      </x:c>
      <x:c r="D638" s="12" t="str">
        <x:v>request</x:v>
      </x:c>
      <x:c r="E638" s="12" t="str">
        <x:v>text_input</x:v>
      </x:c>
      <x:c r="F638" s="15" t="n">
        <x:v>48</x:v>
      </x:c>
      <x:c r="G638" s="17" t="n">
        <x:v>0.000001</x:v>
      </x:c>
      <x:c r="H638" s="15" t="n">
        <x:f>F638*G638</x:f>
        <x:v>0.000048</x:v>
      </x:c>
    </x:row>
    <x:row r="639" ht="34" customHeight="1">
      <x:c r="A639" s="7" t="str">
        <x:v>DP3-B-R2</x:v>
      </x:c>
      <x:c r="B639" s="7" t="str">
        <x:v>U15</x:v>
      </x:c>
      <x:c r="C639" s="7" t="str">
        <x:v>response_audio</x:v>
      </x:c>
      <x:c r="D639" s="7" t="str">
        <x:v>request</x:v>
      </x:c>
      <x:c r="E639" s="7" t="str">
        <x:v>audio_output</x:v>
      </x:c>
      <x:c r="F639" s="16" t="n">
        <x:v>6</x:v>
      </x:c>
      <x:c r="G639" s="18" t="n">
        <x:v>0.002</x:v>
      </x:c>
      <x:c r="H639" s="16" t="n">
        <x:f>F639*G639</x:f>
        <x:v>0.012</x:v>
      </x:c>
    </x:row>
    <x:row r="640" ht="34" customHeight="1">
      <x:c r="A640" s="12" t="str">
        <x:v>DP3-B-R2</x:v>
      </x:c>
      <x:c r="B640" s="12" t="str">
        <x:v>U15</x:v>
      </x:c>
      <x:c r="C640" s="12" t="str">
        <x:v>intent_audio</x:v>
      </x:c>
      <x:c r="D640" s="12" t="str">
        <x:v>request</x:v>
      </x:c>
      <x:c r="E640" s="12" t="str">
        <x:v>text_input</x:v>
      </x:c>
      <x:c r="F640" s="15" t="n">
        <x:v>24</x:v>
      </x:c>
      <x:c r="G640" s="17" t="n">
        <x:v>0.000001</x:v>
      </x:c>
      <x:c r="H640" s="15" t="n">
        <x:f>F640*G640</x:f>
        <x:v>0.000024</x:v>
      </x:c>
    </x:row>
    <x:row r="641" ht="34" customHeight="1">
      <x:c r="A641" s="7" t="str">
        <x:v>DP3-B-R2</x:v>
      </x:c>
      <x:c r="B641" s="7" t="str">
        <x:v>U15</x:v>
      </x:c>
      <x:c r="C641" s="7" t="str">
        <x:v>intent_audio</x:v>
      </x:c>
      <x:c r="D641" s="7" t="str">
        <x:v>request</x:v>
      </x:c>
      <x:c r="E641" s="7" t="str">
        <x:v>audio_output</x:v>
      </x:c>
      <x:c r="F641" s="16" t="n">
        <x:v>3</x:v>
      </x:c>
      <x:c r="G641" s="18" t="n">
        <x:v>0.002</x:v>
      </x:c>
      <x:c r="H641" s="16" t="n">
        <x:f>F641*G641</x:f>
        <x:v>0.006</x:v>
      </x:c>
    </x:row>
    <x:row r="642" ht="34" customHeight="1">
      <x:c r="A642" s="12" t="str">
        <x:v>DP3-B-R2</x:v>
      </x:c>
      <x:c r="B642" s="12" t="str">
        <x:v>U16</x:v>
      </x:c>
      <x:c r="C642" s="12" t="str">
        <x:v>meaning</x:v>
      </x:c>
      <x:c r="D642" s="12" t="str">
        <x:v>request</x:v>
      </x:c>
      <x:c r="E642" s="12" t="str">
        <x:v>text_input</x:v>
      </x:c>
      <x:c r="F642" s="15" t="n">
        <x:v>3000</x:v>
      </x:c>
      <x:c r="G642" s="17" t="n">
        <x:v>0.000001</x:v>
      </x:c>
      <x:c r="H642" s="15" t="n">
        <x:f>F642*G642</x:f>
        <x:v>0.003</x:v>
      </x:c>
    </x:row>
    <x:row r="643" ht="34" customHeight="1">
      <x:c r="A643" s="7" t="str">
        <x:v>DP3-B-R2</x:v>
      </x:c>
      <x:c r="B643" s="7" t="str">
        <x:v>U16</x:v>
      </x:c>
      <x:c r="C643" s="7" t="str">
        <x:v>meaning</x:v>
      </x:c>
      <x:c r="D643" s="7" t="str">
        <x:v>request</x:v>
      </x:c>
      <x:c r="E643" s="7" t="str">
        <x:v>text_output</x:v>
      </x:c>
      <x:c r="F643" s="16" t="n">
        <x:v>64</x:v>
      </x:c>
      <x:c r="G643" s="18" t="n">
        <x:v>0.000004</x:v>
      </x:c>
      <x:c r="H643" s="16" t="n">
        <x:f>F643*G643</x:f>
        <x:v>0.000256</x:v>
      </x:c>
    </x:row>
    <x:row r="644" ht="34" customHeight="1">
      <x:c r="A644" s="12" t="str">
        <x:v>DP3-B-R2</x:v>
      </x:c>
      <x:c r="B644" s="12" t="str">
        <x:v>U16</x:v>
      </x:c>
      <x:c r="C644" s="12" t="str">
        <x:v>response_audio</x:v>
      </x:c>
      <x:c r="D644" s="12" t="str">
        <x:v>request</x:v>
      </x:c>
      <x:c r="E644" s="12" t="str">
        <x:v>text_input</x:v>
      </x:c>
      <x:c r="F644" s="15" t="n">
        <x:v>48</x:v>
      </x:c>
      <x:c r="G644" s="17" t="n">
        <x:v>0.000001</x:v>
      </x:c>
      <x:c r="H644" s="15" t="n">
        <x:f>F644*G644</x:f>
        <x:v>0.000048</x:v>
      </x:c>
    </x:row>
    <x:row r="645" ht="34" customHeight="1">
      <x:c r="A645" s="7" t="str">
        <x:v>DP3-B-R2</x:v>
      </x:c>
      <x:c r="B645" s="7" t="str">
        <x:v>U16</x:v>
      </x:c>
      <x:c r="C645" s="7" t="str">
        <x:v>response_audio</x:v>
      </x:c>
      <x:c r="D645" s="7" t="str">
        <x:v>request</x:v>
      </x:c>
      <x:c r="E645" s="7" t="str">
        <x:v>audio_output</x:v>
      </x:c>
      <x:c r="F645" s="16" t="n">
        <x:v>6</x:v>
      </x:c>
      <x:c r="G645" s="18" t="n">
        <x:v>0.002</x:v>
      </x:c>
      <x:c r="H645" s="16" t="n">
        <x:f>F645*G645</x:f>
        <x:v>0.012</x:v>
      </x:c>
    </x:row>
    <x:row r="646" ht="34" customHeight="1">
      <x:c r="A646" s="12" t="str">
        <x:v>DP3-B-R2</x:v>
      </x:c>
      <x:c r="B646" s="12" t="str">
        <x:v>U16</x:v>
      </x:c>
      <x:c r="C646" s="12" t="str">
        <x:v>intent_audio</x:v>
      </x:c>
      <x:c r="D646" s="12" t="str">
        <x:v>request</x:v>
      </x:c>
      <x:c r="E646" s="12" t="str">
        <x:v>text_input</x:v>
      </x:c>
      <x:c r="F646" s="15" t="n">
        <x:v>24</x:v>
      </x:c>
      <x:c r="G646" s="17" t="n">
        <x:v>0.000001</x:v>
      </x:c>
      <x:c r="H646" s="15" t="n">
        <x:f>F646*G646</x:f>
        <x:v>0.000024</x:v>
      </x:c>
    </x:row>
    <x:row r="647" ht="34" customHeight="1">
      <x:c r="A647" s="7" t="str">
        <x:v>DP3-B-R2</x:v>
      </x:c>
      <x:c r="B647" s="7" t="str">
        <x:v>U16</x:v>
      </x:c>
      <x:c r="C647" s="7" t="str">
        <x:v>intent_audio</x:v>
      </x:c>
      <x:c r="D647" s="7" t="str">
        <x:v>request</x:v>
      </x:c>
      <x:c r="E647" s="7" t="str">
        <x:v>audio_output</x:v>
      </x:c>
      <x:c r="F647" s="16" t="n">
        <x:v>3</x:v>
      </x:c>
      <x:c r="G647" s="18" t="n">
        <x:v>0.002</x:v>
      </x:c>
      <x:c r="H647" s="16" t="n">
        <x:f>F647*G647</x:f>
        <x:v>0.006</x:v>
      </x:c>
    </x:row>
    <x:row r="648" ht="34" customHeight="1">
      <x:c r="A648" s="12" t="str">
        <x:v>DP3-B-R2</x:v>
      </x:c>
      <x:c r="B648" s="12" t="str">
        <x:v>U16</x:v>
      </x:c>
      <x:c r="C648" s="12" t="str">
        <x:v>input_end</x:v>
      </x:c>
      <x:c r="D648" s="12" t="str">
        <x:v>input</x:v>
      </x:c>
      <x:c r="E648" s="12" t="str">
        <x:v>audio_input</x:v>
      </x:c>
      <x:c r="F648" s="15" t="n">
        <x:v>3</x:v>
      </x:c>
      <x:c r="G648" s="17" t="n">
        <x:v>0.001</x:v>
      </x:c>
      <x:c r="H648" s="15" t="n">
        <x:f>F648*G648</x:f>
        <x:v>0.003</x:v>
      </x:c>
    </x:row>
    <x:row r="649" ht="34" customHeight="1">
      <x:c r="A649" s="7" t="str">
        <x:v>DP3-B-R2</x:v>
      </x:c>
      <x:c r="B649" s="7" t="str">
        <x:v>U17</x:v>
      </x:c>
      <x:c r="C649" s="7" t="str">
        <x:v>meaning</x:v>
      </x:c>
      <x:c r="D649" s="7" t="str">
        <x:v>request</x:v>
      </x:c>
      <x:c r="E649" s="7" t="str">
        <x:v>text_input</x:v>
      </x:c>
      <x:c r="F649" s="16" t="n">
        <x:v>600</x:v>
      </x:c>
      <x:c r="G649" s="18" t="n">
        <x:v>0.000001</x:v>
      </x:c>
      <x:c r="H649" s="16" t="n">
        <x:f>F649*G649</x:f>
        <x:v>0.0006</x:v>
      </x:c>
    </x:row>
    <x:row r="650" ht="34" customHeight="1">
      <x:c r="A650" s="12" t="str">
        <x:v>DP3-B-R2</x:v>
      </x:c>
      <x:c r="B650" s="12" t="str">
        <x:v>U17</x:v>
      </x:c>
      <x:c r="C650" s="12" t="str">
        <x:v>meaning</x:v>
      </x:c>
      <x:c r="D650" s="12" t="str">
        <x:v>request</x:v>
      </x:c>
      <x:c r="E650" s="12" t="str">
        <x:v>text_output</x:v>
      </x:c>
      <x:c r="F650" s="15" t="n">
        <x:v>64</x:v>
      </x:c>
      <x:c r="G650" s="17" t="n">
        <x:v>0.000004</x:v>
      </x:c>
      <x:c r="H650" s="15" t="n">
        <x:f>F650*G650</x:f>
        <x:v>0.000256</x:v>
      </x:c>
    </x:row>
    <x:row r="651" ht="34" customHeight="1">
      <x:c r="A651" s="7" t="str">
        <x:v>DP3-B-R2</x:v>
      </x:c>
      <x:c r="B651" s="7" t="str">
        <x:v>U17</x:v>
      </x:c>
      <x:c r="C651" s="7" t="str">
        <x:v>question_audio</x:v>
      </x:c>
      <x:c r="D651" s="7" t="str">
        <x:v>preparation</x:v>
      </x:c>
      <x:c r="E651" s="7" t="str">
        <x:v>text_input</x:v>
      </x:c>
      <x:c r="F651" s="16" t="n">
        <x:v>64</x:v>
      </x:c>
      <x:c r="G651" s="18" t="n">
        <x:v>0.000001</x:v>
      </x:c>
      <x:c r="H651" s="16" t="n">
        <x:f>F651*G651</x:f>
        <x:v>0.000064</x:v>
      </x:c>
    </x:row>
    <x:row r="652" ht="34" customHeight="1">
      <x:c r="A652" s="12" t="str">
        <x:v>DP3-B-R2</x:v>
      </x:c>
      <x:c r="B652" s="12" t="str">
        <x:v>U17</x:v>
      </x:c>
      <x:c r="C652" s="12" t="str">
        <x:v>question_audio</x:v>
      </x:c>
      <x:c r="D652" s="12" t="str">
        <x:v>preparation</x:v>
      </x:c>
      <x:c r="E652" s="12" t="str">
        <x:v>audio_output</x:v>
      </x:c>
      <x:c r="F652" s="15" t="n">
        <x:v>8</x:v>
      </x:c>
      <x:c r="G652" s="17" t="n">
        <x:v>0.002</x:v>
      </x:c>
      <x:c r="H652" s="15" t="n">
        <x:f>F652*G652</x:f>
        <x:v>0.016</x:v>
      </x:c>
    </x:row>
    <x:row r="653" ht="34" customHeight="1">
      <x:c r="A653" s="7" t="str">
        <x:v>DP3-B-R2</x:v>
      </x:c>
      <x:c r="B653" s="7" t="str">
        <x:v>U17</x:v>
      </x:c>
      <x:c r="C653" s="7" t="str">
        <x:v>input_end</x:v>
      </x:c>
      <x:c r="D653" s="7" t="str">
        <x:v>input</x:v>
      </x:c>
      <x:c r="E653" s="7" t="str">
        <x:v>audio_input</x:v>
      </x:c>
      <x:c r="F653" s="16" t="n">
        <x:v>3</x:v>
      </x:c>
      <x:c r="G653" s="18" t="n">
        <x:v>0.001</x:v>
      </x:c>
      <x:c r="H653" s="16" t="n">
        <x:f>F653*G653</x:f>
        <x:v>0.003</x:v>
      </x:c>
    </x:row>
    <x:row r="654" ht="34" customHeight="1">
      <x:c r="A654" s="12" t="str">
        <x:v>DP3-B-R2</x:v>
      </x:c>
      <x:c r="B654" s="12" t="str">
        <x:v>U18</x:v>
      </x:c>
      <x:c r="C654" s="12" t="str">
        <x:v>meaning</x:v>
      </x:c>
      <x:c r="D654" s="12" t="str">
        <x:v>request</x:v>
      </x:c>
      <x:c r="E654" s="12" t="str">
        <x:v>text_input</x:v>
      </x:c>
      <x:c r="F654" s="15" t="n">
        <x:v>600</x:v>
      </x:c>
      <x:c r="G654" s="17" t="n">
        <x:v>0.000001</x:v>
      </x:c>
      <x:c r="H654" s="15" t="n">
        <x:f>F654*G654</x:f>
        <x:v>0.0006</x:v>
      </x:c>
    </x:row>
    <x:row r="655" ht="34" customHeight="1">
      <x:c r="A655" s="7" t="str">
        <x:v>DP3-B-R2</x:v>
      </x:c>
      <x:c r="B655" s="7" t="str">
        <x:v>U18</x:v>
      </x:c>
      <x:c r="C655" s="7" t="str">
        <x:v>meaning</x:v>
      </x:c>
      <x:c r="D655" s="7" t="str">
        <x:v>request</x:v>
      </x:c>
      <x:c r="E655" s="7" t="str">
        <x:v>text_output</x:v>
      </x:c>
      <x:c r="F655" s="16" t="n">
        <x:v>64</x:v>
      </x:c>
      <x:c r="G655" s="18" t="n">
        <x:v>0.000004</x:v>
      </x:c>
      <x:c r="H655" s="16" t="n">
        <x:f>F655*G655</x:f>
        <x:v>0.000256</x:v>
      </x:c>
    </x:row>
    <x:row r="656" ht="34" customHeight="1">
      <x:c r="A656" s="12" t="str">
        <x:v>DP3-B-R2</x:v>
      </x:c>
      <x:c r="B656" s="12" t="str">
        <x:v>U18</x:v>
      </x:c>
      <x:c r="C656" s="12" t="str">
        <x:v>question_audio</x:v>
      </x:c>
      <x:c r="D656" s="12" t="str">
        <x:v>preparation</x:v>
      </x:c>
      <x:c r="E656" s="12" t="str">
        <x:v>text_input</x:v>
      </x:c>
      <x:c r="F656" s="15" t="n">
        <x:v>64</x:v>
      </x:c>
      <x:c r="G656" s="17" t="n">
        <x:v>0.000001</x:v>
      </x:c>
      <x:c r="H656" s="15" t="n">
        <x:f>F656*G656</x:f>
        <x:v>0.000064</x:v>
      </x:c>
    </x:row>
    <x:row r="657" ht="34" customHeight="1">
      <x:c r="A657" s="7" t="str">
        <x:v>DP3-B-R2</x:v>
      </x:c>
      <x:c r="B657" s="7" t="str">
        <x:v>U18</x:v>
      </x:c>
      <x:c r="C657" s="7" t="str">
        <x:v>question_audio</x:v>
      </x:c>
      <x:c r="D657" s="7" t="str">
        <x:v>preparation</x:v>
      </x:c>
      <x:c r="E657" s="7" t="str">
        <x:v>audio_output</x:v>
      </x:c>
      <x:c r="F657" s="16" t="n">
        <x:v>8</x:v>
      </x:c>
      <x:c r="G657" s="18" t="n">
        <x:v>0.002</x:v>
      </x:c>
      <x:c r="H657" s="16" t="n">
        <x:f>F657*G657</x:f>
        <x:v>0.016</x:v>
      </x:c>
    </x:row>
    <x:row r="658" ht="34" customHeight="1">
      <x:c r="A658" s="12" t="str">
        <x:v>DP3-B-R2</x:v>
      </x:c>
      <x:c r="B658" s="12" t="str">
        <x:v>U18</x:v>
      </x:c>
      <x:c r="C658" s="12" t="str">
        <x:v>obsolete_audio</x:v>
      </x:c>
      <x:c r="D658" s="12" t="str">
        <x:v>preparation</x:v>
      </x:c>
      <x:c r="E658" s="12" t="str">
        <x:v>text_input</x:v>
      </x:c>
      <x:c r="F658" s="15" t="n">
        <x:v>80</x:v>
      </x:c>
      <x:c r="G658" s="17" t="n">
        <x:v>0.000001</x:v>
      </x:c>
      <x:c r="H658" s="15" t="n">
        <x:f>F658*G658</x:f>
        <x:v>0.00007999999999999999</x:v>
      </x:c>
    </x:row>
    <x:row r="659" ht="34" customHeight="1">
      <x:c r="A659" s="7" t="str">
        <x:v>DP3-B-R2</x:v>
      </x:c>
      <x:c r="B659" s="7" t="str">
        <x:v>U18</x:v>
      </x:c>
      <x:c r="C659" s="7" t="str">
        <x:v>obsolete_audio</x:v>
      </x:c>
      <x:c r="D659" s="7" t="str">
        <x:v>preparation</x:v>
      </x:c>
      <x:c r="E659" s="7" t="str">
        <x:v>audio_output</x:v>
      </x:c>
      <x:c r="F659" s="16" t="n">
        <x:v>10</x:v>
      </x:c>
      <x:c r="G659" s="18" t="n">
        <x:v>0.002</x:v>
      </x:c>
      <x:c r="H659" s="16" t="n">
        <x:f>F659*G659</x:f>
        <x:v>0.02</x:v>
      </x:c>
    </x:row>
    <x:row r="660" ht="34" customHeight="1">
      <x:c r="A660" s="12" t="str">
        <x:v>DP3-B-R2</x:v>
      </x:c>
      <x:c r="B660" s="12" t="str">
        <x:v>U18</x:v>
      </x:c>
      <x:c r="C660" s="12" t="str">
        <x:v>input_end</x:v>
      </x:c>
      <x:c r="D660" s="12" t="str">
        <x:v>input</x:v>
      </x:c>
      <x:c r="E660" s="12" t="str">
        <x:v>audio_input</x:v>
      </x:c>
      <x:c r="F660" s="15" t="n">
        <x:v>3</x:v>
      </x:c>
      <x:c r="G660" s="17" t="n">
        <x:v>0.001</x:v>
      </x:c>
      <x:c r="H660" s="15" t="n">
        <x:f>F660*G660</x:f>
        <x:v>0.003</x:v>
      </x:c>
    </x:row>
    <x:row r="661" ht="34" customHeight="1">
      <x:c r="A661" s="7" t="str">
        <x:v>DP3-B-R2</x:v>
      </x:c>
      <x:c r="B661" s="7" t="str">
        <x:v>U19</x:v>
      </x:c>
      <x:c r="C661" s="7" t="str">
        <x:v>meaning</x:v>
      </x:c>
      <x:c r="D661" s="7" t="str">
        <x:v>request</x:v>
      </x:c>
      <x:c r="E661" s="7" t="str">
        <x:v>text_input</x:v>
      </x:c>
      <x:c r="F661" s="16" t="n">
        <x:v>600</x:v>
      </x:c>
      <x:c r="G661" s="18" t="n">
        <x:v>0.000001</x:v>
      </x:c>
      <x:c r="H661" s="16" t="n">
        <x:f>F661*G661</x:f>
        <x:v>0.0006</x:v>
      </x:c>
    </x:row>
    <x:row r="662" ht="34" customHeight="1">
      <x:c r="A662" s="12" t="str">
        <x:v>DP3-B-R2</x:v>
      </x:c>
      <x:c r="B662" s="12" t="str">
        <x:v>U19</x:v>
      </x:c>
      <x:c r="C662" s="12" t="str">
        <x:v>meaning</x:v>
      </x:c>
      <x:c r="D662" s="12" t="str">
        <x:v>request</x:v>
      </x:c>
      <x:c r="E662" s="12" t="str">
        <x:v>text_output</x:v>
      </x:c>
      <x:c r="F662" s="15" t="n">
        <x:v>64</x:v>
      </x:c>
      <x:c r="G662" s="17" t="n">
        <x:v>0.000004</x:v>
      </x:c>
      <x:c r="H662" s="15" t="n">
        <x:f>F662*G662</x:f>
        <x:v>0.000256</x:v>
      </x:c>
    </x:row>
    <x:row r="663" ht="34" customHeight="1">
      <x:c r="A663" s="7" t="str">
        <x:v>DP3-B-R2</x:v>
      </x:c>
      <x:c r="B663" s="7" t="str">
        <x:v>U19</x:v>
      </x:c>
      <x:c r="C663" s="7" t="str">
        <x:v>question_audio</x:v>
      </x:c>
      <x:c r="D663" s="7" t="str">
        <x:v>preparation</x:v>
      </x:c>
      <x:c r="E663" s="7" t="str">
        <x:v>text_input</x:v>
      </x:c>
      <x:c r="F663" s="16" t="n">
        <x:v>48</x:v>
      </x:c>
      <x:c r="G663" s="18" t="n">
        <x:v>0.000001</x:v>
      </x:c>
      <x:c r="H663" s="16" t="n">
        <x:f>F663*G663</x:f>
        <x:v>0.000048</x:v>
      </x:c>
    </x:row>
    <x:row r="664" ht="34" customHeight="1">
      <x:c r="A664" s="12" t="str">
        <x:v>DP3-B-R2</x:v>
      </x:c>
      <x:c r="B664" s="12" t="str">
        <x:v>U19</x:v>
      </x:c>
      <x:c r="C664" s="12" t="str">
        <x:v>question_audio</x:v>
      </x:c>
      <x:c r="D664" s="12" t="str">
        <x:v>preparation</x:v>
      </x:c>
      <x:c r="E664" s="12" t="str">
        <x:v>audio_output</x:v>
      </x:c>
      <x:c r="F664" s="15" t="n">
        <x:v>6</x:v>
      </x:c>
      <x:c r="G664" s="17" t="n">
        <x:v>0.002</x:v>
      </x:c>
      <x:c r="H664" s="15" t="n">
        <x:f>F664*G664</x:f>
        <x:v>0.012</x:v>
      </x:c>
    </x:row>
    <x:row r="665" ht="34" customHeight="1">
      <x:c r="A665" s="7" t="str">
        <x:v>DP3-B-R2</x:v>
      </x:c>
      <x:c r="B665" s="7" t="str">
        <x:v>U19</x:v>
      </x:c>
      <x:c r="C665" s="7" t="str">
        <x:v>old_audio</x:v>
      </x:c>
      <x:c r="D665" s="7" t="str">
        <x:v>preparation</x:v>
      </x:c>
      <x:c r="E665" s="7" t="str">
        <x:v>text_input</x:v>
      </x:c>
      <x:c r="F665" s="16" t="n">
        <x:v>288</x:v>
      </x:c>
      <x:c r="G665" s="18" t="n">
        <x:v>0.000001</x:v>
      </x:c>
      <x:c r="H665" s="16" t="n">
        <x:f>F665*G665</x:f>
        <x:v>0.000288</x:v>
      </x:c>
    </x:row>
    <x:row r="666" ht="34" customHeight="1">
      <x:c r="A666" s="12" t="str">
        <x:v>DP3-B-R2</x:v>
      </x:c>
      <x:c r="B666" s="12" t="str">
        <x:v>U19</x:v>
      </x:c>
      <x:c r="C666" s="12" t="str">
        <x:v>old_audio</x:v>
      </x:c>
      <x:c r="D666" s="12" t="str">
        <x:v>preparation</x:v>
      </x:c>
      <x:c r="E666" s="12" t="str">
        <x:v>audio_output</x:v>
      </x:c>
      <x:c r="F666" s="15" t="n">
        <x:v>36</x:v>
      </x:c>
      <x:c r="G666" s="17" t="n">
        <x:v>0.002</x:v>
      </x:c>
      <x:c r="H666" s="15" t="n">
        <x:f>F666*G666</x:f>
        <x:v>0.07200000000000001</x:v>
      </x:c>
    </x:row>
    <x:row r="667" ht="34" customHeight="1">
      <x:c r="A667" s="7" t="str">
        <x:v>DP3-B-R2</x:v>
      </x:c>
      <x:c r="B667" s="7" t="str">
        <x:v>U19</x:v>
      </x:c>
      <x:c r="C667" s="7" t="str">
        <x:v>input_end</x:v>
      </x:c>
      <x:c r="D667" s="7" t="str">
        <x:v>input</x:v>
      </x:c>
      <x:c r="E667" s="7" t="str">
        <x:v>audio_input</x:v>
      </x:c>
      <x:c r="F667" s="16" t="n">
        <x:v>3</x:v>
      </x:c>
      <x:c r="G667" s="18" t="n">
        <x:v>0.001</x:v>
      </x:c>
      <x:c r="H667" s="16" t="n">
        <x:f>F667*G667</x:f>
        <x:v>0.003</x:v>
      </x:c>
    </x:row>
    <x:row r="668" ht="34" customHeight="1">
      <x:c r="A668" s="12" t="str">
        <x:v>DP3-B-R2</x:v>
      </x:c>
      <x:c r="B668" s="12" t="str">
        <x:v>U20</x:v>
      </x:c>
      <x:c r="C668" s="12" t="str">
        <x:v>meaning</x:v>
      </x:c>
      <x:c r="D668" s="12" t="str">
        <x:v>request</x:v>
      </x:c>
      <x:c r="E668" s="12" t="str">
        <x:v>text_input</x:v>
      </x:c>
      <x:c r="F668" s="15" t="n">
        <x:v>600</x:v>
      </x:c>
      <x:c r="G668" s="17" t="n">
        <x:v>0.000001</x:v>
      </x:c>
      <x:c r="H668" s="15" t="n">
        <x:f>F668*G668</x:f>
        <x:v>0.0006</x:v>
      </x:c>
    </x:row>
    <x:row r="669" ht="34" customHeight="1">
      <x:c r="A669" s="7" t="str">
        <x:v>DP3-B-R2</x:v>
      </x:c>
      <x:c r="B669" s="7" t="str">
        <x:v>U20</x:v>
      </x:c>
      <x:c r="C669" s="7" t="str">
        <x:v>meaning</x:v>
      </x:c>
      <x:c r="D669" s="7" t="str">
        <x:v>request</x:v>
      </x:c>
      <x:c r="E669" s="7" t="str">
        <x:v>text_output</x:v>
      </x:c>
      <x:c r="F669" s="16" t="n">
        <x:v>64</x:v>
      </x:c>
      <x:c r="G669" s="18" t="n">
        <x:v>0.000004</x:v>
      </x:c>
      <x:c r="H669" s="16" t="n">
        <x:f>F669*G669</x:f>
        <x:v>0.000256</x:v>
      </x:c>
    </x:row>
    <x:row r="670" ht="34" customHeight="1">
      <x:c r="A670" s="12" t="str">
        <x:v>DP3-B-R2</x:v>
      </x:c>
      <x:c r="B670" s="12" t="str">
        <x:v>U20</x:v>
      </x:c>
      <x:c r="C670" s="12" t="str">
        <x:v>input_end</x:v>
      </x:c>
      <x:c r="D670" s="12" t="str">
        <x:v>input</x:v>
      </x:c>
      <x:c r="E670" s="12" t="str">
        <x:v>audio_input</x:v>
      </x:c>
      <x:c r="F670" s="15" t="n">
        <x:v>3</x:v>
      </x:c>
      <x:c r="G670" s="17" t="n">
        <x:v>0.001</x:v>
      </x:c>
      <x:c r="H670" s="15" t="n">
        <x:f>F670*G670</x:f>
        <x:v>0.003</x:v>
      </x:c>
    </x:row>
    <x:row r="671" ht="34" customHeight="1">
      <x:c r="A671" s="7" t="str">
        <x:v>DP3-B-R2</x:v>
      </x:c>
      <x:c r="B671" s="7" t="str">
        <x:v>U21</x:v>
      </x:c>
      <x:c r="C671" s="7" t="str">
        <x:v>bg1</x:v>
      </x:c>
      <x:c r="D671" s="7" t="str">
        <x:v>background</x:v>
      </x:c>
      <x:c r="E671" s="7" t="str">
        <x:v>text_input</x:v>
      </x:c>
      <x:c r="F671" s="16" t="n">
        <x:v>1200</x:v>
      </x:c>
      <x:c r="G671" s="18" t="n">
        <x:v>0.000001</x:v>
      </x:c>
      <x:c r="H671" s="16" t="n">
        <x:f>F671*G671</x:f>
        <x:v>0.0012</x:v>
      </x:c>
    </x:row>
    <x:row r="672" ht="34" customHeight="1">
      <x:c r="A672" s="12" t="str">
        <x:v>DP3-B-R2</x:v>
      </x:c>
      <x:c r="B672" s="12" t="str">
        <x:v>U21</x:v>
      </x:c>
      <x:c r="C672" s="12" t="str">
        <x:v>bg1</x:v>
      </x:c>
      <x:c r="D672" s="12" t="str">
        <x:v>background</x:v>
      </x:c>
      <x:c r="E672" s="12" t="str">
        <x:v>text_output</x:v>
      </x:c>
      <x:c r="F672" s="15" t="n">
        <x:v>240</x:v>
      </x:c>
      <x:c r="G672" s="17" t="n">
        <x:v>0.000004</x:v>
      </x:c>
      <x:c r="H672" s="15" t="n">
        <x:f>F672*G672</x:f>
        <x:v>0.0009599999999999999</x:v>
      </x:c>
    </x:row>
    <x:row r="673" ht="34" customHeight="1">
      <x:c r="A673" s="7" t="str">
        <x:v>DP3-B-R2</x:v>
      </x:c>
      <x:c r="B673" s="7" t="str">
        <x:v>U21</x:v>
      </x:c>
      <x:c r="C673" s="7" t="str">
        <x:v>meaning</x:v>
      </x:c>
      <x:c r="D673" s="7" t="str">
        <x:v>request</x:v>
      </x:c>
      <x:c r="E673" s="7" t="str">
        <x:v>text_input</x:v>
      </x:c>
      <x:c r="F673" s="16" t="n">
        <x:v>3520</x:v>
      </x:c>
      <x:c r="G673" s="18" t="n">
        <x:v>0.000001</x:v>
      </x:c>
      <x:c r="H673" s="16" t="n">
        <x:f>F673*G673</x:f>
        <x:v>0.0035199999999999997</x:v>
      </x:c>
    </x:row>
    <x:row r="674" ht="34" customHeight="1">
      <x:c r="A674" s="12" t="str">
        <x:v>DP3-B-R2</x:v>
      </x:c>
      <x:c r="B674" s="12" t="str">
        <x:v>U21</x:v>
      </x:c>
      <x:c r="C674" s="12" t="str">
        <x:v>meaning</x:v>
      </x:c>
      <x:c r="D674" s="12" t="str">
        <x:v>request</x:v>
      </x:c>
      <x:c r="E674" s="12" t="str">
        <x:v>text_output</x:v>
      </x:c>
      <x:c r="F674" s="15" t="n">
        <x:v>64</x:v>
      </x:c>
      <x:c r="G674" s="17" t="n">
        <x:v>0.000004</x:v>
      </x:c>
      <x:c r="H674" s="15" t="n">
        <x:f>F674*G674</x:f>
        <x:v>0.000256</x:v>
      </x:c>
    </x:row>
    <x:row r="675" ht="34" customHeight="1">
      <x:c r="A675" s="7" t="str">
        <x:v>DP3-B-R2</x:v>
      </x:c>
      <x:c r="B675" s="7" t="str">
        <x:v>U21</x:v>
      </x:c>
      <x:c r="C675" s="7" t="str">
        <x:v>response_audio</x:v>
      </x:c>
      <x:c r="D675" s="7" t="str">
        <x:v>request</x:v>
      </x:c>
      <x:c r="E675" s="7" t="str">
        <x:v>text_input</x:v>
      </x:c>
      <x:c r="F675" s="16" t="n">
        <x:v>48</x:v>
      </x:c>
      <x:c r="G675" s="18" t="n">
        <x:v>0.000001</x:v>
      </x:c>
      <x:c r="H675" s="16" t="n">
        <x:f>F675*G675</x:f>
        <x:v>0.000048</x:v>
      </x:c>
    </x:row>
    <x:row r="676" ht="34" customHeight="1">
      <x:c r="A676" s="12" t="str">
        <x:v>DP3-B-R2</x:v>
      </x:c>
      <x:c r="B676" s="12" t="str">
        <x:v>U21</x:v>
      </x:c>
      <x:c r="C676" s="12" t="str">
        <x:v>response_audio</x:v>
      </x:c>
      <x:c r="D676" s="12" t="str">
        <x:v>request</x:v>
      </x:c>
      <x:c r="E676" s="12" t="str">
        <x:v>audio_output</x:v>
      </x:c>
      <x:c r="F676" s="15" t="n">
        <x:v>6</x:v>
      </x:c>
      <x:c r="G676" s="17" t="n">
        <x:v>0.002</x:v>
      </x:c>
      <x:c r="H676" s="15" t="n">
        <x:f>F676*G676</x:f>
        <x:v>0.012</x:v>
      </x:c>
    </x:row>
    <x:row r="677" ht="34" customHeight="1">
      <x:c r="A677" s="7" t="str">
        <x:v>DP3-B-R2</x:v>
      </x:c>
      <x:c r="B677" s="7" t="str">
        <x:v>U21</x:v>
      </x:c>
      <x:c r="C677" s="7" t="str">
        <x:v>intent_audio</x:v>
      </x:c>
      <x:c r="D677" s="7" t="str">
        <x:v>request</x:v>
      </x:c>
      <x:c r="E677" s="7" t="str">
        <x:v>text_input</x:v>
      </x:c>
      <x:c r="F677" s="16" t="n">
        <x:v>24</x:v>
      </x:c>
      <x:c r="G677" s="18" t="n">
        <x:v>0.000001</x:v>
      </x:c>
      <x:c r="H677" s="16" t="n">
        <x:f>F677*G677</x:f>
        <x:v>0.000024</x:v>
      </x:c>
    </x:row>
    <x:row r="678" ht="34" customHeight="1">
      <x:c r="A678" s="12" t="str">
        <x:v>DP3-B-R2</x:v>
      </x:c>
      <x:c r="B678" s="12" t="str">
        <x:v>U21</x:v>
      </x:c>
      <x:c r="C678" s="12" t="str">
        <x:v>intent_audio</x:v>
      </x:c>
      <x:c r="D678" s="12" t="str">
        <x:v>request</x:v>
      </x:c>
      <x:c r="E678" s="12" t="str">
        <x:v>audio_output</x:v>
      </x:c>
      <x:c r="F678" s="15" t="n">
        <x:v>3</x:v>
      </x:c>
      <x:c r="G678" s="17" t="n">
        <x:v>0.002</x:v>
      </x:c>
      <x:c r="H678" s="15" t="n">
        <x:f>F678*G678</x:f>
        <x:v>0.006</x:v>
      </x:c>
    </x:row>
    <x:row r="679" ht="34" customHeight="1">
      <x:c r="A679" s="7" t="str">
        <x:v>DP3-B-R2</x:v>
      </x:c>
      <x:c r="B679" s="7" t="str">
        <x:v>U21</x:v>
      </x:c>
      <x:c r="C679" s="7" t="str">
        <x:v>input_end</x:v>
      </x:c>
      <x:c r="D679" s="7" t="str">
        <x:v>input</x:v>
      </x:c>
      <x:c r="E679" s="7" t="str">
        <x:v>audio_input</x:v>
      </x:c>
      <x:c r="F679" s="16" t="n">
        <x:v>3</x:v>
      </x:c>
      <x:c r="G679" s="18" t="n">
        <x:v>0.001</x:v>
      </x:c>
      <x:c r="H679" s="16" t="n">
        <x:f>F679*G679</x:f>
        <x:v>0.003</x:v>
      </x:c>
    </x:row>
    <x:row r="680" ht="34" customHeight="1">
      <x:c r="A680" s="12" t="str">
        <x:v>DP3-B-R2</x:v>
      </x:c>
      <x:c r="B680" s="12" t="str">
        <x:v>U22</x:v>
      </x:c>
      <x:c r="C680" s="12" t="str">
        <x:v>pre_adopt</x:v>
      </x:c>
      <x:c r="D680" s="12" t="str">
        <x:v>preparation</x:v>
      </x:c>
      <x:c r="E680" s="12" t="str">
        <x:v>text_input</x:v>
      </x:c>
      <x:c r="F680" s="15" t="n">
        <x:v>1120</x:v>
      </x:c>
      <x:c r="G680" s="17" t="n">
        <x:v>0.000001</x:v>
      </x:c>
      <x:c r="H680" s="15" t="n">
        <x:f>F680*G680</x:f>
        <x:v>0.00112</x:v>
      </x:c>
    </x:row>
    <x:row r="681" ht="34" customHeight="1">
      <x:c r="A681" s="7" t="str">
        <x:v>DP3-B-R2</x:v>
      </x:c>
      <x:c r="B681" s="7" t="str">
        <x:v>U22</x:v>
      </x:c>
      <x:c r="C681" s="7" t="str">
        <x:v>pre_adopt</x:v>
      </x:c>
      <x:c r="D681" s="7" t="str">
        <x:v>preparation</x:v>
      </x:c>
      <x:c r="E681" s="7" t="str">
        <x:v>text_output</x:v>
      </x:c>
      <x:c r="F681" s="16" t="n">
        <x:v>64</x:v>
      </x:c>
      <x:c r="G681" s="18" t="n">
        <x:v>0.000004</x:v>
      </x:c>
      <x:c r="H681" s="16" t="n">
        <x:f>F681*G681</x:f>
        <x:v>0.000256</x:v>
      </x:c>
    </x:row>
    <x:row r="682" ht="34" customHeight="1">
      <x:c r="A682" s="12" t="str">
        <x:v>DP3-B-R2</x:v>
      </x:c>
      <x:c r="B682" s="12" t="str">
        <x:v>U22</x:v>
      </x:c>
      <x:c r="C682" s="12" t="str">
        <x:v>meaning</x:v>
      </x:c>
      <x:c r="D682" s="12" t="str">
        <x:v>request</x:v>
      </x:c>
      <x:c r="E682" s="12" t="str">
        <x:v>text_input</x:v>
      </x:c>
      <x:c r="F682" s="15" t="n">
        <x:v>1120</x:v>
      </x:c>
      <x:c r="G682" s="17" t="n">
        <x:v>0.000001</x:v>
      </x:c>
      <x:c r="H682" s="15" t="n">
        <x:f>F682*G682</x:f>
        <x:v>0.00112</x:v>
      </x:c>
    </x:row>
    <x:row r="683" ht="34" customHeight="1">
      <x:c r="A683" s="7" t="str">
        <x:v>DP3-B-R2</x:v>
      </x:c>
      <x:c r="B683" s="7" t="str">
        <x:v>U22</x:v>
      </x:c>
      <x:c r="C683" s="7" t="str">
        <x:v>meaning</x:v>
      </x:c>
      <x:c r="D683" s="7" t="str">
        <x:v>request</x:v>
      </x:c>
      <x:c r="E683" s="7" t="str">
        <x:v>text_output</x:v>
      </x:c>
      <x:c r="F683" s="16" t="n">
        <x:v>64</x:v>
      </x:c>
      <x:c r="G683" s="18" t="n">
        <x:v>0.000004</x:v>
      </x:c>
      <x:c r="H683" s="16" t="n">
        <x:f>F683*G683</x:f>
        <x:v>0.000256</x:v>
      </x:c>
    </x:row>
    <x:row r="684" ht="34" customHeight="1">
      <x:c r="A684" s="12" t="str">
        <x:v>DP3-B-R2</x:v>
      </x:c>
      <x:c r="B684" s="12" t="str">
        <x:v>U22</x:v>
      </x:c>
      <x:c r="C684" s="12" t="str">
        <x:v>question_audio</x:v>
      </x:c>
      <x:c r="D684" s="12" t="str">
        <x:v>preparation</x:v>
      </x:c>
      <x:c r="E684" s="12" t="str">
        <x:v>text_input</x:v>
      </x:c>
      <x:c r="F684" s="15" t="n">
        <x:v>48</x:v>
      </x:c>
      <x:c r="G684" s="17" t="n">
        <x:v>0.000001</x:v>
      </x:c>
      <x:c r="H684" s="15" t="n">
        <x:f>F684*G684</x:f>
        <x:v>0.000048</x:v>
      </x:c>
    </x:row>
    <x:row r="685" ht="34" customHeight="1">
      <x:c r="A685" s="7" t="str">
        <x:v>DP3-B-R2</x:v>
      </x:c>
      <x:c r="B685" s="7" t="str">
        <x:v>U22</x:v>
      </x:c>
      <x:c r="C685" s="7" t="str">
        <x:v>question_audio</x:v>
      </x:c>
      <x:c r="D685" s="7" t="str">
        <x:v>preparation</x:v>
      </x:c>
      <x:c r="E685" s="7" t="str">
        <x:v>audio_output</x:v>
      </x:c>
      <x:c r="F685" s="16" t="n">
        <x:v>6</x:v>
      </x:c>
      <x:c r="G685" s="18" t="n">
        <x:v>0.002</x:v>
      </x:c>
      <x:c r="H685" s="16" t="n">
        <x:f>F685*G685</x:f>
        <x:v>0.012</x:v>
      </x:c>
    </x:row>
    <x:row r="686" ht="34" customHeight="1">
      <x:c r="A686" s="12" t="str">
        <x:v>DP3-B-R2</x:v>
      </x:c>
      <x:c r="B686" s="12" t="str">
        <x:v>U22</x:v>
      </x:c>
      <x:c r="C686" s="12" t="str">
        <x:v>final_result_audio</x:v>
      </x:c>
      <x:c r="D686" s="12" t="str">
        <x:v>request</x:v>
      </x:c>
      <x:c r="E686" s="12" t="str">
        <x:v>text_input</x:v>
      </x:c>
      <x:c r="F686" s="15" t="n">
        <x:v>48</x:v>
      </x:c>
      <x:c r="G686" s="17" t="n">
        <x:v>0.000001</x:v>
      </x:c>
      <x:c r="H686" s="15" t="n">
        <x:f>F686*G686</x:f>
        <x:v>0.000048</x:v>
      </x:c>
    </x:row>
    <x:row r="687" ht="34" customHeight="1">
      <x:c r="A687" s="7" t="str">
        <x:v>DP3-B-R2</x:v>
      </x:c>
      <x:c r="B687" s="7" t="str">
        <x:v>U22</x:v>
      </x:c>
      <x:c r="C687" s="7" t="str">
        <x:v>final_result_audio</x:v>
      </x:c>
      <x:c r="D687" s="7" t="str">
        <x:v>request</x:v>
      </x:c>
      <x:c r="E687" s="7" t="str">
        <x:v>audio_output</x:v>
      </x:c>
      <x:c r="F687" s="16" t="n">
        <x:v>6</x:v>
      </x:c>
      <x:c r="G687" s="18" t="n">
        <x:v>0.002</x:v>
      </x:c>
      <x:c r="H687" s="16" t="n">
        <x:f>F687*G687</x:f>
        <x:v>0.012</x:v>
      </x:c>
    </x:row>
    <x:row r="688" ht="34" customHeight="1">
      <x:c r="A688" s="12" t="str">
        <x:v>DP3-B-R2</x:v>
      </x:c>
      <x:c r="B688" s="12" t="str">
        <x:v>U22</x:v>
      </x:c>
      <x:c r="C688" s="12" t="str">
        <x:v>input_end</x:v>
      </x:c>
      <x:c r="D688" s="12" t="str">
        <x:v>input</x:v>
      </x:c>
      <x:c r="E688" s="12" t="str">
        <x:v>audio_input</x:v>
      </x:c>
      <x:c r="F688" s="15" t="n">
        <x:v>3</x:v>
      </x:c>
      <x:c r="G688" s="17" t="n">
        <x:v>0.001</x:v>
      </x:c>
      <x:c r="H688" s="15" t="n">
        <x:f>F688*G688</x:f>
        <x:v>0.003</x:v>
      </x:c>
    </x:row>
    <x:row r="689" ht="34" customHeight="1">
      <x:c r="A689" s="7" t="str">
        <x:v>DP3-B-R2</x:v>
      </x:c>
      <x:c r="B689" s="7" t="str">
        <x:v>U23</x:v>
      </x:c>
      <x:c r="C689" s="7" t="str">
        <x:v>meaning</x:v>
      </x:c>
      <x:c r="D689" s="7" t="str">
        <x:v>request</x:v>
      </x:c>
      <x:c r="E689" s="7" t="str">
        <x:v>text_input</x:v>
      </x:c>
      <x:c r="F689" s="16" t="n">
        <x:v>3000</x:v>
      </x:c>
      <x:c r="G689" s="18" t="n">
        <x:v>0.000001</x:v>
      </x:c>
      <x:c r="H689" s="16" t="n">
        <x:f>F689*G689</x:f>
        <x:v>0.003</x:v>
      </x:c>
    </x:row>
    <x:row r="690" ht="34" customHeight="1">
      <x:c r="A690" s="12" t="str">
        <x:v>DP3-B-R2</x:v>
      </x:c>
      <x:c r="B690" s="12" t="str">
        <x:v>U23</x:v>
      </x:c>
      <x:c r="C690" s="12" t="str">
        <x:v>meaning</x:v>
      </x:c>
      <x:c r="D690" s="12" t="str">
        <x:v>request</x:v>
      </x:c>
      <x:c r="E690" s="12" t="str">
        <x:v>text_output</x:v>
      </x:c>
      <x:c r="F690" s="15" t="n">
        <x:v>64</x:v>
      </x:c>
      <x:c r="G690" s="17" t="n">
        <x:v>0.000004</x:v>
      </x:c>
      <x:c r="H690" s="15" t="n">
        <x:f>F690*G690</x:f>
        <x:v>0.000256</x:v>
      </x:c>
    </x:row>
    <x:row r="691" ht="34" customHeight="1">
      <x:c r="A691" s="7" t="str">
        <x:v>DP3-B-R2</x:v>
      </x:c>
      <x:c r="B691" s="7" t="str">
        <x:v>U23</x:v>
      </x:c>
      <x:c r="C691" s="7" t="str">
        <x:v>question_audio</x:v>
      </x:c>
      <x:c r="D691" s="7" t="str">
        <x:v>preparation</x:v>
      </x:c>
      <x:c r="E691" s="7" t="str">
        <x:v>text_input</x:v>
      </x:c>
      <x:c r="F691" s="16" t="n">
        <x:v>48</x:v>
      </x:c>
      <x:c r="G691" s="18" t="n">
        <x:v>0.000001</x:v>
      </x:c>
      <x:c r="H691" s="16" t="n">
        <x:f>F691*G691</x:f>
        <x:v>0.000048</x:v>
      </x:c>
    </x:row>
    <x:row r="692" ht="34" customHeight="1">
      <x:c r="A692" s="12" t="str">
        <x:v>DP3-B-R2</x:v>
      </x:c>
      <x:c r="B692" s="12" t="str">
        <x:v>U23</x:v>
      </x:c>
      <x:c r="C692" s="12" t="str">
        <x:v>question_audio</x:v>
      </x:c>
      <x:c r="D692" s="12" t="str">
        <x:v>preparation</x:v>
      </x:c>
      <x:c r="E692" s="12" t="str">
        <x:v>audio_output</x:v>
      </x:c>
      <x:c r="F692" s="15" t="n">
        <x:v>6</x:v>
      </x:c>
      <x:c r="G692" s="17" t="n">
        <x:v>0.002</x:v>
      </x:c>
      <x:c r="H692" s="15" t="n">
        <x:f>F692*G692</x:f>
        <x:v>0.012</x:v>
      </x:c>
    </x:row>
    <x:row r="693" ht="34" customHeight="1">
      <x:c r="A693" s="7" t="str">
        <x:v>DP3-B-R2</x:v>
      </x:c>
      <x:c r="B693" s="7" t="str">
        <x:v>U23</x:v>
      </x:c>
      <x:c r="C693" s="7" t="str">
        <x:v>final_result_audio</x:v>
      </x:c>
      <x:c r="D693" s="7" t="str">
        <x:v>request</x:v>
      </x:c>
      <x:c r="E693" s="7" t="str">
        <x:v>text_input</x:v>
      </x:c>
      <x:c r="F693" s="16" t="n">
        <x:v>48</x:v>
      </x:c>
      <x:c r="G693" s="18" t="n">
        <x:v>0.000001</x:v>
      </x:c>
      <x:c r="H693" s="16" t="n">
        <x:f>F693*G693</x:f>
        <x:v>0.000048</x:v>
      </x:c>
    </x:row>
    <x:row r="694" ht="34" customHeight="1">
      <x:c r="A694" s="12" t="str">
        <x:v>DP3-B-R2</x:v>
      </x:c>
      <x:c r="B694" s="12" t="str">
        <x:v>U23</x:v>
      </x:c>
      <x:c r="C694" s="12" t="str">
        <x:v>final_result_audio</x:v>
      </x:c>
      <x:c r="D694" s="12" t="str">
        <x:v>request</x:v>
      </x:c>
      <x:c r="E694" s="12" t="str">
        <x:v>audio_output</x:v>
      </x:c>
      <x:c r="F694" s="15" t="n">
        <x:v>6</x:v>
      </x:c>
      <x:c r="G694" s="17" t="n">
        <x:v>0.002</x:v>
      </x:c>
      <x:c r="H694" s="15" t="n">
        <x:f>F694*G694</x:f>
        <x:v>0.012</x:v>
      </x:c>
    </x:row>
    <x:row r="695" ht="34" customHeight="1">
      <x:c r="A695" s="7" t="str">
        <x:v>DP3-B-R2</x:v>
      </x:c>
      <x:c r="B695" s="7" t="str">
        <x:v>U24</x:v>
      </x:c>
      <x:c r="C695" s="7" t="str">
        <x:v>bg1</x:v>
      </x:c>
      <x:c r="D695" s="7" t="str">
        <x:v>background</x:v>
      </x:c>
      <x:c r="E695" s="7" t="str">
        <x:v>text_input</x:v>
      </x:c>
      <x:c r="F695" s="16" t="n">
        <x:v>1200</x:v>
      </x:c>
      <x:c r="G695" s="18" t="n">
        <x:v>0.000001</x:v>
      </x:c>
      <x:c r="H695" s="16" t="n">
        <x:f>F695*G695</x:f>
        <x:v>0.0012</x:v>
      </x:c>
    </x:row>
    <x:row r="696" ht="34" customHeight="1">
      <x:c r="A696" s="12" t="str">
        <x:v>DP3-B-R2</x:v>
      </x:c>
      <x:c r="B696" s="12" t="str">
        <x:v>U24</x:v>
      </x:c>
      <x:c r="C696" s="12" t="str">
        <x:v>bg1</x:v>
      </x:c>
      <x:c r="D696" s="12" t="str">
        <x:v>background</x:v>
      </x:c>
      <x:c r="E696" s="12" t="str">
        <x:v>text_output</x:v>
      </x:c>
      <x:c r="F696" s="15" t="n">
        <x:v>240</x:v>
      </x:c>
      <x:c r="G696" s="17" t="n">
        <x:v>0.000004</x:v>
      </x:c>
      <x:c r="H696" s="15" t="n">
        <x:f>F696*G696</x:f>
        <x:v>0.0009599999999999999</x:v>
      </x:c>
    </x:row>
    <x:row r="697" ht="34" customHeight="1">
      <x:c r="A697" s="7" t="str">
        <x:v>DP3-B-R2</x:v>
      </x:c>
      <x:c r="B697" s="7" t="str">
        <x:v>U24</x:v>
      </x:c>
      <x:c r="C697" s="7" t="str">
        <x:v>expand_need</x:v>
      </x:c>
      <x:c r="D697" s="7" t="str">
        <x:v>request</x:v>
      </x:c>
      <x:c r="E697" s="7" t="str">
        <x:v>text_input</x:v>
      </x:c>
      <x:c r="F697" s="16" t="n">
        <x:v>1640</x:v>
      </x:c>
      <x:c r="G697" s="18" t="n">
        <x:v>0.000001</x:v>
      </x:c>
      <x:c r="H697" s="16" t="n">
        <x:f>F697*G697</x:f>
        <x:v>0.00164</x:v>
      </x:c>
    </x:row>
    <x:row r="698" ht="34" customHeight="1">
      <x:c r="A698" s="12" t="str">
        <x:v>DP3-B-R2</x:v>
      </x:c>
      <x:c r="B698" s="12" t="str">
        <x:v>U24</x:v>
      </x:c>
      <x:c r="C698" s="12" t="str">
        <x:v>expand_need</x:v>
      </x:c>
      <x:c r="D698" s="12" t="str">
        <x:v>request</x:v>
      </x:c>
      <x:c r="E698" s="12" t="str">
        <x:v>text_output</x:v>
      </x:c>
      <x:c r="F698" s="15" t="n">
        <x:v>32</x:v>
      </x:c>
      <x:c r="G698" s="17" t="n">
        <x:v>0.000004</x:v>
      </x:c>
      <x:c r="H698" s="15" t="n">
        <x:f>F698*G698</x:f>
        <x:v>0.000128</x:v>
      </x:c>
    </x:row>
    <x:row r="699" ht="34" customHeight="1">
      <x:c r="A699" s="7" t="str">
        <x:v>DP3-B-R2</x:v>
      </x:c>
      <x:c r="B699" s="7" t="str">
        <x:v>U24</x:v>
      </x:c>
      <x:c r="C699" s="7" t="str">
        <x:v>meaning</x:v>
      </x:c>
      <x:c r="D699" s="7" t="str">
        <x:v>request</x:v>
      </x:c>
      <x:c r="E699" s="7" t="str">
        <x:v>text_input</x:v>
      </x:c>
      <x:c r="F699" s="16" t="n">
        <x:v>4940</x:v>
      </x:c>
      <x:c r="G699" s="18" t="n">
        <x:v>0.000001</x:v>
      </x:c>
      <x:c r="H699" s="16" t="n">
        <x:f>F699*G699</x:f>
        <x:v>0.00494</x:v>
      </x:c>
    </x:row>
    <x:row r="700" ht="34" customHeight="1">
      <x:c r="A700" s="12" t="str">
        <x:v>DP3-B-R2</x:v>
      </x:c>
      <x:c r="B700" s="12" t="str">
        <x:v>U24</x:v>
      </x:c>
      <x:c r="C700" s="12" t="str">
        <x:v>meaning</x:v>
      </x:c>
      <x:c r="D700" s="12" t="str">
        <x:v>request</x:v>
      </x:c>
      <x:c r="E700" s="12" t="str">
        <x:v>text_output</x:v>
      </x:c>
      <x:c r="F700" s="15" t="n">
        <x:v>64</x:v>
      </x:c>
      <x:c r="G700" s="17" t="n">
        <x:v>0.000004</x:v>
      </x:c>
      <x:c r="H700" s="15" t="n">
        <x:f>F700*G700</x:f>
        <x:v>0.000256</x:v>
      </x:c>
    </x:row>
    <x:row r="701" ht="34" customHeight="1">
      <x:c r="A701" s="7" t="str">
        <x:v>DP3-B-R2</x:v>
      </x:c>
      <x:c r="B701" s="7" t="str">
        <x:v>U24</x:v>
      </x:c>
      <x:c r="C701" s="7" t="str">
        <x:v>response_audio</x:v>
      </x:c>
      <x:c r="D701" s="7" t="str">
        <x:v>request</x:v>
      </x:c>
      <x:c r="E701" s="7" t="str">
        <x:v>text_input</x:v>
      </x:c>
      <x:c r="F701" s="16" t="n">
        <x:v>48</x:v>
      </x:c>
      <x:c r="G701" s="18" t="n">
        <x:v>0.000001</x:v>
      </x:c>
      <x:c r="H701" s="16" t="n">
        <x:f>F701*G701</x:f>
        <x:v>0.000048</x:v>
      </x:c>
    </x:row>
    <x:row r="702" ht="34" customHeight="1">
      <x:c r="A702" s="12" t="str">
        <x:v>DP3-B-R2</x:v>
      </x:c>
      <x:c r="B702" s="12" t="str">
        <x:v>U24</x:v>
      </x:c>
      <x:c r="C702" s="12" t="str">
        <x:v>response_audio</x:v>
      </x:c>
      <x:c r="D702" s="12" t="str">
        <x:v>request</x:v>
      </x:c>
      <x:c r="E702" s="12" t="str">
        <x:v>audio_output</x:v>
      </x:c>
      <x:c r="F702" s="15" t="n">
        <x:v>6</x:v>
      </x:c>
      <x:c r="G702" s="17" t="n">
        <x:v>0.002</x:v>
      </x:c>
      <x:c r="H702" s="15" t="n">
        <x:f>F702*G702</x:f>
        <x:v>0.012</x:v>
      </x:c>
    </x:row>
    <x:row r="703" ht="34" customHeight="1">
      <x:c r="A703" s="7" t="str">
        <x:v>DP3-B-R2</x:v>
      </x:c>
      <x:c r="B703" s="7" t="str">
        <x:v>U24</x:v>
      </x:c>
      <x:c r="C703" s="7" t="str">
        <x:v>intent_audio</x:v>
      </x:c>
      <x:c r="D703" s="7" t="str">
        <x:v>request</x:v>
      </x:c>
      <x:c r="E703" s="7" t="str">
        <x:v>text_input</x:v>
      </x:c>
      <x:c r="F703" s="16" t="n">
        <x:v>24</x:v>
      </x:c>
      <x:c r="G703" s="18" t="n">
        <x:v>0.000001</x:v>
      </x:c>
      <x:c r="H703" s="16" t="n">
        <x:f>F703*G703</x:f>
        <x:v>0.000024</x:v>
      </x:c>
    </x:row>
    <x:row r="704" ht="34" customHeight="1">
      <x:c r="A704" s="12" t="str">
        <x:v>DP3-B-R2</x:v>
      </x:c>
      <x:c r="B704" s="12" t="str">
        <x:v>U24</x:v>
      </x:c>
      <x:c r="C704" s="12" t="str">
        <x:v>intent_audio</x:v>
      </x:c>
      <x:c r="D704" s="12" t="str">
        <x:v>request</x:v>
      </x:c>
      <x:c r="E704" s="12" t="str">
        <x:v>audio_output</x:v>
      </x:c>
      <x:c r="F704" s="15" t="n">
        <x:v>3</x:v>
      </x:c>
      <x:c r="G704" s="17" t="n">
        <x:v>0.002</x:v>
      </x:c>
      <x:c r="H704" s="15" t="n">
        <x:f>F704*G704</x:f>
        <x:v>0.006</x:v>
      </x:c>
    </x:row>
    <x:row r="705" ht="34" customHeight="1">
      <x:c r="A705" s="7" t="str">
        <x:v>DP3-B-R2</x:v>
      </x:c>
      <x:c r="B705" s="7" t="str">
        <x:v>U24</x:v>
      </x:c>
      <x:c r="C705" s="7" t="str">
        <x:v>input_end</x:v>
      </x:c>
      <x:c r="D705" s="7" t="str">
        <x:v>input</x:v>
      </x:c>
      <x:c r="E705" s="7" t="str">
        <x:v>audio_input</x:v>
      </x:c>
      <x:c r="F705" s="16" t="n">
        <x:v>3</x:v>
      </x:c>
      <x:c r="G705" s="18" t="n">
        <x:v>0.001</x:v>
      </x:c>
      <x:c r="H705" s="16" t="n">
        <x:f>F705*G705</x:f>
        <x:v>0.003</x:v>
      </x:c>
    </x:row>
    <x:row r="706" ht="34" customHeight="1">
      <x:c r="A706" s="12" t="str">
        <x:v>DP3-B-R3</x:v>
      </x:c>
      <x:c r="B706" s="12" t="str">
        <x:v>U01</x:v>
      </x:c>
      <x:c r="C706" s="12" t="str">
        <x:v>meaning</x:v>
      </x:c>
      <x:c r="D706" s="12" t="str">
        <x:v>request</x:v>
      </x:c>
      <x:c r="E706" s="12" t="str">
        <x:v>text_input</x:v>
      </x:c>
      <x:c r="F706" s="15" t="n">
        <x:v>600</x:v>
      </x:c>
      <x:c r="G706" s="17" t="n">
        <x:v>0.000001</x:v>
      </x:c>
      <x:c r="H706" s="15" t="n">
        <x:f>F706*G706</x:f>
        <x:v>0.0006</x:v>
      </x:c>
    </x:row>
    <x:row r="707" ht="34" customHeight="1">
      <x:c r="A707" s="7" t="str">
        <x:v>DP3-B-R3</x:v>
      </x:c>
      <x:c r="B707" s="7" t="str">
        <x:v>U01</x:v>
      </x:c>
      <x:c r="C707" s="7" t="str">
        <x:v>meaning</x:v>
      </x:c>
      <x:c r="D707" s="7" t="str">
        <x:v>request</x:v>
      </x:c>
      <x:c r="E707" s="7" t="str">
        <x:v>text_output</x:v>
      </x:c>
      <x:c r="F707" s="16" t="n">
        <x:v>64</x:v>
      </x:c>
      <x:c r="G707" s="18" t="n">
        <x:v>0.000004</x:v>
      </x:c>
      <x:c r="H707" s="16" t="n">
        <x:f>F707*G707</x:f>
        <x:v>0.000256</x:v>
      </x:c>
    </x:row>
    <x:row r="708" ht="34" customHeight="1">
      <x:c r="A708" s="12" t="str">
        <x:v>DP3-B-R3</x:v>
      </x:c>
      <x:c r="B708" s="12" t="str">
        <x:v>U01</x:v>
      </x:c>
      <x:c r="C708" s="12" t="str">
        <x:v>response_audio</x:v>
      </x:c>
      <x:c r="D708" s="12" t="str">
        <x:v>request</x:v>
      </x:c>
      <x:c r="E708" s="12" t="str">
        <x:v>text_input</x:v>
      </x:c>
      <x:c r="F708" s="15" t="n">
        <x:v>48</x:v>
      </x:c>
      <x:c r="G708" s="17" t="n">
        <x:v>0.000001</x:v>
      </x:c>
      <x:c r="H708" s="15" t="n">
        <x:f>F708*G708</x:f>
        <x:v>0.000048</x:v>
      </x:c>
    </x:row>
    <x:row r="709" ht="34" customHeight="1">
      <x:c r="A709" s="7" t="str">
        <x:v>DP3-B-R3</x:v>
      </x:c>
      <x:c r="B709" s="7" t="str">
        <x:v>U01</x:v>
      </x:c>
      <x:c r="C709" s="7" t="str">
        <x:v>response_audio</x:v>
      </x:c>
      <x:c r="D709" s="7" t="str">
        <x:v>request</x:v>
      </x:c>
      <x:c r="E709" s="7" t="str">
        <x:v>audio_output</x:v>
      </x:c>
      <x:c r="F709" s="16" t="n">
        <x:v>6</x:v>
      </x:c>
      <x:c r="G709" s="18" t="n">
        <x:v>0.002</x:v>
      </x:c>
      <x:c r="H709" s="16" t="n">
        <x:f>F709*G709</x:f>
        <x:v>0.012</x:v>
      </x:c>
    </x:row>
    <x:row r="710" ht="34" customHeight="1">
      <x:c r="A710" s="12" t="str">
        <x:v>DP3-B-R3</x:v>
      </x:c>
      <x:c r="B710" s="12" t="str">
        <x:v>U02</x:v>
      </x:c>
      <x:c r="C710" s="12" t="str">
        <x:v>meaning</x:v>
      </x:c>
      <x:c r="D710" s="12" t="str">
        <x:v>request</x:v>
      </x:c>
      <x:c r="E710" s="12" t="str">
        <x:v>text_input</x:v>
      </x:c>
      <x:c r="F710" s="15" t="n">
        <x:v>600</x:v>
      </x:c>
      <x:c r="G710" s="17" t="n">
        <x:v>0.000001</x:v>
      </x:c>
      <x:c r="H710" s="15" t="n">
        <x:f>F710*G710</x:f>
        <x:v>0.0006</x:v>
      </x:c>
    </x:row>
    <x:row r="711" ht="34" customHeight="1">
      <x:c r="A711" s="7" t="str">
        <x:v>DP3-B-R3</x:v>
      </x:c>
      <x:c r="B711" s="7" t="str">
        <x:v>U02</x:v>
      </x:c>
      <x:c r="C711" s="7" t="str">
        <x:v>meaning</x:v>
      </x:c>
      <x:c r="D711" s="7" t="str">
        <x:v>request</x:v>
      </x:c>
      <x:c r="E711" s="7" t="str">
        <x:v>text_output</x:v>
      </x:c>
      <x:c r="F711" s="16" t="n">
        <x:v>64</x:v>
      </x:c>
      <x:c r="G711" s="18" t="n">
        <x:v>0.000004</x:v>
      </x:c>
      <x:c r="H711" s="16" t="n">
        <x:f>F711*G711</x:f>
        <x:v>0.000256</x:v>
      </x:c>
    </x:row>
    <x:row r="712" ht="34" customHeight="1">
      <x:c r="A712" s="12" t="str">
        <x:v>DP3-B-R3</x:v>
      </x:c>
      <x:c r="B712" s="12" t="str">
        <x:v>U02</x:v>
      </x:c>
      <x:c r="C712" s="12" t="str">
        <x:v>response_audio</x:v>
      </x:c>
      <x:c r="D712" s="12" t="str">
        <x:v>request</x:v>
      </x:c>
      <x:c r="E712" s="12" t="str">
        <x:v>text_input</x:v>
      </x:c>
      <x:c r="F712" s="15" t="n">
        <x:v>24</x:v>
      </x:c>
      <x:c r="G712" s="17" t="n">
        <x:v>0.000001</x:v>
      </x:c>
      <x:c r="H712" s="15" t="n">
        <x:f>F712*G712</x:f>
        <x:v>0.000024</x:v>
      </x:c>
    </x:row>
    <x:row r="713" ht="34" customHeight="1">
      <x:c r="A713" s="7" t="str">
        <x:v>DP3-B-R3</x:v>
      </x:c>
      <x:c r="B713" s="7" t="str">
        <x:v>U02</x:v>
      </x:c>
      <x:c r="C713" s="7" t="str">
        <x:v>response_audio</x:v>
      </x:c>
      <x:c r="D713" s="7" t="str">
        <x:v>request</x:v>
      </x:c>
      <x:c r="E713" s="7" t="str">
        <x:v>audio_output</x:v>
      </x:c>
      <x:c r="F713" s="16" t="n">
        <x:v>3</x:v>
      </x:c>
      <x:c r="G713" s="18" t="n">
        <x:v>0.002</x:v>
      </x:c>
      <x:c r="H713" s="16" t="n">
        <x:f>F713*G713</x:f>
        <x:v>0.006</x:v>
      </x:c>
    </x:row>
    <x:row r="714" ht="34" customHeight="1">
      <x:c r="A714" s="12" t="str">
        <x:v>DP3-B-R3</x:v>
      </x:c>
      <x:c r="B714" s="12" t="str">
        <x:v>U02</x:v>
      </x:c>
      <x:c r="C714" s="12" t="str">
        <x:v>input_end</x:v>
      </x:c>
      <x:c r="D714" s="12" t="str">
        <x:v>input</x:v>
      </x:c>
      <x:c r="E714" s="12" t="str">
        <x:v>audio_input</x:v>
      </x:c>
      <x:c r="F714" s="15" t="n">
        <x:v>3</x:v>
      </x:c>
      <x:c r="G714" s="17" t="n">
        <x:v>0.001</x:v>
      </x:c>
      <x:c r="H714" s="15" t="n">
        <x:f>F714*G714</x:f>
        <x:v>0.003</x:v>
      </x:c>
    </x:row>
    <x:row r="715" ht="34" customHeight="1">
      <x:c r="A715" s="7" t="str">
        <x:v>DP3-B-R3</x:v>
      </x:c>
      <x:c r="B715" s="7" t="str">
        <x:v>U03</x:v>
      </x:c>
      <x:c r="C715" s="7" t="str">
        <x:v>meaning</x:v>
      </x:c>
      <x:c r="D715" s="7" t="str">
        <x:v>request</x:v>
      </x:c>
      <x:c r="E715" s="7" t="str">
        <x:v>text_input</x:v>
      </x:c>
      <x:c r="F715" s="16" t="n">
        <x:v>600</x:v>
      </x:c>
      <x:c r="G715" s="18" t="n">
        <x:v>0.000001</x:v>
      </x:c>
      <x:c r="H715" s="16" t="n">
        <x:f>F715*G715</x:f>
        <x:v>0.0006</x:v>
      </x:c>
    </x:row>
    <x:row r="716" ht="34" customHeight="1">
      <x:c r="A716" s="12" t="str">
        <x:v>DP3-B-R3</x:v>
      </x:c>
      <x:c r="B716" s="12" t="str">
        <x:v>U03</x:v>
      </x:c>
      <x:c r="C716" s="12" t="str">
        <x:v>meaning</x:v>
      </x:c>
      <x:c r="D716" s="12" t="str">
        <x:v>request</x:v>
      </x:c>
      <x:c r="E716" s="12" t="str">
        <x:v>text_output</x:v>
      </x:c>
      <x:c r="F716" s="15" t="n">
        <x:v>64</x:v>
      </x:c>
      <x:c r="G716" s="17" t="n">
        <x:v>0.000004</x:v>
      </x:c>
      <x:c r="H716" s="15" t="n">
        <x:f>F716*G716</x:f>
        <x:v>0.000256</x:v>
      </x:c>
    </x:row>
    <x:row r="717" ht="34" customHeight="1">
      <x:c r="A717" s="7" t="str">
        <x:v>DP3-B-R3</x:v>
      </x:c>
      <x:c r="B717" s="7" t="str">
        <x:v>U03</x:v>
      </x:c>
      <x:c r="C717" s="7" t="str">
        <x:v>long_work</x:v>
      </x:c>
      <x:c r="D717" s="7" t="str">
        <x:v>request</x:v>
      </x:c>
      <x:c r="E717" s="7" t="str">
        <x:v>text_input</x:v>
      </x:c>
      <x:c r="F717" s="16" t="n">
        <x:v>1200</x:v>
      </x:c>
      <x:c r="G717" s="18" t="n">
        <x:v>0.000001</x:v>
      </x:c>
      <x:c r="H717" s="16" t="n">
        <x:f>F717*G717</x:f>
        <x:v>0.0012</x:v>
      </x:c>
    </x:row>
    <x:row r="718" ht="34" customHeight="1">
      <x:c r="A718" s="12" t="str">
        <x:v>DP3-B-R3</x:v>
      </x:c>
      <x:c r="B718" s="12" t="str">
        <x:v>U03</x:v>
      </x:c>
      <x:c r="C718" s="12" t="str">
        <x:v>long_work</x:v>
      </x:c>
      <x:c r="D718" s="12" t="str">
        <x:v>request</x:v>
      </x:c>
      <x:c r="E718" s="12" t="str">
        <x:v>text_output</x:v>
      </x:c>
      <x:c r="F718" s="15" t="n">
        <x:v>96</x:v>
      </x:c>
      <x:c r="G718" s="17" t="n">
        <x:v>0.000004</x:v>
      </x:c>
      <x:c r="H718" s="15" t="n">
        <x:f>F718*G718</x:f>
        <x:v>0.000384</x:v>
      </x:c>
    </x:row>
    <x:row r="719" ht="34" customHeight="1">
      <x:c r="A719" s="7" t="str">
        <x:v>DP3-B-R3</x:v>
      </x:c>
      <x:c r="B719" s="7" t="str">
        <x:v>U03</x:v>
      </x:c>
      <x:c r="C719" s="7" t="str">
        <x:v>response_audio</x:v>
      </x:c>
      <x:c r="D719" s="7" t="str">
        <x:v>request</x:v>
      </x:c>
      <x:c r="E719" s="7" t="str">
        <x:v>text_input</x:v>
      </x:c>
      <x:c r="F719" s="16" t="n">
        <x:v>48</x:v>
      </x:c>
      <x:c r="G719" s="18" t="n">
        <x:v>0.000001</x:v>
      </x:c>
      <x:c r="H719" s="16" t="n">
        <x:f>F719*G719</x:f>
        <x:v>0.000048</x:v>
      </x:c>
    </x:row>
    <x:row r="720" ht="34" customHeight="1">
      <x:c r="A720" s="12" t="str">
        <x:v>DP3-B-R3</x:v>
      </x:c>
      <x:c r="B720" s="12" t="str">
        <x:v>U03</x:v>
      </x:c>
      <x:c r="C720" s="12" t="str">
        <x:v>response_audio</x:v>
      </x:c>
      <x:c r="D720" s="12" t="str">
        <x:v>request</x:v>
      </x:c>
      <x:c r="E720" s="12" t="str">
        <x:v>audio_output</x:v>
      </x:c>
      <x:c r="F720" s="15" t="n">
        <x:v>6</x:v>
      </x:c>
      <x:c r="G720" s="17" t="n">
        <x:v>0.002</x:v>
      </x:c>
      <x:c r="H720" s="15" t="n">
        <x:f>F720*G720</x:f>
        <x:v>0.012</x:v>
      </x:c>
    </x:row>
    <x:row r="721" ht="34" customHeight="1">
      <x:c r="A721" s="7" t="str">
        <x:v>DP3-B-R3</x:v>
      </x:c>
      <x:c r="B721" s="7" t="str">
        <x:v>U03</x:v>
      </x:c>
      <x:c r="C721" s="7" t="str">
        <x:v>intent_audio</x:v>
      </x:c>
      <x:c r="D721" s="7" t="str">
        <x:v>request</x:v>
      </x:c>
      <x:c r="E721" s="7" t="str">
        <x:v>text_input</x:v>
      </x:c>
      <x:c r="F721" s="16" t="n">
        <x:v>24</x:v>
      </x:c>
      <x:c r="G721" s="18" t="n">
        <x:v>0.000001</x:v>
      </x:c>
      <x:c r="H721" s="16" t="n">
        <x:f>F721*G721</x:f>
        <x:v>0.000024</x:v>
      </x:c>
    </x:row>
    <x:row r="722" ht="34" customHeight="1">
      <x:c r="A722" s="12" t="str">
        <x:v>DP3-B-R3</x:v>
      </x:c>
      <x:c r="B722" s="12" t="str">
        <x:v>U03</x:v>
      </x:c>
      <x:c r="C722" s="12" t="str">
        <x:v>intent_audio</x:v>
      </x:c>
      <x:c r="D722" s="12" t="str">
        <x:v>request</x:v>
      </x:c>
      <x:c r="E722" s="12" t="str">
        <x:v>audio_output</x:v>
      </x:c>
      <x:c r="F722" s="15" t="n">
        <x:v>3</x:v>
      </x:c>
      <x:c r="G722" s="17" t="n">
        <x:v>0.002</x:v>
      </x:c>
      <x:c r="H722" s="15" t="n">
        <x:f>F722*G722</x:f>
        <x:v>0.006</x:v>
      </x:c>
    </x:row>
    <x:row r="723" ht="34" customHeight="1">
      <x:c r="A723" s="7" t="str">
        <x:v>DP3-B-R3</x:v>
      </x:c>
      <x:c r="B723" s="7" t="str">
        <x:v>U04</x:v>
      </x:c>
      <x:c r="C723" s="7" t="str">
        <x:v>meaning</x:v>
      </x:c>
      <x:c r="D723" s="7" t="str">
        <x:v>request</x:v>
      </x:c>
      <x:c r="E723" s="7" t="str">
        <x:v>text_input</x:v>
      </x:c>
      <x:c r="F723" s="16" t="n">
        <x:v>600</x:v>
      </x:c>
      <x:c r="G723" s="18" t="n">
        <x:v>0.000001</x:v>
      </x:c>
      <x:c r="H723" s="16" t="n">
        <x:f>F723*G723</x:f>
        <x:v>0.0006</x:v>
      </x:c>
    </x:row>
    <x:row r="724" ht="34" customHeight="1">
      <x:c r="A724" s="12" t="str">
        <x:v>DP3-B-R3</x:v>
      </x:c>
      <x:c r="B724" s="12" t="str">
        <x:v>U04</x:v>
      </x:c>
      <x:c r="C724" s="12" t="str">
        <x:v>meaning</x:v>
      </x:c>
      <x:c r="D724" s="12" t="str">
        <x:v>request</x:v>
      </x:c>
      <x:c r="E724" s="12" t="str">
        <x:v>text_output</x:v>
      </x:c>
      <x:c r="F724" s="15" t="n">
        <x:v>64</x:v>
      </x:c>
      <x:c r="G724" s="17" t="n">
        <x:v>0.000004</x:v>
      </x:c>
      <x:c r="H724" s="15" t="n">
        <x:f>F724*G724</x:f>
        <x:v>0.000256</x:v>
      </x:c>
    </x:row>
    <x:row r="725" ht="34" customHeight="1">
      <x:c r="A725" s="7" t="str">
        <x:v>DP3-B-R3</x:v>
      </x:c>
      <x:c r="B725" s="7" t="str">
        <x:v>U04</x:v>
      </x:c>
      <x:c r="C725" s="7" t="str">
        <x:v>response_audio</x:v>
      </x:c>
      <x:c r="D725" s="7" t="str">
        <x:v>request</x:v>
      </x:c>
      <x:c r="E725" s="7" t="str">
        <x:v>text_input</x:v>
      </x:c>
      <x:c r="F725" s="16" t="n">
        <x:v>48</x:v>
      </x:c>
      <x:c r="G725" s="18" t="n">
        <x:v>0.000001</x:v>
      </x:c>
      <x:c r="H725" s="16" t="n">
        <x:f>F725*G725</x:f>
        <x:v>0.000048</x:v>
      </x:c>
    </x:row>
    <x:row r="726" ht="34" customHeight="1">
      <x:c r="A726" s="12" t="str">
        <x:v>DP3-B-R3</x:v>
      </x:c>
      <x:c r="B726" s="12" t="str">
        <x:v>U04</x:v>
      </x:c>
      <x:c r="C726" s="12" t="str">
        <x:v>response_audio</x:v>
      </x:c>
      <x:c r="D726" s="12" t="str">
        <x:v>request</x:v>
      </x:c>
      <x:c r="E726" s="12" t="str">
        <x:v>audio_output</x:v>
      </x:c>
      <x:c r="F726" s="15" t="n">
        <x:v>6</x:v>
      </x:c>
      <x:c r="G726" s="17" t="n">
        <x:v>0.002</x:v>
      </x:c>
      <x:c r="H726" s="15" t="n">
        <x:f>F726*G726</x:f>
        <x:v>0.012</x:v>
      </x:c>
    </x:row>
    <x:row r="727" ht="34" customHeight="1">
      <x:c r="A727" s="7" t="str">
        <x:v>DP3-B-R3</x:v>
      </x:c>
      <x:c r="B727" s="7" t="str">
        <x:v>U04</x:v>
      </x:c>
      <x:c r="C727" s="7" t="str">
        <x:v>input_end</x:v>
      </x:c>
      <x:c r="D727" s="7" t="str">
        <x:v>input</x:v>
      </x:c>
      <x:c r="E727" s="7" t="str">
        <x:v>audio_input</x:v>
      </x:c>
      <x:c r="F727" s="16" t="n">
        <x:v>3</x:v>
      </x:c>
      <x:c r="G727" s="18" t="n">
        <x:v>0.001</x:v>
      </x:c>
      <x:c r="H727" s="16" t="n">
        <x:f>F727*G727</x:f>
        <x:v>0.003</x:v>
      </x:c>
    </x:row>
    <x:row r="728" ht="34" customHeight="1">
      <x:c r="A728" s="12" t="str">
        <x:v>DP3-B-R3</x:v>
      </x:c>
      <x:c r="B728" s="12" t="str">
        <x:v>U05</x:v>
      </x:c>
      <x:c r="C728" s="12" t="str">
        <x:v>bg1</x:v>
      </x:c>
      <x:c r="D728" s="12" t="str">
        <x:v>background</x:v>
      </x:c>
      <x:c r="E728" s="12" t="str">
        <x:v>text_input</x:v>
      </x:c>
      <x:c r="F728" s="15" t="n">
        <x:v>1200</x:v>
      </x:c>
      <x:c r="G728" s="17" t="n">
        <x:v>0.000001</x:v>
      </x:c>
      <x:c r="H728" s="15" t="n">
        <x:f>F728*G728</x:f>
        <x:v>0.0012</x:v>
      </x:c>
    </x:row>
    <x:row r="729" ht="34" customHeight="1">
      <x:c r="A729" s="7" t="str">
        <x:v>DP3-B-R3</x:v>
      </x:c>
      <x:c r="B729" s="7" t="str">
        <x:v>U05</x:v>
      </x:c>
      <x:c r="C729" s="7" t="str">
        <x:v>bg1</x:v>
      </x:c>
      <x:c r="D729" s="7" t="str">
        <x:v>background</x:v>
      </x:c>
      <x:c r="E729" s="7" t="str">
        <x:v>text_output</x:v>
      </x:c>
      <x:c r="F729" s="16" t="n">
        <x:v>240</x:v>
      </x:c>
      <x:c r="G729" s="18" t="n">
        <x:v>0.000004</x:v>
      </x:c>
      <x:c r="H729" s="16" t="n">
        <x:f>F729*G729</x:f>
        <x:v>0.0009599999999999999</x:v>
      </x:c>
    </x:row>
    <x:row r="730" ht="34" customHeight="1">
      <x:c r="A730" s="12" t="str">
        <x:v>DP3-B-R3</x:v>
      </x:c>
      <x:c r="B730" s="12" t="str">
        <x:v>U05</x:v>
      </x:c>
      <x:c r="C730" s="12" t="str">
        <x:v>meaning</x:v>
      </x:c>
      <x:c r="D730" s="12" t="str">
        <x:v>request</x:v>
      </x:c>
      <x:c r="E730" s="12" t="str">
        <x:v>text_input</x:v>
      </x:c>
      <x:c r="F730" s="15" t="n">
        <x:v>600</x:v>
      </x:c>
      <x:c r="G730" s="17" t="n">
        <x:v>0.000001</x:v>
      </x:c>
      <x:c r="H730" s="15" t="n">
        <x:f>F730*G730</x:f>
        <x:v>0.0006</x:v>
      </x:c>
    </x:row>
    <x:row r="731" ht="34" customHeight="1">
      <x:c r="A731" s="7" t="str">
        <x:v>DP3-B-R3</x:v>
      </x:c>
      <x:c r="B731" s="7" t="str">
        <x:v>U05</x:v>
      </x:c>
      <x:c r="C731" s="7" t="str">
        <x:v>meaning</x:v>
      </x:c>
      <x:c r="D731" s="7" t="str">
        <x:v>request</x:v>
      </x:c>
      <x:c r="E731" s="7" t="str">
        <x:v>text_output</x:v>
      </x:c>
      <x:c r="F731" s="16" t="n">
        <x:v>64</x:v>
      </x:c>
      <x:c r="G731" s="18" t="n">
        <x:v>0.000004</x:v>
      </x:c>
      <x:c r="H731" s="16" t="n">
        <x:f>F731*G731</x:f>
        <x:v>0.000256</x:v>
      </x:c>
    </x:row>
    <x:row r="732" ht="34" customHeight="1">
      <x:c r="A732" s="12" t="str">
        <x:v>DP3-B-R3</x:v>
      </x:c>
      <x:c r="B732" s="12" t="str">
        <x:v>U05</x:v>
      </x:c>
      <x:c r="C732" s="12" t="str">
        <x:v>response_audio</x:v>
      </x:c>
      <x:c r="D732" s="12" t="str">
        <x:v>request</x:v>
      </x:c>
      <x:c r="E732" s="12" t="str">
        <x:v>text_input</x:v>
      </x:c>
      <x:c r="F732" s="15" t="n">
        <x:v>48</x:v>
      </x:c>
      <x:c r="G732" s="17" t="n">
        <x:v>0.000001</x:v>
      </x:c>
      <x:c r="H732" s="15" t="n">
        <x:f>F732*G732</x:f>
        <x:v>0.000048</x:v>
      </x:c>
    </x:row>
    <x:row r="733" ht="34" customHeight="1">
      <x:c r="A733" s="7" t="str">
        <x:v>DP3-B-R3</x:v>
      </x:c>
      <x:c r="B733" s="7" t="str">
        <x:v>U05</x:v>
      </x:c>
      <x:c r="C733" s="7" t="str">
        <x:v>response_audio</x:v>
      </x:c>
      <x:c r="D733" s="7" t="str">
        <x:v>request</x:v>
      </x:c>
      <x:c r="E733" s="7" t="str">
        <x:v>audio_output</x:v>
      </x:c>
      <x:c r="F733" s="16" t="n">
        <x:v>6</x:v>
      </x:c>
      <x:c r="G733" s="18" t="n">
        <x:v>0.002</x:v>
      </x:c>
      <x:c r="H733" s="16" t="n">
        <x:f>F733*G733</x:f>
        <x:v>0.012</x:v>
      </x:c>
    </x:row>
    <x:row r="734" ht="34" customHeight="1">
      <x:c r="A734" s="12" t="str">
        <x:v>DP3-B-R3</x:v>
      </x:c>
      <x:c r="B734" s="12" t="str">
        <x:v>U05</x:v>
      </x:c>
      <x:c r="C734" s="12" t="str">
        <x:v>input_end</x:v>
      </x:c>
      <x:c r="D734" s="12" t="str">
        <x:v>input</x:v>
      </x:c>
      <x:c r="E734" s="12" t="str">
        <x:v>audio_input</x:v>
      </x:c>
      <x:c r="F734" s="15" t="n">
        <x:v>3</x:v>
      </x:c>
      <x:c r="G734" s="17" t="n">
        <x:v>0.001</x:v>
      </x:c>
      <x:c r="H734" s="15" t="n">
        <x:f>F734*G734</x:f>
        <x:v>0.003</x:v>
      </x:c>
    </x:row>
    <x:row r="735" ht="34" customHeight="1">
      <x:c r="A735" s="7" t="str">
        <x:v>DP3-B-R3</x:v>
      </x:c>
      <x:c r="B735" s="7" t="str">
        <x:v>U06</x:v>
      </x:c>
      <x:c r="C735" s="7" t="str">
        <x:v>bg1</x:v>
      </x:c>
      <x:c r="D735" s="7" t="str">
        <x:v>background</x:v>
      </x:c>
      <x:c r="E735" s="7" t="str">
        <x:v>text_input</x:v>
      </x:c>
      <x:c r="F735" s="16" t="n">
        <x:v>1200</x:v>
      </x:c>
      <x:c r="G735" s="18" t="n">
        <x:v>0.000001</x:v>
      </x:c>
      <x:c r="H735" s="16" t="n">
        <x:f>F735*G735</x:f>
        <x:v>0.0012</x:v>
      </x:c>
    </x:row>
    <x:row r="736" ht="34" customHeight="1">
      <x:c r="A736" s="12" t="str">
        <x:v>DP3-B-R3</x:v>
      </x:c>
      <x:c r="B736" s="12" t="str">
        <x:v>U06</x:v>
      </x:c>
      <x:c r="C736" s="12" t="str">
        <x:v>bg1</x:v>
      </x:c>
      <x:c r="D736" s="12" t="str">
        <x:v>background</x:v>
      </x:c>
      <x:c r="E736" s="12" t="str">
        <x:v>text_output</x:v>
      </x:c>
      <x:c r="F736" s="15" t="n">
        <x:v>240</x:v>
      </x:c>
      <x:c r="G736" s="17" t="n">
        <x:v>0.000004</x:v>
      </x:c>
      <x:c r="H736" s="15" t="n">
        <x:f>F736*G736</x:f>
        <x:v>0.0009599999999999999</x:v>
      </x:c>
    </x:row>
    <x:row r="737" ht="34" customHeight="1">
      <x:c r="A737" s="7" t="str">
        <x:v>DP3-B-R3</x:v>
      </x:c>
      <x:c r="B737" s="7" t="str">
        <x:v>U06</x:v>
      </x:c>
      <x:c r="C737" s="7" t="str">
        <x:v>meaning</x:v>
      </x:c>
      <x:c r="D737" s="7" t="str">
        <x:v>request</x:v>
      </x:c>
      <x:c r="E737" s="7" t="str">
        <x:v>text_input</x:v>
      </x:c>
      <x:c r="F737" s="16" t="n">
        <x:v>600</x:v>
      </x:c>
      <x:c r="G737" s="18" t="n">
        <x:v>0.000001</x:v>
      </x:c>
      <x:c r="H737" s="16" t="n">
        <x:f>F737*G737</x:f>
        <x:v>0.0006</x:v>
      </x:c>
    </x:row>
    <x:row r="738" ht="34" customHeight="1">
      <x:c r="A738" s="12" t="str">
        <x:v>DP3-B-R3</x:v>
      </x:c>
      <x:c r="B738" s="12" t="str">
        <x:v>U06</x:v>
      </x:c>
      <x:c r="C738" s="12" t="str">
        <x:v>meaning</x:v>
      </x:c>
      <x:c r="D738" s="12" t="str">
        <x:v>request</x:v>
      </x:c>
      <x:c r="E738" s="12" t="str">
        <x:v>text_output</x:v>
      </x:c>
      <x:c r="F738" s="15" t="n">
        <x:v>64</x:v>
      </x:c>
      <x:c r="G738" s="17" t="n">
        <x:v>0.000004</x:v>
      </x:c>
      <x:c r="H738" s="15" t="n">
        <x:f>F738*G738</x:f>
        <x:v>0.000256</x:v>
      </x:c>
    </x:row>
    <x:row r="739" ht="34" customHeight="1">
      <x:c r="A739" s="7" t="str">
        <x:v>DP3-B-R3</x:v>
      </x:c>
      <x:c r="B739" s="7" t="str">
        <x:v>U06</x:v>
      </x:c>
      <x:c r="C739" s="7" t="str">
        <x:v>long_work</x:v>
      </x:c>
      <x:c r="D739" s="7" t="str">
        <x:v>request</x:v>
      </x:c>
      <x:c r="E739" s="7" t="str">
        <x:v>text_input</x:v>
      </x:c>
      <x:c r="F739" s="16" t="n">
        <x:v>1200</x:v>
      </x:c>
      <x:c r="G739" s="18" t="n">
        <x:v>0.000001</x:v>
      </x:c>
      <x:c r="H739" s="16" t="n">
        <x:f>F739*G739</x:f>
        <x:v>0.0012</x:v>
      </x:c>
    </x:row>
    <x:row r="740" ht="34" customHeight="1">
      <x:c r="A740" s="12" t="str">
        <x:v>DP3-B-R3</x:v>
      </x:c>
      <x:c r="B740" s="12" t="str">
        <x:v>U06</x:v>
      </x:c>
      <x:c r="C740" s="12" t="str">
        <x:v>long_work</x:v>
      </x:c>
      <x:c r="D740" s="12" t="str">
        <x:v>request</x:v>
      </x:c>
      <x:c r="E740" s="12" t="str">
        <x:v>text_output</x:v>
      </x:c>
      <x:c r="F740" s="15" t="n">
        <x:v>96</x:v>
      </x:c>
      <x:c r="G740" s="17" t="n">
        <x:v>0.000004</x:v>
      </x:c>
      <x:c r="H740" s="15" t="n">
        <x:f>F740*G740</x:f>
        <x:v>0.000384</x:v>
      </x:c>
    </x:row>
    <x:row r="741" ht="34" customHeight="1">
      <x:c r="A741" s="7" t="str">
        <x:v>DP3-B-R3</x:v>
      </x:c>
      <x:c r="B741" s="7" t="str">
        <x:v>U06</x:v>
      </x:c>
      <x:c r="C741" s="7" t="str">
        <x:v>response_audio</x:v>
      </x:c>
      <x:c r="D741" s="7" t="str">
        <x:v>request</x:v>
      </x:c>
      <x:c r="E741" s="7" t="str">
        <x:v>text_input</x:v>
      </x:c>
      <x:c r="F741" s="16" t="n">
        <x:v>48</x:v>
      </x:c>
      <x:c r="G741" s="18" t="n">
        <x:v>0.000001</x:v>
      </x:c>
      <x:c r="H741" s="16" t="n">
        <x:f>F741*G741</x:f>
        <x:v>0.000048</x:v>
      </x:c>
    </x:row>
    <x:row r="742" ht="34" customHeight="1">
      <x:c r="A742" s="12" t="str">
        <x:v>DP3-B-R3</x:v>
      </x:c>
      <x:c r="B742" s="12" t="str">
        <x:v>U06</x:v>
      </x:c>
      <x:c r="C742" s="12" t="str">
        <x:v>response_audio</x:v>
      </x:c>
      <x:c r="D742" s="12" t="str">
        <x:v>request</x:v>
      </x:c>
      <x:c r="E742" s="12" t="str">
        <x:v>audio_output</x:v>
      </x:c>
      <x:c r="F742" s="15" t="n">
        <x:v>6</x:v>
      </x:c>
      <x:c r="G742" s="17" t="n">
        <x:v>0.002</x:v>
      </x:c>
      <x:c r="H742" s="15" t="n">
        <x:f>F742*G742</x:f>
        <x:v>0.012</x:v>
      </x:c>
    </x:row>
    <x:row r="743" ht="34" customHeight="1">
      <x:c r="A743" s="7" t="str">
        <x:v>DP3-B-R3</x:v>
      </x:c>
      <x:c r="B743" s="7" t="str">
        <x:v>U06</x:v>
      </x:c>
      <x:c r="C743" s="7" t="str">
        <x:v>intent_audio</x:v>
      </x:c>
      <x:c r="D743" s="7" t="str">
        <x:v>request</x:v>
      </x:c>
      <x:c r="E743" s="7" t="str">
        <x:v>text_input</x:v>
      </x:c>
      <x:c r="F743" s="16" t="n">
        <x:v>24</x:v>
      </x:c>
      <x:c r="G743" s="18" t="n">
        <x:v>0.000001</x:v>
      </x:c>
      <x:c r="H743" s="16" t="n">
        <x:f>F743*G743</x:f>
        <x:v>0.000024</x:v>
      </x:c>
    </x:row>
    <x:row r="744" ht="34" customHeight="1">
      <x:c r="A744" s="12" t="str">
        <x:v>DP3-B-R3</x:v>
      </x:c>
      <x:c r="B744" s="12" t="str">
        <x:v>U06</x:v>
      </x:c>
      <x:c r="C744" s="12" t="str">
        <x:v>intent_audio</x:v>
      </x:c>
      <x:c r="D744" s="12" t="str">
        <x:v>request</x:v>
      </x:c>
      <x:c r="E744" s="12" t="str">
        <x:v>audio_output</x:v>
      </x:c>
      <x:c r="F744" s="15" t="n">
        <x:v>3</x:v>
      </x:c>
      <x:c r="G744" s="17" t="n">
        <x:v>0.002</x:v>
      </x:c>
      <x:c r="H744" s="15" t="n">
        <x:f>F744*G744</x:f>
        <x:v>0.006</x:v>
      </x:c>
    </x:row>
    <x:row r="745" ht="34" customHeight="1">
      <x:c r="A745" s="7" t="str">
        <x:v>DP3-B-R3</x:v>
      </x:c>
      <x:c r="B745" s="7" t="str">
        <x:v>U07</x:v>
      </x:c>
      <x:c r="C745" s="7" t="str">
        <x:v>bg1</x:v>
      </x:c>
      <x:c r="D745" s="7" t="str">
        <x:v>background</x:v>
      </x:c>
      <x:c r="E745" s="7" t="str">
        <x:v>text_input</x:v>
      </x:c>
      <x:c r="F745" s="16" t="n">
        <x:v>1200</x:v>
      </x:c>
      <x:c r="G745" s="18" t="n">
        <x:v>0.000001</x:v>
      </x:c>
      <x:c r="H745" s="16" t="n">
        <x:f>F745*G745</x:f>
        <x:v>0.0012</x:v>
      </x:c>
    </x:row>
    <x:row r="746" ht="34" customHeight="1">
      <x:c r="A746" s="12" t="str">
        <x:v>DP3-B-R3</x:v>
      </x:c>
      <x:c r="B746" s="12" t="str">
        <x:v>U07</x:v>
      </x:c>
      <x:c r="C746" s="12" t="str">
        <x:v>bg1</x:v>
      </x:c>
      <x:c r="D746" s="12" t="str">
        <x:v>background</x:v>
      </x:c>
      <x:c r="E746" s="12" t="str">
        <x:v>text_output</x:v>
      </x:c>
      <x:c r="F746" s="15" t="n">
        <x:v>240</x:v>
      </x:c>
      <x:c r="G746" s="17" t="n">
        <x:v>0.000004</x:v>
      </x:c>
      <x:c r="H746" s="15" t="n">
        <x:f>F746*G746</x:f>
        <x:v>0.0009599999999999999</x:v>
      </x:c>
    </x:row>
    <x:row r="747" ht="34" customHeight="1">
      <x:c r="A747" s="7" t="str">
        <x:v>DP3-B-R3</x:v>
      </x:c>
      <x:c r="B747" s="7" t="str">
        <x:v>U07</x:v>
      </x:c>
      <x:c r="C747" s="7" t="str">
        <x:v>bg2</x:v>
      </x:c>
      <x:c r="D747" s="7" t="str">
        <x:v>background</x:v>
      </x:c>
      <x:c r="E747" s="7" t="str">
        <x:v>text_input</x:v>
      </x:c>
      <x:c r="F747" s="16" t="n">
        <x:v>1200</x:v>
      </x:c>
      <x:c r="G747" s="18" t="n">
        <x:v>0.000001</x:v>
      </x:c>
      <x:c r="H747" s="16" t="n">
        <x:f>F747*G747</x:f>
        <x:v>0.0012</x:v>
      </x:c>
    </x:row>
    <x:row r="748" ht="34" customHeight="1">
      <x:c r="A748" s="12" t="str">
        <x:v>DP3-B-R3</x:v>
      </x:c>
      <x:c r="B748" s="12" t="str">
        <x:v>U07</x:v>
      </x:c>
      <x:c r="C748" s="12" t="str">
        <x:v>bg2</x:v>
      </x:c>
      <x:c r="D748" s="12" t="str">
        <x:v>background</x:v>
      </x:c>
      <x:c r="E748" s="12" t="str">
        <x:v>text_output</x:v>
      </x:c>
      <x:c r="F748" s="15" t="n">
        <x:v>240</x:v>
      </x:c>
      <x:c r="G748" s="17" t="n">
        <x:v>0.000004</x:v>
      </x:c>
      <x:c r="H748" s="15" t="n">
        <x:f>F748*G748</x:f>
        <x:v>0.0009599999999999999</x:v>
      </x:c>
    </x:row>
    <x:row r="749" ht="34" customHeight="1">
      <x:c r="A749" s="7" t="str">
        <x:v>DP3-B-R3</x:v>
      </x:c>
      <x:c r="B749" s="7" t="str">
        <x:v>U07</x:v>
      </x:c>
      <x:c r="C749" s="7" t="str">
        <x:v>meaning</x:v>
      </x:c>
      <x:c r="D749" s="7" t="str">
        <x:v>request</x:v>
      </x:c>
      <x:c r="E749" s="7" t="str">
        <x:v>text_input</x:v>
      </x:c>
      <x:c r="F749" s="16" t="n">
        <x:v>600</x:v>
      </x:c>
      <x:c r="G749" s="18" t="n">
        <x:v>0.000001</x:v>
      </x:c>
      <x:c r="H749" s="16" t="n">
        <x:f>F749*G749</x:f>
        <x:v>0.0006</x:v>
      </x:c>
    </x:row>
    <x:row r="750" ht="34" customHeight="1">
      <x:c r="A750" s="12" t="str">
        <x:v>DP3-B-R3</x:v>
      </x:c>
      <x:c r="B750" s="12" t="str">
        <x:v>U07</x:v>
      </x:c>
      <x:c r="C750" s="12" t="str">
        <x:v>meaning</x:v>
      </x:c>
      <x:c r="D750" s="12" t="str">
        <x:v>request</x:v>
      </x:c>
      <x:c r="E750" s="12" t="str">
        <x:v>text_output</x:v>
      </x:c>
      <x:c r="F750" s="15" t="n">
        <x:v>64</x:v>
      </x:c>
      <x:c r="G750" s="17" t="n">
        <x:v>0.000004</x:v>
      </x:c>
      <x:c r="H750" s="15" t="n">
        <x:f>F750*G750</x:f>
        <x:v>0.000256</x:v>
      </x:c>
    </x:row>
    <x:row r="751" ht="34" customHeight="1">
      <x:c r="A751" s="7" t="str">
        <x:v>DP3-B-R3</x:v>
      </x:c>
      <x:c r="B751" s="7" t="str">
        <x:v>U07</x:v>
      </x:c>
      <x:c r="C751" s="7" t="str">
        <x:v>long_work</x:v>
      </x:c>
      <x:c r="D751" s="7" t="str">
        <x:v>request</x:v>
      </x:c>
      <x:c r="E751" s="7" t="str">
        <x:v>text_input</x:v>
      </x:c>
      <x:c r="F751" s="16" t="n">
        <x:v>1200</x:v>
      </x:c>
      <x:c r="G751" s="18" t="n">
        <x:v>0.000001</x:v>
      </x:c>
      <x:c r="H751" s="16" t="n">
        <x:f>F751*G751</x:f>
        <x:v>0.0012</x:v>
      </x:c>
    </x:row>
    <x:row r="752" ht="34" customHeight="1">
      <x:c r="A752" s="12" t="str">
        <x:v>DP3-B-R3</x:v>
      </x:c>
      <x:c r="B752" s="12" t="str">
        <x:v>U07</x:v>
      </x:c>
      <x:c r="C752" s="12" t="str">
        <x:v>long_work</x:v>
      </x:c>
      <x:c r="D752" s="12" t="str">
        <x:v>request</x:v>
      </x:c>
      <x:c r="E752" s="12" t="str">
        <x:v>text_output</x:v>
      </x:c>
      <x:c r="F752" s="15" t="n">
        <x:v>96</x:v>
      </x:c>
      <x:c r="G752" s="17" t="n">
        <x:v>0.000004</x:v>
      </x:c>
      <x:c r="H752" s="15" t="n">
        <x:f>F752*G752</x:f>
        <x:v>0.000384</x:v>
      </x:c>
    </x:row>
    <x:row r="753" ht="34" customHeight="1">
      <x:c r="A753" s="7" t="str">
        <x:v>DP3-B-R3</x:v>
      </x:c>
      <x:c r="B753" s="7" t="str">
        <x:v>U07</x:v>
      </x:c>
      <x:c r="C753" s="7" t="str">
        <x:v>response_audio</x:v>
      </x:c>
      <x:c r="D753" s="7" t="str">
        <x:v>request</x:v>
      </x:c>
      <x:c r="E753" s="7" t="str">
        <x:v>text_input</x:v>
      </x:c>
      <x:c r="F753" s="16" t="n">
        <x:v>48</x:v>
      </x:c>
      <x:c r="G753" s="18" t="n">
        <x:v>0.000001</x:v>
      </x:c>
      <x:c r="H753" s="16" t="n">
        <x:f>F753*G753</x:f>
        <x:v>0.000048</x:v>
      </x:c>
    </x:row>
    <x:row r="754" ht="34" customHeight="1">
      <x:c r="A754" s="12" t="str">
        <x:v>DP3-B-R3</x:v>
      </x:c>
      <x:c r="B754" s="12" t="str">
        <x:v>U07</x:v>
      </x:c>
      <x:c r="C754" s="12" t="str">
        <x:v>response_audio</x:v>
      </x:c>
      <x:c r="D754" s="12" t="str">
        <x:v>request</x:v>
      </x:c>
      <x:c r="E754" s="12" t="str">
        <x:v>audio_output</x:v>
      </x:c>
      <x:c r="F754" s="15" t="n">
        <x:v>6</x:v>
      </x:c>
      <x:c r="G754" s="17" t="n">
        <x:v>0.002</x:v>
      </x:c>
      <x:c r="H754" s="15" t="n">
        <x:f>F754*G754</x:f>
        <x:v>0.012</x:v>
      </x:c>
    </x:row>
    <x:row r="755" ht="34" customHeight="1">
      <x:c r="A755" s="7" t="str">
        <x:v>DP3-B-R3</x:v>
      </x:c>
      <x:c r="B755" s="7" t="str">
        <x:v>U07</x:v>
      </x:c>
      <x:c r="C755" s="7" t="str">
        <x:v>intent_audio</x:v>
      </x:c>
      <x:c r="D755" s="7" t="str">
        <x:v>request</x:v>
      </x:c>
      <x:c r="E755" s="7" t="str">
        <x:v>text_input</x:v>
      </x:c>
      <x:c r="F755" s="16" t="n">
        <x:v>24</x:v>
      </x:c>
      <x:c r="G755" s="18" t="n">
        <x:v>0.000001</x:v>
      </x:c>
      <x:c r="H755" s="16" t="n">
        <x:f>F755*G755</x:f>
        <x:v>0.000024</x:v>
      </x:c>
    </x:row>
    <x:row r="756" ht="34" customHeight="1">
      <x:c r="A756" s="12" t="str">
        <x:v>DP3-B-R3</x:v>
      </x:c>
      <x:c r="B756" s="12" t="str">
        <x:v>U07</x:v>
      </x:c>
      <x:c r="C756" s="12" t="str">
        <x:v>intent_audio</x:v>
      </x:c>
      <x:c r="D756" s="12" t="str">
        <x:v>request</x:v>
      </x:c>
      <x:c r="E756" s="12" t="str">
        <x:v>audio_output</x:v>
      </x:c>
      <x:c r="F756" s="15" t="n">
        <x:v>3</x:v>
      </x:c>
      <x:c r="G756" s="17" t="n">
        <x:v>0.002</x:v>
      </x:c>
      <x:c r="H756" s="15" t="n">
        <x:f>F756*G756</x:f>
        <x:v>0.006</x:v>
      </x:c>
    </x:row>
    <x:row r="757" ht="34" customHeight="1">
      <x:c r="A757" s="7" t="str">
        <x:v>DP3-B-R3</x:v>
      </x:c>
      <x:c r="B757" s="7" t="str">
        <x:v>U07</x:v>
      </x:c>
      <x:c r="C757" s="7" t="str">
        <x:v>input_end</x:v>
      </x:c>
      <x:c r="D757" s="7" t="str">
        <x:v>input</x:v>
      </x:c>
      <x:c r="E757" s="7" t="str">
        <x:v>audio_input</x:v>
      </x:c>
      <x:c r="F757" s="16" t="n">
        <x:v>3</x:v>
      </x:c>
      <x:c r="G757" s="18" t="n">
        <x:v>0.001</x:v>
      </x:c>
      <x:c r="H757" s="16" t="n">
        <x:f>F757*G757</x:f>
        <x:v>0.003</x:v>
      </x:c>
    </x:row>
    <x:row r="758" ht="34" customHeight="1">
      <x:c r="A758" s="12" t="str">
        <x:v>DP3-B-R3</x:v>
      </x:c>
      <x:c r="B758" s="12" t="str">
        <x:v>U08</x:v>
      </x:c>
      <x:c r="C758" s="12" t="str">
        <x:v>bg1</x:v>
      </x:c>
      <x:c r="D758" s="12" t="str">
        <x:v>background</x:v>
      </x:c>
      <x:c r="E758" s="12" t="str">
        <x:v>text_input</x:v>
      </x:c>
      <x:c r="F758" s="15" t="n">
        <x:v>1200</x:v>
      </x:c>
      <x:c r="G758" s="17" t="n">
        <x:v>0.000001</x:v>
      </x:c>
      <x:c r="H758" s="15" t="n">
        <x:f>F758*G758</x:f>
        <x:v>0.0012</x:v>
      </x:c>
    </x:row>
    <x:row r="759" ht="34" customHeight="1">
      <x:c r="A759" s="7" t="str">
        <x:v>DP3-B-R3</x:v>
      </x:c>
      <x:c r="B759" s="7" t="str">
        <x:v>U08</x:v>
      </x:c>
      <x:c r="C759" s="7" t="str">
        <x:v>bg1</x:v>
      </x:c>
      <x:c r="D759" s="7" t="str">
        <x:v>background</x:v>
      </x:c>
      <x:c r="E759" s="7" t="str">
        <x:v>text_output</x:v>
      </x:c>
      <x:c r="F759" s="16" t="n">
        <x:v>240</x:v>
      </x:c>
      <x:c r="G759" s="18" t="n">
        <x:v>0.000004</x:v>
      </x:c>
      <x:c r="H759" s="16" t="n">
        <x:f>F759*G759</x:f>
        <x:v>0.0009599999999999999</x:v>
      </x:c>
    </x:row>
    <x:row r="760" ht="34" customHeight="1">
      <x:c r="A760" s="12" t="str">
        <x:v>DP3-B-R3</x:v>
      </x:c>
      <x:c r="B760" s="12" t="str">
        <x:v>U08</x:v>
      </x:c>
      <x:c r="C760" s="12" t="str">
        <x:v>meaning</x:v>
      </x:c>
      <x:c r="D760" s="12" t="str">
        <x:v>request</x:v>
      </x:c>
      <x:c r="E760" s="12" t="str">
        <x:v>text_input</x:v>
      </x:c>
      <x:c r="F760" s="15" t="n">
        <x:v>600</x:v>
      </x:c>
      <x:c r="G760" s="17" t="n">
        <x:v>0.000001</x:v>
      </x:c>
      <x:c r="H760" s="15" t="n">
        <x:f>F760*G760</x:f>
        <x:v>0.0006</x:v>
      </x:c>
    </x:row>
    <x:row r="761" ht="34" customHeight="1">
      <x:c r="A761" s="7" t="str">
        <x:v>DP3-B-R3</x:v>
      </x:c>
      <x:c r="B761" s="7" t="str">
        <x:v>U08</x:v>
      </x:c>
      <x:c r="C761" s="7" t="str">
        <x:v>meaning</x:v>
      </x:c>
      <x:c r="D761" s="7" t="str">
        <x:v>request</x:v>
      </x:c>
      <x:c r="E761" s="7" t="str">
        <x:v>text_output</x:v>
      </x:c>
      <x:c r="F761" s="16" t="n">
        <x:v>64</x:v>
      </x:c>
      <x:c r="G761" s="18" t="n">
        <x:v>0.000004</x:v>
      </x:c>
      <x:c r="H761" s="16" t="n">
        <x:f>F761*G761</x:f>
        <x:v>0.000256</x:v>
      </x:c>
    </x:row>
    <x:row r="762" ht="34" customHeight="1">
      <x:c r="A762" s="12" t="str">
        <x:v>DP3-B-R3</x:v>
      </x:c>
      <x:c r="B762" s="12" t="str">
        <x:v>U08</x:v>
      </x:c>
      <x:c r="C762" s="12" t="str">
        <x:v>long_work</x:v>
      </x:c>
      <x:c r="D762" s="12" t="str">
        <x:v>request</x:v>
      </x:c>
      <x:c r="E762" s="12" t="str">
        <x:v>text_input</x:v>
      </x:c>
      <x:c r="F762" s="15" t="n">
        <x:v>1200</x:v>
      </x:c>
      <x:c r="G762" s="17" t="n">
        <x:v>0.000001</x:v>
      </x:c>
      <x:c r="H762" s="15" t="n">
        <x:f>F762*G762</x:f>
        <x:v>0.0012</x:v>
      </x:c>
    </x:row>
    <x:row r="763" ht="34" customHeight="1">
      <x:c r="A763" s="7" t="str">
        <x:v>DP3-B-R3</x:v>
      </x:c>
      <x:c r="B763" s="7" t="str">
        <x:v>U08</x:v>
      </x:c>
      <x:c r="C763" s="7" t="str">
        <x:v>long_work</x:v>
      </x:c>
      <x:c r="D763" s="7" t="str">
        <x:v>request</x:v>
      </x:c>
      <x:c r="E763" s="7" t="str">
        <x:v>text_output</x:v>
      </x:c>
      <x:c r="F763" s="16" t="n">
        <x:v>96</x:v>
      </x:c>
      <x:c r="G763" s="18" t="n">
        <x:v>0.000004</x:v>
      </x:c>
      <x:c r="H763" s="16" t="n">
        <x:f>F763*G763</x:f>
        <x:v>0.000384</x:v>
      </x:c>
    </x:row>
    <x:row r="764" ht="34" customHeight="1">
      <x:c r="A764" s="12" t="str">
        <x:v>DP3-B-R3</x:v>
      </x:c>
      <x:c r="B764" s="12" t="str">
        <x:v>U08</x:v>
      </x:c>
      <x:c r="C764" s="12" t="str">
        <x:v>response_audio</x:v>
      </x:c>
      <x:c r="D764" s="12" t="str">
        <x:v>request</x:v>
      </x:c>
      <x:c r="E764" s="12" t="str">
        <x:v>text_input</x:v>
      </x:c>
      <x:c r="F764" s="15" t="n">
        <x:v>48</x:v>
      </x:c>
      <x:c r="G764" s="17" t="n">
        <x:v>0.000001</x:v>
      </x:c>
      <x:c r="H764" s="15" t="n">
        <x:f>F764*G764</x:f>
        <x:v>0.000048</x:v>
      </x:c>
    </x:row>
    <x:row r="765" ht="34" customHeight="1">
      <x:c r="A765" s="7" t="str">
        <x:v>DP3-B-R3</x:v>
      </x:c>
      <x:c r="B765" s="7" t="str">
        <x:v>U08</x:v>
      </x:c>
      <x:c r="C765" s="7" t="str">
        <x:v>response_audio</x:v>
      </x:c>
      <x:c r="D765" s="7" t="str">
        <x:v>request</x:v>
      </x:c>
      <x:c r="E765" s="7" t="str">
        <x:v>audio_output</x:v>
      </x:c>
      <x:c r="F765" s="16" t="n">
        <x:v>6</x:v>
      </x:c>
      <x:c r="G765" s="18" t="n">
        <x:v>0.002</x:v>
      </x:c>
      <x:c r="H765" s="16" t="n">
        <x:f>F765*G765</x:f>
        <x:v>0.012</x:v>
      </x:c>
    </x:row>
    <x:row r="766" ht="34" customHeight="1">
      <x:c r="A766" s="12" t="str">
        <x:v>DP3-B-R3</x:v>
      </x:c>
      <x:c r="B766" s="12" t="str">
        <x:v>U08</x:v>
      </x:c>
      <x:c r="C766" s="12" t="str">
        <x:v>intent_audio</x:v>
      </x:c>
      <x:c r="D766" s="12" t="str">
        <x:v>request</x:v>
      </x:c>
      <x:c r="E766" s="12" t="str">
        <x:v>text_input</x:v>
      </x:c>
      <x:c r="F766" s="15" t="n">
        <x:v>24</x:v>
      </x:c>
      <x:c r="G766" s="17" t="n">
        <x:v>0.000001</x:v>
      </x:c>
      <x:c r="H766" s="15" t="n">
        <x:f>F766*G766</x:f>
        <x:v>0.000024</x:v>
      </x:c>
    </x:row>
    <x:row r="767" ht="34" customHeight="1">
      <x:c r="A767" s="7" t="str">
        <x:v>DP3-B-R3</x:v>
      </x:c>
      <x:c r="B767" s="7" t="str">
        <x:v>U08</x:v>
      </x:c>
      <x:c r="C767" s="7" t="str">
        <x:v>intent_audio</x:v>
      </x:c>
      <x:c r="D767" s="7" t="str">
        <x:v>request</x:v>
      </x:c>
      <x:c r="E767" s="7" t="str">
        <x:v>audio_output</x:v>
      </x:c>
      <x:c r="F767" s="16" t="n">
        <x:v>3</x:v>
      </x:c>
      <x:c r="G767" s="18" t="n">
        <x:v>0.002</x:v>
      </x:c>
      <x:c r="H767" s="16" t="n">
        <x:f>F767*G767</x:f>
        <x:v>0.006</x:v>
      </x:c>
    </x:row>
    <x:row r="768" ht="34" customHeight="1">
      <x:c r="A768" s="12" t="str">
        <x:v>DP3-B-R3</x:v>
      </x:c>
      <x:c r="B768" s="12" t="str">
        <x:v>U09</x:v>
      </x:c>
      <x:c r="C768" s="12" t="str">
        <x:v>meaning</x:v>
      </x:c>
      <x:c r="D768" s="12" t="str">
        <x:v>request</x:v>
      </x:c>
      <x:c r="E768" s="12" t="str">
        <x:v>text_input</x:v>
      </x:c>
      <x:c r="F768" s="15" t="n">
        <x:v>600</x:v>
      </x:c>
      <x:c r="G768" s="17" t="n">
        <x:v>0.000001</x:v>
      </x:c>
      <x:c r="H768" s="15" t="n">
        <x:f>F768*G768</x:f>
        <x:v>0.0006</x:v>
      </x:c>
    </x:row>
    <x:row r="769" ht="34" customHeight="1">
      <x:c r="A769" s="7" t="str">
        <x:v>DP3-B-R3</x:v>
      </x:c>
      <x:c r="B769" s="7" t="str">
        <x:v>U09</x:v>
      </x:c>
      <x:c r="C769" s="7" t="str">
        <x:v>meaning</x:v>
      </x:c>
      <x:c r="D769" s="7" t="str">
        <x:v>request</x:v>
      </x:c>
      <x:c r="E769" s="7" t="str">
        <x:v>text_output</x:v>
      </x:c>
      <x:c r="F769" s="16" t="n">
        <x:v>64</x:v>
      </x:c>
      <x:c r="G769" s="18" t="n">
        <x:v>0.000004</x:v>
      </x:c>
      <x:c r="H769" s="16" t="n">
        <x:f>F769*G769</x:f>
        <x:v>0.000256</x:v>
      </x:c>
    </x:row>
    <x:row r="770" ht="34" customHeight="1">
      <x:c r="A770" s="12" t="str">
        <x:v>DP3-B-R3</x:v>
      </x:c>
      <x:c r="B770" s="12" t="str">
        <x:v>U09</x:v>
      </x:c>
      <x:c r="C770" s="12" t="str">
        <x:v>response_audio</x:v>
      </x:c>
      <x:c r="D770" s="12" t="str">
        <x:v>request</x:v>
      </x:c>
      <x:c r="E770" s="12" t="str">
        <x:v>text_input</x:v>
      </x:c>
      <x:c r="F770" s="15" t="n">
        <x:v>48</x:v>
      </x:c>
      <x:c r="G770" s="17" t="n">
        <x:v>0.000001</x:v>
      </x:c>
      <x:c r="H770" s="15" t="n">
        <x:f>F770*G770</x:f>
        <x:v>0.000048</x:v>
      </x:c>
    </x:row>
    <x:row r="771" ht="34" customHeight="1">
      <x:c r="A771" s="7" t="str">
        <x:v>DP3-B-R3</x:v>
      </x:c>
      <x:c r="B771" s="7" t="str">
        <x:v>U09</x:v>
      </x:c>
      <x:c r="C771" s="7" t="str">
        <x:v>response_audio</x:v>
      </x:c>
      <x:c r="D771" s="7" t="str">
        <x:v>request</x:v>
      </x:c>
      <x:c r="E771" s="7" t="str">
        <x:v>audio_output</x:v>
      </x:c>
      <x:c r="F771" s="16" t="n">
        <x:v>6</x:v>
      </x:c>
      <x:c r="G771" s="18" t="n">
        <x:v>0.002</x:v>
      </x:c>
      <x:c r="H771" s="16" t="n">
        <x:f>F771*G771</x:f>
        <x:v>0.012</x:v>
      </x:c>
    </x:row>
    <x:row r="772" ht="34" customHeight="1">
      <x:c r="A772" s="12" t="str">
        <x:v>DP3-B-R3</x:v>
      </x:c>
      <x:c r="B772" s="12" t="str">
        <x:v>U09</x:v>
      </x:c>
      <x:c r="C772" s="12" t="str">
        <x:v>intent_audio</x:v>
      </x:c>
      <x:c r="D772" s="12" t="str">
        <x:v>request</x:v>
      </x:c>
      <x:c r="E772" s="12" t="str">
        <x:v>text_input</x:v>
      </x:c>
      <x:c r="F772" s="15" t="n">
        <x:v>24</x:v>
      </x:c>
      <x:c r="G772" s="17" t="n">
        <x:v>0.000001</x:v>
      </x:c>
      <x:c r="H772" s="15" t="n">
        <x:f>F772*G772</x:f>
        <x:v>0.000024</x:v>
      </x:c>
    </x:row>
    <x:row r="773" ht="34" customHeight="1">
      <x:c r="A773" s="7" t="str">
        <x:v>DP3-B-R3</x:v>
      </x:c>
      <x:c r="B773" s="7" t="str">
        <x:v>U09</x:v>
      </x:c>
      <x:c r="C773" s="7" t="str">
        <x:v>intent_audio</x:v>
      </x:c>
      <x:c r="D773" s="7" t="str">
        <x:v>request</x:v>
      </x:c>
      <x:c r="E773" s="7" t="str">
        <x:v>audio_output</x:v>
      </x:c>
      <x:c r="F773" s="16" t="n">
        <x:v>3</x:v>
      </x:c>
      <x:c r="G773" s="18" t="n">
        <x:v>0.002</x:v>
      </x:c>
      <x:c r="H773" s="16" t="n">
        <x:f>F773*G773</x:f>
        <x:v>0.006</x:v>
      </x:c>
    </x:row>
    <x:row r="774" ht="34" customHeight="1">
      <x:c r="A774" s="12" t="str">
        <x:v>DP3-B-R3</x:v>
      </x:c>
      <x:c r="B774" s="12" t="str">
        <x:v>U09</x:v>
      </x:c>
      <x:c r="C774" s="12" t="str">
        <x:v>input_end</x:v>
      </x:c>
      <x:c r="D774" s="12" t="str">
        <x:v>input</x:v>
      </x:c>
      <x:c r="E774" s="12" t="str">
        <x:v>audio_input</x:v>
      </x:c>
      <x:c r="F774" s="15" t="n">
        <x:v>3</x:v>
      </x:c>
      <x:c r="G774" s="17" t="n">
        <x:v>0.001</x:v>
      </x:c>
      <x:c r="H774" s="15" t="n">
        <x:f>F774*G774</x:f>
        <x:v>0.003</x:v>
      </x:c>
    </x:row>
    <x:row r="775" ht="34" customHeight="1">
      <x:c r="A775" s="7" t="str">
        <x:v>DP3-B-R3</x:v>
      </x:c>
      <x:c r="B775" s="7" t="str">
        <x:v>U10</x:v>
      </x:c>
      <x:c r="C775" s="7" t="str">
        <x:v>meaning</x:v>
      </x:c>
      <x:c r="D775" s="7" t="str">
        <x:v>request</x:v>
      </x:c>
      <x:c r="E775" s="7" t="str">
        <x:v>text_input</x:v>
      </x:c>
      <x:c r="F775" s="16" t="n">
        <x:v>1120</x:v>
      </x:c>
      <x:c r="G775" s="18" t="n">
        <x:v>0.000001</x:v>
      </x:c>
      <x:c r="H775" s="16" t="n">
        <x:f>F775*G775</x:f>
        <x:v>0.00112</x:v>
      </x:c>
    </x:row>
    <x:row r="776" ht="34" customHeight="1">
      <x:c r="A776" s="12" t="str">
        <x:v>DP3-B-R3</x:v>
      </x:c>
      <x:c r="B776" s="12" t="str">
        <x:v>U10</x:v>
      </x:c>
      <x:c r="C776" s="12" t="str">
        <x:v>meaning</x:v>
      </x:c>
      <x:c r="D776" s="12" t="str">
        <x:v>request</x:v>
      </x:c>
      <x:c r="E776" s="12" t="str">
        <x:v>text_output</x:v>
      </x:c>
      <x:c r="F776" s="15" t="n">
        <x:v>64</x:v>
      </x:c>
      <x:c r="G776" s="17" t="n">
        <x:v>0.000004</x:v>
      </x:c>
      <x:c r="H776" s="15" t="n">
        <x:f>F776*G776</x:f>
        <x:v>0.000256</x:v>
      </x:c>
    </x:row>
    <x:row r="777" ht="34" customHeight="1">
      <x:c r="A777" s="7" t="str">
        <x:v>DP3-B-R3</x:v>
      </x:c>
      <x:c r="B777" s="7" t="str">
        <x:v>U10</x:v>
      </x:c>
      <x:c r="C777" s="7" t="str">
        <x:v>response_audio</x:v>
      </x:c>
      <x:c r="D777" s="7" t="str">
        <x:v>request</x:v>
      </x:c>
      <x:c r="E777" s="7" t="str">
        <x:v>text_input</x:v>
      </x:c>
      <x:c r="F777" s="16" t="n">
        <x:v>48</x:v>
      </x:c>
      <x:c r="G777" s="18" t="n">
        <x:v>0.000001</x:v>
      </x:c>
      <x:c r="H777" s="16" t="n">
        <x:f>F777*G777</x:f>
        <x:v>0.000048</x:v>
      </x:c>
    </x:row>
    <x:row r="778" ht="34" customHeight="1">
      <x:c r="A778" s="12" t="str">
        <x:v>DP3-B-R3</x:v>
      </x:c>
      <x:c r="B778" s="12" t="str">
        <x:v>U10</x:v>
      </x:c>
      <x:c r="C778" s="12" t="str">
        <x:v>response_audio</x:v>
      </x:c>
      <x:c r="D778" s="12" t="str">
        <x:v>request</x:v>
      </x:c>
      <x:c r="E778" s="12" t="str">
        <x:v>audio_output</x:v>
      </x:c>
      <x:c r="F778" s="15" t="n">
        <x:v>6</x:v>
      </x:c>
      <x:c r="G778" s="17" t="n">
        <x:v>0.002</x:v>
      </x:c>
      <x:c r="H778" s="15" t="n">
        <x:f>F778*G778</x:f>
        <x:v>0.012</x:v>
      </x:c>
    </x:row>
    <x:row r="779" ht="34" customHeight="1">
      <x:c r="A779" s="7" t="str">
        <x:v>DP3-B-R3</x:v>
      </x:c>
      <x:c r="B779" s="7" t="str">
        <x:v>U10</x:v>
      </x:c>
      <x:c r="C779" s="7" t="str">
        <x:v>intent_audio</x:v>
      </x:c>
      <x:c r="D779" s="7" t="str">
        <x:v>request</x:v>
      </x:c>
      <x:c r="E779" s="7" t="str">
        <x:v>text_input</x:v>
      </x:c>
      <x:c r="F779" s="16" t="n">
        <x:v>24</x:v>
      </x:c>
      <x:c r="G779" s="18" t="n">
        <x:v>0.000001</x:v>
      </x:c>
      <x:c r="H779" s="16" t="n">
        <x:f>F779*G779</x:f>
        <x:v>0.000024</x:v>
      </x:c>
    </x:row>
    <x:row r="780" ht="34" customHeight="1">
      <x:c r="A780" s="12" t="str">
        <x:v>DP3-B-R3</x:v>
      </x:c>
      <x:c r="B780" s="12" t="str">
        <x:v>U10</x:v>
      </x:c>
      <x:c r="C780" s="12" t="str">
        <x:v>intent_audio</x:v>
      </x:c>
      <x:c r="D780" s="12" t="str">
        <x:v>request</x:v>
      </x:c>
      <x:c r="E780" s="12" t="str">
        <x:v>audio_output</x:v>
      </x:c>
      <x:c r="F780" s="15" t="n">
        <x:v>3</x:v>
      </x:c>
      <x:c r="G780" s="17" t="n">
        <x:v>0.002</x:v>
      </x:c>
      <x:c r="H780" s="15" t="n">
        <x:f>F780*G780</x:f>
        <x:v>0.006</x:v>
      </x:c>
    </x:row>
    <x:row r="781" ht="34" customHeight="1">
      <x:c r="A781" s="7" t="str">
        <x:v>DP3-B-R3</x:v>
      </x:c>
      <x:c r="B781" s="7" t="str">
        <x:v>U10</x:v>
      </x:c>
      <x:c r="C781" s="7" t="str">
        <x:v>input_end</x:v>
      </x:c>
      <x:c r="D781" s="7" t="str">
        <x:v>input</x:v>
      </x:c>
      <x:c r="E781" s="7" t="str">
        <x:v>audio_input</x:v>
      </x:c>
      <x:c r="F781" s="16" t="n">
        <x:v>3</x:v>
      </x:c>
      <x:c r="G781" s="18" t="n">
        <x:v>0.001</x:v>
      </x:c>
      <x:c r="H781" s="16" t="n">
        <x:f>F781*G781</x:f>
        <x:v>0.003</x:v>
      </x:c>
    </x:row>
    <x:row r="782" ht="34" customHeight="1">
      <x:c r="A782" s="12" t="str">
        <x:v>DP3-B-R3</x:v>
      </x:c>
      <x:c r="B782" s="12" t="str">
        <x:v>U11</x:v>
      </x:c>
      <x:c r="C782" s="12" t="str">
        <x:v>expand_need</x:v>
      </x:c>
      <x:c r="D782" s="12" t="str">
        <x:v>request</x:v>
      </x:c>
      <x:c r="E782" s="12" t="str">
        <x:v>text_input</x:v>
      </x:c>
      <x:c r="F782" s="15" t="n">
        <x:v>1640</x:v>
      </x:c>
      <x:c r="G782" s="17" t="n">
        <x:v>0.000001</x:v>
      </x:c>
      <x:c r="H782" s="15" t="n">
        <x:f>F782*G782</x:f>
        <x:v>0.00164</x:v>
      </x:c>
    </x:row>
    <x:row r="783" ht="34" customHeight="1">
      <x:c r="A783" s="7" t="str">
        <x:v>DP3-B-R3</x:v>
      </x:c>
      <x:c r="B783" s="7" t="str">
        <x:v>U11</x:v>
      </x:c>
      <x:c r="C783" s="7" t="str">
        <x:v>expand_need</x:v>
      </x:c>
      <x:c r="D783" s="7" t="str">
        <x:v>request</x:v>
      </x:c>
      <x:c r="E783" s="7" t="str">
        <x:v>text_output</x:v>
      </x:c>
      <x:c r="F783" s="16" t="n">
        <x:v>32</x:v>
      </x:c>
      <x:c r="G783" s="18" t="n">
        <x:v>0.000004</x:v>
      </x:c>
      <x:c r="H783" s="16" t="n">
        <x:f>F783*G783</x:f>
        <x:v>0.000128</x:v>
      </x:c>
    </x:row>
    <x:row r="784" ht="34" customHeight="1">
      <x:c r="A784" s="12" t="str">
        <x:v>DP3-B-R3</x:v>
      </x:c>
      <x:c r="B784" s="12" t="str">
        <x:v>U11</x:v>
      </x:c>
      <x:c r="C784" s="12" t="str">
        <x:v>meaning</x:v>
      </x:c>
      <x:c r="D784" s="12" t="str">
        <x:v>request</x:v>
      </x:c>
      <x:c r="E784" s="12" t="str">
        <x:v>text_input</x:v>
      </x:c>
      <x:c r="F784" s="15" t="n">
        <x:v>2540</x:v>
      </x:c>
      <x:c r="G784" s="17" t="n">
        <x:v>0.000001</x:v>
      </x:c>
      <x:c r="H784" s="15" t="n">
        <x:f>F784*G784</x:f>
        <x:v>0.0025399999999999997</x:v>
      </x:c>
    </x:row>
    <x:row r="785" ht="34" customHeight="1">
      <x:c r="A785" s="7" t="str">
        <x:v>DP3-B-R3</x:v>
      </x:c>
      <x:c r="B785" s="7" t="str">
        <x:v>U11</x:v>
      </x:c>
      <x:c r="C785" s="7" t="str">
        <x:v>meaning</x:v>
      </x:c>
      <x:c r="D785" s="7" t="str">
        <x:v>request</x:v>
      </x:c>
      <x:c r="E785" s="7" t="str">
        <x:v>text_output</x:v>
      </x:c>
      <x:c r="F785" s="16" t="n">
        <x:v>64</x:v>
      </x:c>
      <x:c r="G785" s="18" t="n">
        <x:v>0.000004</x:v>
      </x:c>
      <x:c r="H785" s="16" t="n">
        <x:f>F785*G785</x:f>
        <x:v>0.000256</x:v>
      </x:c>
    </x:row>
    <x:row r="786" ht="34" customHeight="1">
      <x:c r="A786" s="12" t="str">
        <x:v>DP3-B-R3</x:v>
      </x:c>
      <x:c r="B786" s="12" t="str">
        <x:v>U11</x:v>
      </x:c>
      <x:c r="C786" s="12" t="str">
        <x:v>response_audio</x:v>
      </x:c>
      <x:c r="D786" s="12" t="str">
        <x:v>request</x:v>
      </x:c>
      <x:c r="E786" s="12" t="str">
        <x:v>text_input</x:v>
      </x:c>
      <x:c r="F786" s="15" t="n">
        <x:v>48</x:v>
      </x:c>
      <x:c r="G786" s="17" t="n">
        <x:v>0.000001</x:v>
      </x:c>
      <x:c r="H786" s="15" t="n">
        <x:f>F786*G786</x:f>
        <x:v>0.000048</x:v>
      </x:c>
    </x:row>
    <x:row r="787" ht="34" customHeight="1">
      <x:c r="A787" s="7" t="str">
        <x:v>DP3-B-R3</x:v>
      </x:c>
      <x:c r="B787" s="7" t="str">
        <x:v>U11</x:v>
      </x:c>
      <x:c r="C787" s="7" t="str">
        <x:v>response_audio</x:v>
      </x:c>
      <x:c r="D787" s="7" t="str">
        <x:v>request</x:v>
      </x:c>
      <x:c r="E787" s="7" t="str">
        <x:v>audio_output</x:v>
      </x:c>
      <x:c r="F787" s="16" t="n">
        <x:v>6</x:v>
      </x:c>
      <x:c r="G787" s="18" t="n">
        <x:v>0.002</x:v>
      </x:c>
      <x:c r="H787" s="16" t="n">
        <x:f>F787*G787</x:f>
        <x:v>0.012</x:v>
      </x:c>
    </x:row>
    <x:row r="788" ht="34" customHeight="1">
      <x:c r="A788" s="12" t="str">
        <x:v>DP3-B-R3</x:v>
      </x:c>
      <x:c r="B788" s="12" t="str">
        <x:v>U11</x:v>
      </x:c>
      <x:c r="C788" s="12" t="str">
        <x:v>intent_audio</x:v>
      </x:c>
      <x:c r="D788" s="12" t="str">
        <x:v>request</x:v>
      </x:c>
      <x:c r="E788" s="12" t="str">
        <x:v>text_input</x:v>
      </x:c>
      <x:c r="F788" s="15" t="n">
        <x:v>24</x:v>
      </x:c>
      <x:c r="G788" s="17" t="n">
        <x:v>0.000001</x:v>
      </x:c>
      <x:c r="H788" s="15" t="n">
        <x:f>F788*G788</x:f>
        <x:v>0.000024</x:v>
      </x:c>
    </x:row>
    <x:row r="789" ht="34" customHeight="1">
      <x:c r="A789" s="7" t="str">
        <x:v>DP3-B-R3</x:v>
      </x:c>
      <x:c r="B789" s="7" t="str">
        <x:v>U11</x:v>
      </x:c>
      <x:c r="C789" s="7" t="str">
        <x:v>intent_audio</x:v>
      </x:c>
      <x:c r="D789" s="7" t="str">
        <x:v>request</x:v>
      </x:c>
      <x:c r="E789" s="7" t="str">
        <x:v>audio_output</x:v>
      </x:c>
      <x:c r="F789" s="16" t="n">
        <x:v>3</x:v>
      </x:c>
      <x:c r="G789" s="18" t="n">
        <x:v>0.002</x:v>
      </x:c>
      <x:c r="H789" s="16" t="n">
        <x:f>F789*G789</x:f>
        <x:v>0.006</x:v>
      </x:c>
    </x:row>
    <x:row r="790" ht="34" customHeight="1">
      <x:c r="A790" s="12" t="str">
        <x:v>DP3-B-R3</x:v>
      </x:c>
      <x:c r="B790" s="12" t="str">
        <x:v>U11</x:v>
      </x:c>
      <x:c r="C790" s="12" t="str">
        <x:v>input_end</x:v>
      </x:c>
      <x:c r="D790" s="12" t="str">
        <x:v>input</x:v>
      </x:c>
      <x:c r="E790" s="12" t="str">
        <x:v>audio_input</x:v>
      </x:c>
      <x:c r="F790" s="15" t="n">
        <x:v>3</x:v>
      </x:c>
      <x:c r="G790" s="17" t="n">
        <x:v>0.001</x:v>
      </x:c>
      <x:c r="H790" s="15" t="n">
        <x:f>F790*G790</x:f>
        <x:v>0.003</x:v>
      </x:c>
    </x:row>
    <x:row r="791" ht="34" customHeight="1">
      <x:c r="A791" s="7" t="str">
        <x:v>DP3-B-R3</x:v>
      </x:c>
      <x:c r="B791" s="7" t="str">
        <x:v>U12</x:v>
      </x:c>
      <x:c r="C791" s="7" t="str">
        <x:v>pre_adopt</x:v>
      </x:c>
      <x:c r="D791" s="7" t="str">
        <x:v>preparation</x:v>
      </x:c>
      <x:c r="E791" s="7" t="str">
        <x:v>text_input</x:v>
      </x:c>
      <x:c r="F791" s="16" t="n">
        <x:v>1120</x:v>
      </x:c>
      <x:c r="G791" s="18" t="n">
        <x:v>0.000001</x:v>
      </x:c>
      <x:c r="H791" s="16" t="n">
        <x:f>F791*G791</x:f>
        <x:v>0.00112</x:v>
      </x:c>
    </x:row>
    <x:row r="792" ht="34" customHeight="1">
      <x:c r="A792" s="12" t="str">
        <x:v>DP3-B-R3</x:v>
      </x:c>
      <x:c r="B792" s="12" t="str">
        <x:v>U12</x:v>
      </x:c>
      <x:c r="C792" s="12" t="str">
        <x:v>pre_adopt</x:v>
      </x:c>
      <x:c r="D792" s="12" t="str">
        <x:v>preparation</x:v>
      </x:c>
      <x:c r="E792" s="12" t="str">
        <x:v>text_output</x:v>
      </x:c>
      <x:c r="F792" s="15" t="n">
        <x:v>64</x:v>
      </x:c>
      <x:c r="G792" s="17" t="n">
        <x:v>0.000004</x:v>
      </x:c>
      <x:c r="H792" s="15" t="n">
        <x:f>F792*G792</x:f>
        <x:v>0.000256</x:v>
      </x:c>
    </x:row>
    <x:row r="793" ht="34" customHeight="1">
      <x:c r="A793" s="7" t="str">
        <x:v>DP3-B-R3</x:v>
      </x:c>
      <x:c r="B793" s="7" t="str">
        <x:v>U12</x:v>
      </x:c>
      <x:c r="C793" s="7" t="str">
        <x:v>meaning</x:v>
      </x:c>
      <x:c r="D793" s="7" t="str">
        <x:v>request</x:v>
      </x:c>
      <x:c r="E793" s="7" t="str">
        <x:v>text_input</x:v>
      </x:c>
      <x:c r="F793" s="16" t="n">
        <x:v>600</x:v>
      </x:c>
      <x:c r="G793" s="18" t="n">
        <x:v>0.000001</x:v>
      </x:c>
      <x:c r="H793" s="16" t="n">
        <x:f>F793*G793</x:f>
        <x:v>0.0006</x:v>
      </x:c>
    </x:row>
    <x:row r="794" ht="34" customHeight="1">
      <x:c r="A794" s="12" t="str">
        <x:v>DP3-B-R3</x:v>
      </x:c>
      <x:c r="B794" s="12" t="str">
        <x:v>U12</x:v>
      </x:c>
      <x:c r="C794" s="12" t="str">
        <x:v>meaning</x:v>
      </x:c>
      <x:c r="D794" s="12" t="str">
        <x:v>request</x:v>
      </x:c>
      <x:c r="E794" s="12" t="str">
        <x:v>text_output</x:v>
      </x:c>
      <x:c r="F794" s="15" t="n">
        <x:v>64</x:v>
      </x:c>
      <x:c r="G794" s="17" t="n">
        <x:v>0.000004</x:v>
      </x:c>
      <x:c r="H794" s="15" t="n">
        <x:f>F794*G794</x:f>
        <x:v>0.000256</x:v>
      </x:c>
    </x:row>
    <x:row r="795" ht="34" customHeight="1">
      <x:c r="A795" s="7" t="str">
        <x:v>DP3-B-R3</x:v>
      </x:c>
      <x:c r="B795" s="7" t="str">
        <x:v>U12</x:v>
      </x:c>
      <x:c r="C795" s="7" t="str">
        <x:v>response_audio</x:v>
      </x:c>
      <x:c r="D795" s="7" t="str">
        <x:v>request</x:v>
      </x:c>
      <x:c r="E795" s="7" t="str">
        <x:v>text_input</x:v>
      </x:c>
      <x:c r="F795" s="16" t="n">
        <x:v>48</x:v>
      </x:c>
      <x:c r="G795" s="18" t="n">
        <x:v>0.000001</x:v>
      </x:c>
      <x:c r="H795" s="16" t="n">
        <x:f>F795*G795</x:f>
        <x:v>0.000048</x:v>
      </x:c>
    </x:row>
    <x:row r="796" ht="34" customHeight="1">
      <x:c r="A796" s="12" t="str">
        <x:v>DP3-B-R3</x:v>
      </x:c>
      <x:c r="B796" s="12" t="str">
        <x:v>U12</x:v>
      </x:c>
      <x:c r="C796" s="12" t="str">
        <x:v>response_audio</x:v>
      </x:c>
      <x:c r="D796" s="12" t="str">
        <x:v>request</x:v>
      </x:c>
      <x:c r="E796" s="12" t="str">
        <x:v>audio_output</x:v>
      </x:c>
      <x:c r="F796" s="15" t="n">
        <x:v>6</x:v>
      </x:c>
      <x:c r="G796" s="17" t="n">
        <x:v>0.002</x:v>
      </x:c>
      <x:c r="H796" s="15" t="n">
        <x:f>F796*G796</x:f>
        <x:v>0.012</x:v>
      </x:c>
    </x:row>
    <x:row r="797" ht="34" customHeight="1">
      <x:c r="A797" s="7" t="str">
        <x:v>DP3-B-R3</x:v>
      </x:c>
      <x:c r="B797" s="7" t="str">
        <x:v>U12</x:v>
      </x:c>
      <x:c r="C797" s="7" t="str">
        <x:v>intent_audio</x:v>
      </x:c>
      <x:c r="D797" s="7" t="str">
        <x:v>request</x:v>
      </x:c>
      <x:c r="E797" s="7" t="str">
        <x:v>text_input</x:v>
      </x:c>
      <x:c r="F797" s="16" t="n">
        <x:v>24</x:v>
      </x:c>
      <x:c r="G797" s="18" t="n">
        <x:v>0.000001</x:v>
      </x:c>
      <x:c r="H797" s="16" t="n">
        <x:f>F797*G797</x:f>
        <x:v>0.000024</x:v>
      </x:c>
    </x:row>
    <x:row r="798" ht="34" customHeight="1">
      <x:c r="A798" s="12" t="str">
        <x:v>DP3-B-R3</x:v>
      </x:c>
      <x:c r="B798" s="12" t="str">
        <x:v>U12</x:v>
      </x:c>
      <x:c r="C798" s="12" t="str">
        <x:v>intent_audio</x:v>
      </x:c>
      <x:c r="D798" s="12" t="str">
        <x:v>request</x:v>
      </x:c>
      <x:c r="E798" s="12" t="str">
        <x:v>audio_output</x:v>
      </x:c>
      <x:c r="F798" s="15" t="n">
        <x:v>3</x:v>
      </x:c>
      <x:c r="G798" s="17" t="n">
        <x:v>0.002</x:v>
      </x:c>
      <x:c r="H798" s="15" t="n">
        <x:f>F798*G798</x:f>
        <x:v>0.006</x:v>
      </x:c>
    </x:row>
    <x:row r="799" ht="34" customHeight="1">
      <x:c r="A799" s="7" t="str">
        <x:v>DP3-B-R3</x:v>
      </x:c>
      <x:c r="B799" s="7" t="str">
        <x:v>U12</x:v>
      </x:c>
      <x:c r="C799" s="7" t="str">
        <x:v>input_end</x:v>
      </x:c>
      <x:c r="D799" s="7" t="str">
        <x:v>input</x:v>
      </x:c>
      <x:c r="E799" s="7" t="str">
        <x:v>audio_input</x:v>
      </x:c>
      <x:c r="F799" s="16" t="n">
        <x:v>3</x:v>
      </x:c>
      <x:c r="G799" s="18" t="n">
        <x:v>0.001</x:v>
      </x:c>
      <x:c r="H799" s="16" t="n">
        <x:f>F799*G799</x:f>
        <x:v>0.003</x:v>
      </x:c>
    </x:row>
    <x:row r="800" ht="34" customHeight="1">
      <x:c r="A800" s="12" t="str">
        <x:v>DP3-B-R3</x:v>
      </x:c>
      <x:c r="B800" s="12" t="str">
        <x:v>U13</x:v>
      </x:c>
      <x:c r="C800" s="12" t="str">
        <x:v>meaning</x:v>
      </x:c>
      <x:c r="D800" s="12" t="str">
        <x:v>request</x:v>
      </x:c>
      <x:c r="E800" s="12" t="str">
        <x:v>text_input</x:v>
      </x:c>
      <x:c r="F800" s="15" t="n">
        <x:v>600</x:v>
      </x:c>
      <x:c r="G800" s="17" t="n">
        <x:v>0.000001</x:v>
      </x:c>
      <x:c r="H800" s="15" t="n">
        <x:f>F800*G800</x:f>
        <x:v>0.0006</x:v>
      </x:c>
    </x:row>
    <x:row r="801" ht="34" customHeight="1">
      <x:c r="A801" s="7" t="str">
        <x:v>DP3-B-R3</x:v>
      </x:c>
      <x:c r="B801" s="7" t="str">
        <x:v>U13</x:v>
      </x:c>
      <x:c r="C801" s="7" t="str">
        <x:v>meaning</x:v>
      </x:c>
      <x:c r="D801" s="7" t="str">
        <x:v>request</x:v>
      </x:c>
      <x:c r="E801" s="7" t="str">
        <x:v>text_output</x:v>
      </x:c>
      <x:c r="F801" s="16" t="n">
        <x:v>64</x:v>
      </x:c>
      <x:c r="G801" s="18" t="n">
        <x:v>0.000004</x:v>
      </x:c>
      <x:c r="H801" s="16" t="n">
        <x:f>F801*G801</x:f>
        <x:v>0.000256</x:v>
      </x:c>
    </x:row>
    <x:row r="802" ht="34" customHeight="1">
      <x:c r="A802" s="12" t="str">
        <x:v>DP3-B-R3</x:v>
      </x:c>
      <x:c r="B802" s="12" t="str">
        <x:v>U13</x:v>
      </x:c>
      <x:c r="C802" s="12" t="str">
        <x:v>response_audio</x:v>
      </x:c>
      <x:c r="D802" s="12" t="str">
        <x:v>request</x:v>
      </x:c>
      <x:c r="E802" s="12" t="str">
        <x:v>text_input</x:v>
      </x:c>
      <x:c r="F802" s="15" t="n">
        <x:v>48</x:v>
      </x:c>
      <x:c r="G802" s="17" t="n">
        <x:v>0.000001</x:v>
      </x:c>
      <x:c r="H802" s="15" t="n">
        <x:f>F802*G802</x:f>
        <x:v>0.000048</x:v>
      </x:c>
    </x:row>
    <x:row r="803" ht="34" customHeight="1">
      <x:c r="A803" s="7" t="str">
        <x:v>DP3-B-R3</x:v>
      </x:c>
      <x:c r="B803" s="7" t="str">
        <x:v>U13</x:v>
      </x:c>
      <x:c r="C803" s="7" t="str">
        <x:v>response_audio</x:v>
      </x:c>
      <x:c r="D803" s="7" t="str">
        <x:v>request</x:v>
      </x:c>
      <x:c r="E803" s="7" t="str">
        <x:v>audio_output</x:v>
      </x:c>
      <x:c r="F803" s="16" t="n">
        <x:v>6</x:v>
      </x:c>
      <x:c r="G803" s="18" t="n">
        <x:v>0.002</x:v>
      </x:c>
      <x:c r="H803" s="16" t="n">
        <x:f>F803*G803</x:f>
        <x:v>0.012</x:v>
      </x:c>
    </x:row>
    <x:row r="804" ht="34" customHeight="1">
      <x:c r="A804" s="12" t="str">
        <x:v>DP3-B-R3</x:v>
      </x:c>
      <x:c r="B804" s="12" t="str">
        <x:v>U13</x:v>
      </x:c>
      <x:c r="C804" s="12" t="str">
        <x:v>intent_audio</x:v>
      </x:c>
      <x:c r="D804" s="12" t="str">
        <x:v>request</x:v>
      </x:c>
      <x:c r="E804" s="12" t="str">
        <x:v>text_input</x:v>
      </x:c>
      <x:c r="F804" s="15" t="n">
        <x:v>24</x:v>
      </x:c>
      <x:c r="G804" s="17" t="n">
        <x:v>0.000001</x:v>
      </x:c>
      <x:c r="H804" s="15" t="n">
        <x:f>F804*G804</x:f>
        <x:v>0.000024</x:v>
      </x:c>
    </x:row>
    <x:row r="805" ht="34" customHeight="1">
      <x:c r="A805" s="7" t="str">
        <x:v>DP3-B-R3</x:v>
      </x:c>
      <x:c r="B805" s="7" t="str">
        <x:v>U13</x:v>
      </x:c>
      <x:c r="C805" s="7" t="str">
        <x:v>intent_audio</x:v>
      </x:c>
      <x:c r="D805" s="7" t="str">
        <x:v>request</x:v>
      </x:c>
      <x:c r="E805" s="7" t="str">
        <x:v>audio_output</x:v>
      </x:c>
      <x:c r="F805" s="16" t="n">
        <x:v>3</x:v>
      </x:c>
      <x:c r="G805" s="18" t="n">
        <x:v>0.002</x:v>
      </x:c>
      <x:c r="H805" s="16" t="n">
        <x:f>F805*G805</x:f>
        <x:v>0.006</x:v>
      </x:c>
    </x:row>
    <x:row r="806" ht="34" customHeight="1">
      <x:c r="A806" s="12" t="str">
        <x:v>DP3-B-R3</x:v>
      </x:c>
      <x:c r="B806" s="12" t="str">
        <x:v>U14</x:v>
      </x:c>
      <x:c r="C806" s="12" t="str">
        <x:v>meaning</x:v>
      </x:c>
      <x:c r="D806" s="12" t="str">
        <x:v>request</x:v>
      </x:c>
      <x:c r="E806" s="12" t="str">
        <x:v>text_input</x:v>
      </x:c>
      <x:c r="F806" s="15" t="n">
        <x:v>3000</x:v>
      </x:c>
      <x:c r="G806" s="17" t="n">
        <x:v>0.000001</x:v>
      </x:c>
      <x:c r="H806" s="15" t="n">
        <x:f>F806*G806</x:f>
        <x:v>0.003</x:v>
      </x:c>
    </x:row>
    <x:row r="807" ht="34" customHeight="1">
      <x:c r="A807" s="7" t="str">
        <x:v>DP3-B-R3</x:v>
      </x:c>
      <x:c r="B807" s="7" t="str">
        <x:v>U14</x:v>
      </x:c>
      <x:c r="C807" s="7" t="str">
        <x:v>meaning</x:v>
      </x:c>
      <x:c r="D807" s="7" t="str">
        <x:v>request</x:v>
      </x:c>
      <x:c r="E807" s="7" t="str">
        <x:v>text_output</x:v>
      </x:c>
      <x:c r="F807" s="16" t="n">
        <x:v>64</x:v>
      </x:c>
      <x:c r="G807" s="18" t="n">
        <x:v>0.000004</x:v>
      </x:c>
      <x:c r="H807" s="16" t="n">
        <x:f>F807*G807</x:f>
        <x:v>0.000256</x:v>
      </x:c>
    </x:row>
    <x:row r="808" ht="34" customHeight="1">
      <x:c r="A808" s="12" t="str">
        <x:v>DP3-B-R3</x:v>
      </x:c>
      <x:c r="B808" s="12" t="str">
        <x:v>U14</x:v>
      </x:c>
      <x:c r="C808" s="12" t="str">
        <x:v>response_audio</x:v>
      </x:c>
      <x:c r="D808" s="12" t="str">
        <x:v>request</x:v>
      </x:c>
      <x:c r="E808" s="12" t="str">
        <x:v>text_input</x:v>
      </x:c>
      <x:c r="F808" s="15" t="n">
        <x:v>48</x:v>
      </x:c>
      <x:c r="G808" s="17" t="n">
        <x:v>0.000001</x:v>
      </x:c>
      <x:c r="H808" s="15" t="n">
        <x:f>F808*G808</x:f>
        <x:v>0.000048</x:v>
      </x:c>
    </x:row>
    <x:row r="809" ht="34" customHeight="1">
      <x:c r="A809" s="7" t="str">
        <x:v>DP3-B-R3</x:v>
      </x:c>
      <x:c r="B809" s="7" t="str">
        <x:v>U14</x:v>
      </x:c>
      <x:c r="C809" s="7" t="str">
        <x:v>response_audio</x:v>
      </x:c>
      <x:c r="D809" s="7" t="str">
        <x:v>request</x:v>
      </x:c>
      <x:c r="E809" s="7" t="str">
        <x:v>audio_output</x:v>
      </x:c>
      <x:c r="F809" s="16" t="n">
        <x:v>6</x:v>
      </x:c>
      <x:c r="G809" s="18" t="n">
        <x:v>0.002</x:v>
      </x:c>
      <x:c r="H809" s="16" t="n">
        <x:f>F809*G809</x:f>
        <x:v>0.012</x:v>
      </x:c>
    </x:row>
    <x:row r="810" ht="34" customHeight="1">
      <x:c r="A810" s="12" t="str">
        <x:v>DP3-B-R3</x:v>
      </x:c>
      <x:c r="B810" s="12" t="str">
        <x:v>U14</x:v>
      </x:c>
      <x:c r="C810" s="12" t="str">
        <x:v>intent_audio</x:v>
      </x:c>
      <x:c r="D810" s="12" t="str">
        <x:v>request</x:v>
      </x:c>
      <x:c r="E810" s="12" t="str">
        <x:v>text_input</x:v>
      </x:c>
      <x:c r="F810" s="15" t="n">
        <x:v>24</x:v>
      </x:c>
      <x:c r="G810" s="17" t="n">
        <x:v>0.000001</x:v>
      </x:c>
      <x:c r="H810" s="15" t="n">
        <x:f>F810*G810</x:f>
        <x:v>0.000024</x:v>
      </x:c>
    </x:row>
    <x:row r="811" ht="34" customHeight="1">
      <x:c r="A811" s="7" t="str">
        <x:v>DP3-B-R3</x:v>
      </x:c>
      <x:c r="B811" s="7" t="str">
        <x:v>U14</x:v>
      </x:c>
      <x:c r="C811" s="7" t="str">
        <x:v>intent_audio</x:v>
      </x:c>
      <x:c r="D811" s="7" t="str">
        <x:v>request</x:v>
      </x:c>
      <x:c r="E811" s="7" t="str">
        <x:v>audio_output</x:v>
      </x:c>
      <x:c r="F811" s="16" t="n">
        <x:v>3</x:v>
      </x:c>
      <x:c r="G811" s="18" t="n">
        <x:v>0.002</x:v>
      </x:c>
      <x:c r="H811" s="16" t="n">
        <x:f>F811*G811</x:f>
        <x:v>0.006</x:v>
      </x:c>
    </x:row>
    <x:row r="812" ht="34" customHeight="1">
      <x:c r="A812" s="12" t="str">
        <x:v>DP3-B-R3</x:v>
      </x:c>
      <x:c r="B812" s="12" t="str">
        <x:v>U14</x:v>
      </x:c>
      <x:c r="C812" s="12" t="str">
        <x:v>input_end</x:v>
      </x:c>
      <x:c r="D812" s="12" t="str">
        <x:v>input</x:v>
      </x:c>
      <x:c r="E812" s="12" t="str">
        <x:v>audio_input</x:v>
      </x:c>
      <x:c r="F812" s="15" t="n">
        <x:v>3</x:v>
      </x:c>
      <x:c r="G812" s="17" t="n">
        <x:v>0.001</x:v>
      </x:c>
      <x:c r="H812" s="15" t="n">
        <x:f>F812*G812</x:f>
        <x:v>0.003</x:v>
      </x:c>
    </x:row>
    <x:row r="813" ht="34" customHeight="1">
      <x:c r="A813" s="7" t="str">
        <x:v>DP3-B-R3</x:v>
      </x:c>
      <x:c r="B813" s="7" t="str">
        <x:v>U15</x:v>
      </x:c>
      <x:c r="C813" s="7" t="str">
        <x:v>meaning</x:v>
      </x:c>
      <x:c r="D813" s="7" t="str">
        <x:v>request</x:v>
      </x:c>
      <x:c r="E813" s="7" t="str">
        <x:v>text_input</x:v>
      </x:c>
      <x:c r="F813" s="16" t="n">
        <x:v>600</x:v>
      </x:c>
      <x:c r="G813" s="18" t="n">
        <x:v>0.000001</x:v>
      </x:c>
      <x:c r="H813" s="16" t="n">
        <x:f>F813*G813</x:f>
        <x:v>0.0006</x:v>
      </x:c>
    </x:row>
    <x:row r="814" ht="34" customHeight="1">
      <x:c r="A814" s="12" t="str">
        <x:v>DP3-B-R3</x:v>
      </x:c>
      <x:c r="B814" s="12" t="str">
        <x:v>U15</x:v>
      </x:c>
      <x:c r="C814" s="12" t="str">
        <x:v>meaning</x:v>
      </x:c>
      <x:c r="D814" s="12" t="str">
        <x:v>request</x:v>
      </x:c>
      <x:c r="E814" s="12" t="str">
        <x:v>text_output</x:v>
      </x:c>
      <x:c r="F814" s="15" t="n">
        <x:v>64</x:v>
      </x:c>
      <x:c r="G814" s="17" t="n">
        <x:v>0.000004</x:v>
      </x:c>
      <x:c r="H814" s="15" t="n">
        <x:f>F814*G814</x:f>
        <x:v>0.000256</x:v>
      </x:c>
    </x:row>
    <x:row r="815" ht="34" customHeight="1">
      <x:c r="A815" s="7" t="str">
        <x:v>DP3-B-R3</x:v>
      </x:c>
      <x:c r="B815" s="7" t="str">
        <x:v>U15</x:v>
      </x:c>
      <x:c r="C815" s="7" t="str">
        <x:v>response_audio</x:v>
      </x:c>
      <x:c r="D815" s="7" t="str">
        <x:v>request</x:v>
      </x:c>
      <x:c r="E815" s="7" t="str">
        <x:v>text_input</x:v>
      </x:c>
      <x:c r="F815" s="16" t="n">
        <x:v>48</x:v>
      </x:c>
      <x:c r="G815" s="18" t="n">
        <x:v>0.000001</x:v>
      </x:c>
      <x:c r="H815" s="16" t="n">
        <x:f>F815*G815</x:f>
        <x:v>0.000048</x:v>
      </x:c>
    </x:row>
    <x:row r="816" ht="34" customHeight="1">
      <x:c r="A816" s="12" t="str">
        <x:v>DP3-B-R3</x:v>
      </x:c>
      <x:c r="B816" s="12" t="str">
        <x:v>U15</x:v>
      </x:c>
      <x:c r="C816" s="12" t="str">
        <x:v>response_audio</x:v>
      </x:c>
      <x:c r="D816" s="12" t="str">
        <x:v>request</x:v>
      </x:c>
      <x:c r="E816" s="12" t="str">
        <x:v>audio_output</x:v>
      </x:c>
      <x:c r="F816" s="15" t="n">
        <x:v>6</x:v>
      </x:c>
      <x:c r="G816" s="17" t="n">
        <x:v>0.002</x:v>
      </x:c>
      <x:c r="H816" s="15" t="n">
        <x:f>F816*G816</x:f>
        <x:v>0.012</x:v>
      </x:c>
    </x:row>
    <x:row r="817" ht="34" customHeight="1">
      <x:c r="A817" s="7" t="str">
        <x:v>DP3-B-R3</x:v>
      </x:c>
      <x:c r="B817" s="7" t="str">
        <x:v>U15</x:v>
      </x:c>
      <x:c r="C817" s="7" t="str">
        <x:v>intent_audio</x:v>
      </x:c>
      <x:c r="D817" s="7" t="str">
        <x:v>request</x:v>
      </x:c>
      <x:c r="E817" s="7" t="str">
        <x:v>text_input</x:v>
      </x:c>
      <x:c r="F817" s="16" t="n">
        <x:v>24</x:v>
      </x:c>
      <x:c r="G817" s="18" t="n">
        <x:v>0.000001</x:v>
      </x:c>
      <x:c r="H817" s="16" t="n">
        <x:f>F817*G817</x:f>
        <x:v>0.000024</x:v>
      </x:c>
    </x:row>
    <x:row r="818" ht="34" customHeight="1">
      <x:c r="A818" s="12" t="str">
        <x:v>DP3-B-R3</x:v>
      </x:c>
      <x:c r="B818" s="12" t="str">
        <x:v>U15</x:v>
      </x:c>
      <x:c r="C818" s="12" t="str">
        <x:v>intent_audio</x:v>
      </x:c>
      <x:c r="D818" s="12" t="str">
        <x:v>request</x:v>
      </x:c>
      <x:c r="E818" s="12" t="str">
        <x:v>audio_output</x:v>
      </x:c>
      <x:c r="F818" s="15" t="n">
        <x:v>3</x:v>
      </x:c>
      <x:c r="G818" s="17" t="n">
        <x:v>0.002</x:v>
      </x:c>
      <x:c r="H818" s="15" t="n">
        <x:f>F818*G818</x:f>
        <x:v>0.006</x:v>
      </x:c>
    </x:row>
    <x:row r="819" ht="34" customHeight="1">
      <x:c r="A819" s="7" t="str">
        <x:v>DP3-B-R3</x:v>
      </x:c>
      <x:c r="B819" s="7" t="str">
        <x:v>U16</x:v>
      </x:c>
      <x:c r="C819" s="7" t="str">
        <x:v>meaning</x:v>
      </x:c>
      <x:c r="D819" s="7" t="str">
        <x:v>request</x:v>
      </x:c>
      <x:c r="E819" s="7" t="str">
        <x:v>text_input</x:v>
      </x:c>
      <x:c r="F819" s="16" t="n">
        <x:v>3000</x:v>
      </x:c>
      <x:c r="G819" s="18" t="n">
        <x:v>0.000001</x:v>
      </x:c>
      <x:c r="H819" s="16" t="n">
        <x:f>F819*G819</x:f>
        <x:v>0.003</x:v>
      </x:c>
    </x:row>
    <x:row r="820" ht="34" customHeight="1">
      <x:c r="A820" s="12" t="str">
        <x:v>DP3-B-R3</x:v>
      </x:c>
      <x:c r="B820" s="12" t="str">
        <x:v>U16</x:v>
      </x:c>
      <x:c r="C820" s="12" t="str">
        <x:v>meaning</x:v>
      </x:c>
      <x:c r="D820" s="12" t="str">
        <x:v>request</x:v>
      </x:c>
      <x:c r="E820" s="12" t="str">
        <x:v>text_output</x:v>
      </x:c>
      <x:c r="F820" s="15" t="n">
        <x:v>64</x:v>
      </x:c>
      <x:c r="G820" s="17" t="n">
        <x:v>0.000004</x:v>
      </x:c>
      <x:c r="H820" s="15" t="n">
        <x:f>F820*G820</x:f>
        <x:v>0.000256</x:v>
      </x:c>
    </x:row>
    <x:row r="821" ht="34" customHeight="1">
      <x:c r="A821" s="7" t="str">
        <x:v>DP3-B-R3</x:v>
      </x:c>
      <x:c r="B821" s="7" t="str">
        <x:v>U16</x:v>
      </x:c>
      <x:c r="C821" s="7" t="str">
        <x:v>response_audio</x:v>
      </x:c>
      <x:c r="D821" s="7" t="str">
        <x:v>request</x:v>
      </x:c>
      <x:c r="E821" s="7" t="str">
        <x:v>text_input</x:v>
      </x:c>
      <x:c r="F821" s="16" t="n">
        <x:v>48</x:v>
      </x:c>
      <x:c r="G821" s="18" t="n">
        <x:v>0.000001</x:v>
      </x:c>
      <x:c r="H821" s="16" t="n">
        <x:f>F821*G821</x:f>
        <x:v>0.000048</x:v>
      </x:c>
    </x:row>
    <x:row r="822" ht="34" customHeight="1">
      <x:c r="A822" s="12" t="str">
        <x:v>DP3-B-R3</x:v>
      </x:c>
      <x:c r="B822" s="12" t="str">
        <x:v>U16</x:v>
      </x:c>
      <x:c r="C822" s="12" t="str">
        <x:v>response_audio</x:v>
      </x:c>
      <x:c r="D822" s="12" t="str">
        <x:v>request</x:v>
      </x:c>
      <x:c r="E822" s="12" t="str">
        <x:v>audio_output</x:v>
      </x:c>
      <x:c r="F822" s="15" t="n">
        <x:v>6</x:v>
      </x:c>
      <x:c r="G822" s="17" t="n">
        <x:v>0.002</x:v>
      </x:c>
      <x:c r="H822" s="15" t="n">
        <x:f>F822*G822</x:f>
        <x:v>0.012</x:v>
      </x:c>
    </x:row>
    <x:row r="823" ht="34" customHeight="1">
      <x:c r="A823" s="7" t="str">
        <x:v>DP3-B-R3</x:v>
      </x:c>
      <x:c r="B823" s="7" t="str">
        <x:v>U16</x:v>
      </x:c>
      <x:c r="C823" s="7" t="str">
        <x:v>intent_audio</x:v>
      </x:c>
      <x:c r="D823" s="7" t="str">
        <x:v>request</x:v>
      </x:c>
      <x:c r="E823" s="7" t="str">
        <x:v>text_input</x:v>
      </x:c>
      <x:c r="F823" s="16" t="n">
        <x:v>24</x:v>
      </x:c>
      <x:c r="G823" s="18" t="n">
        <x:v>0.000001</x:v>
      </x:c>
      <x:c r="H823" s="16" t="n">
        <x:f>F823*G823</x:f>
        <x:v>0.000024</x:v>
      </x:c>
    </x:row>
    <x:row r="824" ht="34" customHeight="1">
      <x:c r="A824" s="12" t="str">
        <x:v>DP3-B-R3</x:v>
      </x:c>
      <x:c r="B824" s="12" t="str">
        <x:v>U16</x:v>
      </x:c>
      <x:c r="C824" s="12" t="str">
        <x:v>intent_audio</x:v>
      </x:c>
      <x:c r="D824" s="12" t="str">
        <x:v>request</x:v>
      </x:c>
      <x:c r="E824" s="12" t="str">
        <x:v>audio_output</x:v>
      </x:c>
      <x:c r="F824" s="15" t="n">
        <x:v>3</x:v>
      </x:c>
      <x:c r="G824" s="17" t="n">
        <x:v>0.002</x:v>
      </x:c>
      <x:c r="H824" s="15" t="n">
        <x:f>F824*G824</x:f>
        <x:v>0.006</x:v>
      </x:c>
    </x:row>
    <x:row r="825" ht="34" customHeight="1">
      <x:c r="A825" s="7" t="str">
        <x:v>DP3-B-R3</x:v>
      </x:c>
      <x:c r="B825" s="7" t="str">
        <x:v>U16</x:v>
      </x:c>
      <x:c r="C825" s="7" t="str">
        <x:v>input_end</x:v>
      </x:c>
      <x:c r="D825" s="7" t="str">
        <x:v>input</x:v>
      </x:c>
      <x:c r="E825" s="7" t="str">
        <x:v>audio_input</x:v>
      </x:c>
      <x:c r="F825" s="16" t="n">
        <x:v>3</x:v>
      </x:c>
      <x:c r="G825" s="18" t="n">
        <x:v>0.001</x:v>
      </x:c>
      <x:c r="H825" s="16" t="n">
        <x:f>F825*G825</x:f>
        <x:v>0.003</x:v>
      </x:c>
    </x:row>
    <x:row r="826" ht="34" customHeight="1">
      <x:c r="A826" s="12" t="str">
        <x:v>DP3-B-R3</x:v>
      </x:c>
      <x:c r="B826" s="12" t="str">
        <x:v>U17</x:v>
      </x:c>
      <x:c r="C826" s="12" t="str">
        <x:v>meaning</x:v>
      </x:c>
      <x:c r="D826" s="12" t="str">
        <x:v>request</x:v>
      </x:c>
      <x:c r="E826" s="12" t="str">
        <x:v>text_input</x:v>
      </x:c>
      <x:c r="F826" s="15" t="n">
        <x:v>600</x:v>
      </x:c>
      <x:c r="G826" s="17" t="n">
        <x:v>0.000001</x:v>
      </x:c>
      <x:c r="H826" s="15" t="n">
        <x:f>F826*G826</x:f>
        <x:v>0.0006</x:v>
      </x:c>
    </x:row>
    <x:row r="827" ht="34" customHeight="1">
      <x:c r="A827" s="7" t="str">
        <x:v>DP3-B-R3</x:v>
      </x:c>
      <x:c r="B827" s="7" t="str">
        <x:v>U17</x:v>
      </x:c>
      <x:c r="C827" s="7" t="str">
        <x:v>meaning</x:v>
      </x:c>
      <x:c r="D827" s="7" t="str">
        <x:v>request</x:v>
      </x:c>
      <x:c r="E827" s="7" t="str">
        <x:v>text_output</x:v>
      </x:c>
      <x:c r="F827" s="16" t="n">
        <x:v>64</x:v>
      </x:c>
      <x:c r="G827" s="18" t="n">
        <x:v>0.000004</x:v>
      </x:c>
      <x:c r="H827" s="16" t="n">
        <x:f>F827*G827</x:f>
        <x:v>0.000256</x:v>
      </x:c>
    </x:row>
    <x:row r="828" ht="34" customHeight="1">
      <x:c r="A828" s="12" t="str">
        <x:v>DP3-B-R3</x:v>
      </x:c>
      <x:c r="B828" s="12" t="str">
        <x:v>U17</x:v>
      </x:c>
      <x:c r="C828" s="12" t="str">
        <x:v>question_audio</x:v>
      </x:c>
      <x:c r="D828" s="12" t="str">
        <x:v>preparation</x:v>
      </x:c>
      <x:c r="E828" s="12" t="str">
        <x:v>text_input</x:v>
      </x:c>
      <x:c r="F828" s="15" t="n">
        <x:v>64</x:v>
      </x:c>
      <x:c r="G828" s="17" t="n">
        <x:v>0.000001</x:v>
      </x:c>
      <x:c r="H828" s="15" t="n">
        <x:f>F828*G828</x:f>
        <x:v>0.000064</x:v>
      </x:c>
    </x:row>
    <x:row r="829" ht="34" customHeight="1">
      <x:c r="A829" s="7" t="str">
        <x:v>DP3-B-R3</x:v>
      </x:c>
      <x:c r="B829" s="7" t="str">
        <x:v>U17</x:v>
      </x:c>
      <x:c r="C829" s="7" t="str">
        <x:v>question_audio</x:v>
      </x:c>
      <x:c r="D829" s="7" t="str">
        <x:v>preparation</x:v>
      </x:c>
      <x:c r="E829" s="7" t="str">
        <x:v>audio_output</x:v>
      </x:c>
      <x:c r="F829" s="16" t="n">
        <x:v>8</x:v>
      </x:c>
      <x:c r="G829" s="18" t="n">
        <x:v>0.002</x:v>
      </x:c>
      <x:c r="H829" s="16" t="n">
        <x:f>F829*G829</x:f>
        <x:v>0.016</x:v>
      </x:c>
    </x:row>
    <x:row r="830" ht="34" customHeight="1">
      <x:c r="A830" s="12" t="str">
        <x:v>DP3-B-R3</x:v>
      </x:c>
      <x:c r="B830" s="12" t="str">
        <x:v>U17</x:v>
      </x:c>
      <x:c r="C830" s="12" t="str">
        <x:v>input_end</x:v>
      </x:c>
      <x:c r="D830" s="12" t="str">
        <x:v>input</x:v>
      </x:c>
      <x:c r="E830" s="12" t="str">
        <x:v>audio_input</x:v>
      </x:c>
      <x:c r="F830" s="15" t="n">
        <x:v>3</x:v>
      </x:c>
      <x:c r="G830" s="17" t="n">
        <x:v>0.001</x:v>
      </x:c>
      <x:c r="H830" s="15" t="n">
        <x:f>F830*G830</x:f>
        <x:v>0.003</x:v>
      </x:c>
    </x:row>
    <x:row r="831" ht="34" customHeight="1">
      <x:c r="A831" s="7" t="str">
        <x:v>DP3-B-R3</x:v>
      </x:c>
      <x:c r="B831" s="7" t="str">
        <x:v>U18</x:v>
      </x:c>
      <x:c r="C831" s="7" t="str">
        <x:v>meaning</x:v>
      </x:c>
      <x:c r="D831" s="7" t="str">
        <x:v>request</x:v>
      </x:c>
      <x:c r="E831" s="7" t="str">
        <x:v>text_input</x:v>
      </x:c>
      <x:c r="F831" s="16" t="n">
        <x:v>600</x:v>
      </x:c>
      <x:c r="G831" s="18" t="n">
        <x:v>0.000001</x:v>
      </x:c>
      <x:c r="H831" s="16" t="n">
        <x:f>F831*G831</x:f>
        <x:v>0.0006</x:v>
      </x:c>
    </x:row>
    <x:row r="832" ht="34" customHeight="1">
      <x:c r="A832" s="12" t="str">
        <x:v>DP3-B-R3</x:v>
      </x:c>
      <x:c r="B832" s="12" t="str">
        <x:v>U18</x:v>
      </x:c>
      <x:c r="C832" s="12" t="str">
        <x:v>meaning</x:v>
      </x:c>
      <x:c r="D832" s="12" t="str">
        <x:v>request</x:v>
      </x:c>
      <x:c r="E832" s="12" t="str">
        <x:v>text_output</x:v>
      </x:c>
      <x:c r="F832" s="15" t="n">
        <x:v>64</x:v>
      </x:c>
      <x:c r="G832" s="17" t="n">
        <x:v>0.000004</x:v>
      </x:c>
      <x:c r="H832" s="15" t="n">
        <x:f>F832*G832</x:f>
        <x:v>0.000256</x:v>
      </x:c>
    </x:row>
    <x:row r="833" ht="34" customHeight="1">
      <x:c r="A833" s="7" t="str">
        <x:v>DP3-B-R3</x:v>
      </x:c>
      <x:c r="B833" s="7" t="str">
        <x:v>U18</x:v>
      </x:c>
      <x:c r="C833" s="7" t="str">
        <x:v>question_audio</x:v>
      </x:c>
      <x:c r="D833" s="7" t="str">
        <x:v>preparation</x:v>
      </x:c>
      <x:c r="E833" s="7" t="str">
        <x:v>text_input</x:v>
      </x:c>
      <x:c r="F833" s="16" t="n">
        <x:v>64</x:v>
      </x:c>
      <x:c r="G833" s="18" t="n">
        <x:v>0.000001</x:v>
      </x:c>
      <x:c r="H833" s="16" t="n">
        <x:f>F833*G833</x:f>
        <x:v>0.000064</x:v>
      </x:c>
    </x:row>
    <x:row r="834" ht="34" customHeight="1">
      <x:c r="A834" s="12" t="str">
        <x:v>DP3-B-R3</x:v>
      </x:c>
      <x:c r="B834" s="12" t="str">
        <x:v>U18</x:v>
      </x:c>
      <x:c r="C834" s="12" t="str">
        <x:v>question_audio</x:v>
      </x:c>
      <x:c r="D834" s="12" t="str">
        <x:v>preparation</x:v>
      </x:c>
      <x:c r="E834" s="12" t="str">
        <x:v>audio_output</x:v>
      </x:c>
      <x:c r="F834" s="15" t="n">
        <x:v>8</x:v>
      </x:c>
      <x:c r="G834" s="17" t="n">
        <x:v>0.002</x:v>
      </x:c>
      <x:c r="H834" s="15" t="n">
        <x:f>F834*G834</x:f>
        <x:v>0.016</x:v>
      </x:c>
    </x:row>
    <x:row r="835" ht="34" customHeight="1">
      <x:c r="A835" s="7" t="str">
        <x:v>DP3-B-R3</x:v>
      </x:c>
      <x:c r="B835" s="7" t="str">
        <x:v>U18</x:v>
      </x:c>
      <x:c r="C835" s="7" t="str">
        <x:v>obsolete_audio</x:v>
      </x:c>
      <x:c r="D835" s="7" t="str">
        <x:v>preparation</x:v>
      </x:c>
      <x:c r="E835" s="7" t="str">
        <x:v>text_input</x:v>
      </x:c>
      <x:c r="F835" s="16" t="n">
        <x:v>80</x:v>
      </x:c>
      <x:c r="G835" s="18" t="n">
        <x:v>0.000001</x:v>
      </x:c>
      <x:c r="H835" s="16" t="n">
        <x:f>F835*G835</x:f>
        <x:v>0.00007999999999999999</x:v>
      </x:c>
    </x:row>
    <x:row r="836" ht="34" customHeight="1">
      <x:c r="A836" s="12" t="str">
        <x:v>DP3-B-R3</x:v>
      </x:c>
      <x:c r="B836" s="12" t="str">
        <x:v>U18</x:v>
      </x:c>
      <x:c r="C836" s="12" t="str">
        <x:v>obsolete_audio</x:v>
      </x:c>
      <x:c r="D836" s="12" t="str">
        <x:v>preparation</x:v>
      </x:c>
      <x:c r="E836" s="12" t="str">
        <x:v>audio_output</x:v>
      </x:c>
      <x:c r="F836" s="15" t="n">
        <x:v>10</x:v>
      </x:c>
      <x:c r="G836" s="17" t="n">
        <x:v>0.002</x:v>
      </x:c>
      <x:c r="H836" s="15" t="n">
        <x:f>F836*G836</x:f>
        <x:v>0.02</x:v>
      </x:c>
    </x:row>
    <x:row r="837" ht="34" customHeight="1">
      <x:c r="A837" s="7" t="str">
        <x:v>DP3-B-R3</x:v>
      </x:c>
      <x:c r="B837" s="7" t="str">
        <x:v>U18</x:v>
      </x:c>
      <x:c r="C837" s="7" t="str">
        <x:v>input_end</x:v>
      </x:c>
      <x:c r="D837" s="7" t="str">
        <x:v>input</x:v>
      </x:c>
      <x:c r="E837" s="7" t="str">
        <x:v>audio_input</x:v>
      </x:c>
      <x:c r="F837" s="16" t="n">
        <x:v>3</x:v>
      </x:c>
      <x:c r="G837" s="18" t="n">
        <x:v>0.001</x:v>
      </x:c>
      <x:c r="H837" s="16" t="n">
        <x:f>F837*G837</x:f>
        <x:v>0.003</x:v>
      </x:c>
    </x:row>
    <x:row r="838" ht="34" customHeight="1">
      <x:c r="A838" s="12" t="str">
        <x:v>DP3-B-R3</x:v>
      </x:c>
      <x:c r="B838" s="12" t="str">
        <x:v>U19</x:v>
      </x:c>
      <x:c r="C838" s="12" t="str">
        <x:v>meaning</x:v>
      </x:c>
      <x:c r="D838" s="12" t="str">
        <x:v>request</x:v>
      </x:c>
      <x:c r="E838" s="12" t="str">
        <x:v>text_input</x:v>
      </x:c>
      <x:c r="F838" s="15" t="n">
        <x:v>600</x:v>
      </x:c>
      <x:c r="G838" s="17" t="n">
        <x:v>0.000001</x:v>
      </x:c>
      <x:c r="H838" s="15" t="n">
        <x:f>F838*G838</x:f>
        <x:v>0.0006</x:v>
      </x:c>
    </x:row>
    <x:row r="839" ht="34" customHeight="1">
      <x:c r="A839" s="7" t="str">
        <x:v>DP3-B-R3</x:v>
      </x:c>
      <x:c r="B839" s="7" t="str">
        <x:v>U19</x:v>
      </x:c>
      <x:c r="C839" s="7" t="str">
        <x:v>meaning</x:v>
      </x:c>
      <x:c r="D839" s="7" t="str">
        <x:v>request</x:v>
      </x:c>
      <x:c r="E839" s="7" t="str">
        <x:v>text_output</x:v>
      </x:c>
      <x:c r="F839" s="16" t="n">
        <x:v>64</x:v>
      </x:c>
      <x:c r="G839" s="18" t="n">
        <x:v>0.000004</x:v>
      </x:c>
      <x:c r="H839" s="16" t="n">
        <x:f>F839*G839</x:f>
        <x:v>0.000256</x:v>
      </x:c>
    </x:row>
    <x:row r="840" ht="34" customHeight="1">
      <x:c r="A840" s="12" t="str">
        <x:v>DP3-B-R3</x:v>
      </x:c>
      <x:c r="B840" s="12" t="str">
        <x:v>U19</x:v>
      </x:c>
      <x:c r="C840" s="12" t="str">
        <x:v>question_audio</x:v>
      </x:c>
      <x:c r="D840" s="12" t="str">
        <x:v>preparation</x:v>
      </x:c>
      <x:c r="E840" s="12" t="str">
        <x:v>text_input</x:v>
      </x:c>
      <x:c r="F840" s="15" t="n">
        <x:v>48</x:v>
      </x:c>
      <x:c r="G840" s="17" t="n">
        <x:v>0.000001</x:v>
      </x:c>
      <x:c r="H840" s="15" t="n">
        <x:f>F840*G840</x:f>
        <x:v>0.000048</x:v>
      </x:c>
    </x:row>
    <x:row r="841" ht="34" customHeight="1">
      <x:c r="A841" s="7" t="str">
        <x:v>DP3-B-R3</x:v>
      </x:c>
      <x:c r="B841" s="7" t="str">
        <x:v>U19</x:v>
      </x:c>
      <x:c r="C841" s="7" t="str">
        <x:v>question_audio</x:v>
      </x:c>
      <x:c r="D841" s="7" t="str">
        <x:v>preparation</x:v>
      </x:c>
      <x:c r="E841" s="7" t="str">
        <x:v>audio_output</x:v>
      </x:c>
      <x:c r="F841" s="16" t="n">
        <x:v>6</x:v>
      </x:c>
      <x:c r="G841" s="18" t="n">
        <x:v>0.002</x:v>
      </x:c>
      <x:c r="H841" s="16" t="n">
        <x:f>F841*G841</x:f>
        <x:v>0.012</x:v>
      </x:c>
    </x:row>
    <x:row r="842" ht="34" customHeight="1">
      <x:c r="A842" s="12" t="str">
        <x:v>DP3-B-R3</x:v>
      </x:c>
      <x:c r="B842" s="12" t="str">
        <x:v>U19</x:v>
      </x:c>
      <x:c r="C842" s="12" t="str">
        <x:v>old_audio</x:v>
      </x:c>
      <x:c r="D842" s="12" t="str">
        <x:v>preparation</x:v>
      </x:c>
      <x:c r="E842" s="12" t="str">
        <x:v>text_input</x:v>
      </x:c>
      <x:c r="F842" s="15" t="n">
        <x:v>288</x:v>
      </x:c>
      <x:c r="G842" s="17" t="n">
        <x:v>0.000001</x:v>
      </x:c>
      <x:c r="H842" s="15" t="n">
        <x:f>F842*G842</x:f>
        <x:v>0.000288</x:v>
      </x:c>
    </x:row>
    <x:row r="843" ht="34" customHeight="1">
      <x:c r="A843" s="7" t="str">
        <x:v>DP3-B-R3</x:v>
      </x:c>
      <x:c r="B843" s="7" t="str">
        <x:v>U19</x:v>
      </x:c>
      <x:c r="C843" s="7" t="str">
        <x:v>old_audio</x:v>
      </x:c>
      <x:c r="D843" s="7" t="str">
        <x:v>preparation</x:v>
      </x:c>
      <x:c r="E843" s="7" t="str">
        <x:v>audio_output</x:v>
      </x:c>
      <x:c r="F843" s="16" t="n">
        <x:v>36</x:v>
      </x:c>
      <x:c r="G843" s="18" t="n">
        <x:v>0.002</x:v>
      </x:c>
      <x:c r="H843" s="16" t="n">
        <x:f>F843*G843</x:f>
        <x:v>0.07200000000000001</x:v>
      </x:c>
    </x:row>
    <x:row r="844" ht="34" customHeight="1">
      <x:c r="A844" s="12" t="str">
        <x:v>DP3-B-R3</x:v>
      </x:c>
      <x:c r="B844" s="12" t="str">
        <x:v>U19</x:v>
      </x:c>
      <x:c r="C844" s="12" t="str">
        <x:v>input_end</x:v>
      </x:c>
      <x:c r="D844" s="12" t="str">
        <x:v>input</x:v>
      </x:c>
      <x:c r="E844" s="12" t="str">
        <x:v>audio_input</x:v>
      </x:c>
      <x:c r="F844" s="15" t="n">
        <x:v>3</x:v>
      </x:c>
      <x:c r="G844" s="17" t="n">
        <x:v>0.001</x:v>
      </x:c>
      <x:c r="H844" s="15" t="n">
        <x:f>F844*G844</x:f>
        <x:v>0.003</x:v>
      </x:c>
    </x:row>
    <x:row r="845" ht="34" customHeight="1">
      <x:c r="A845" s="7" t="str">
        <x:v>DP3-B-R3</x:v>
      </x:c>
      <x:c r="B845" s="7" t="str">
        <x:v>U20</x:v>
      </x:c>
      <x:c r="C845" s="7" t="str">
        <x:v>meaning</x:v>
      </x:c>
      <x:c r="D845" s="7" t="str">
        <x:v>request</x:v>
      </x:c>
      <x:c r="E845" s="7" t="str">
        <x:v>text_input</x:v>
      </x:c>
      <x:c r="F845" s="16" t="n">
        <x:v>600</x:v>
      </x:c>
      <x:c r="G845" s="18" t="n">
        <x:v>0.000001</x:v>
      </x:c>
      <x:c r="H845" s="16" t="n">
        <x:f>F845*G845</x:f>
        <x:v>0.0006</x:v>
      </x:c>
    </x:row>
    <x:row r="846" ht="34" customHeight="1">
      <x:c r="A846" s="12" t="str">
        <x:v>DP3-B-R3</x:v>
      </x:c>
      <x:c r="B846" s="12" t="str">
        <x:v>U20</x:v>
      </x:c>
      <x:c r="C846" s="12" t="str">
        <x:v>meaning</x:v>
      </x:c>
      <x:c r="D846" s="12" t="str">
        <x:v>request</x:v>
      </x:c>
      <x:c r="E846" s="12" t="str">
        <x:v>text_output</x:v>
      </x:c>
      <x:c r="F846" s="15" t="n">
        <x:v>64</x:v>
      </x:c>
      <x:c r="G846" s="17" t="n">
        <x:v>0.000004</x:v>
      </x:c>
      <x:c r="H846" s="15" t="n">
        <x:f>F846*G846</x:f>
        <x:v>0.000256</x:v>
      </x:c>
    </x:row>
    <x:row r="847" ht="34" customHeight="1">
      <x:c r="A847" s="7" t="str">
        <x:v>DP3-B-R3</x:v>
      </x:c>
      <x:c r="B847" s="7" t="str">
        <x:v>U20</x:v>
      </x:c>
      <x:c r="C847" s="7" t="str">
        <x:v>input_end</x:v>
      </x:c>
      <x:c r="D847" s="7" t="str">
        <x:v>input</x:v>
      </x:c>
      <x:c r="E847" s="7" t="str">
        <x:v>audio_input</x:v>
      </x:c>
      <x:c r="F847" s="16" t="n">
        <x:v>3</x:v>
      </x:c>
      <x:c r="G847" s="18" t="n">
        <x:v>0.001</x:v>
      </x:c>
      <x:c r="H847" s="16" t="n">
        <x:f>F847*G847</x:f>
        <x:v>0.003</x:v>
      </x:c>
    </x:row>
    <x:row r="848" ht="34" customHeight="1">
      <x:c r="A848" s="12" t="str">
        <x:v>DP3-B-R3</x:v>
      </x:c>
      <x:c r="B848" s="12" t="str">
        <x:v>U21</x:v>
      </x:c>
      <x:c r="C848" s="12" t="str">
        <x:v>bg1</x:v>
      </x:c>
      <x:c r="D848" s="12" t="str">
        <x:v>background</x:v>
      </x:c>
      <x:c r="E848" s="12" t="str">
        <x:v>text_input</x:v>
      </x:c>
      <x:c r="F848" s="15" t="n">
        <x:v>1200</x:v>
      </x:c>
      <x:c r="G848" s="17" t="n">
        <x:v>0.000001</x:v>
      </x:c>
      <x:c r="H848" s="15" t="n">
        <x:f>F848*G848</x:f>
        <x:v>0.0012</x:v>
      </x:c>
    </x:row>
    <x:row r="849" ht="34" customHeight="1">
      <x:c r="A849" s="7" t="str">
        <x:v>DP3-B-R3</x:v>
      </x:c>
      <x:c r="B849" s="7" t="str">
        <x:v>U21</x:v>
      </x:c>
      <x:c r="C849" s="7" t="str">
        <x:v>bg1</x:v>
      </x:c>
      <x:c r="D849" s="7" t="str">
        <x:v>background</x:v>
      </x:c>
      <x:c r="E849" s="7" t="str">
        <x:v>text_output</x:v>
      </x:c>
      <x:c r="F849" s="16" t="n">
        <x:v>240</x:v>
      </x:c>
      <x:c r="G849" s="18" t="n">
        <x:v>0.000004</x:v>
      </x:c>
      <x:c r="H849" s="16" t="n">
        <x:f>F849*G849</x:f>
        <x:v>0.0009599999999999999</x:v>
      </x:c>
    </x:row>
    <x:row r="850" ht="34" customHeight="1">
      <x:c r="A850" s="12" t="str">
        <x:v>DP3-B-R3</x:v>
      </x:c>
      <x:c r="B850" s="12" t="str">
        <x:v>U21</x:v>
      </x:c>
      <x:c r="C850" s="12" t="str">
        <x:v>meaning</x:v>
      </x:c>
      <x:c r="D850" s="12" t="str">
        <x:v>request</x:v>
      </x:c>
      <x:c r="E850" s="12" t="str">
        <x:v>text_input</x:v>
      </x:c>
      <x:c r="F850" s="15" t="n">
        <x:v>3520</x:v>
      </x:c>
      <x:c r="G850" s="17" t="n">
        <x:v>0.000001</x:v>
      </x:c>
      <x:c r="H850" s="15" t="n">
        <x:f>F850*G850</x:f>
        <x:v>0.0035199999999999997</x:v>
      </x:c>
    </x:row>
    <x:row r="851" ht="34" customHeight="1">
      <x:c r="A851" s="7" t="str">
        <x:v>DP3-B-R3</x:v>
      </x:c>
      <x:c r="B851" s="7" t="str">
        <x:v>U21</x:v>
      </x:c>
      <x:c r="C851" s="7" t="str">
        <x:v>meaning</x:v>
      </x:c>
      <x:c r="D851" s="7" t="str">
        <x:v>request</x:v>
      </x:c>
      <x:c r="E851" s="7" t="str">
        <x:v>text_output</x:v>
      </x:c>
      <x:c r="F851" s="16" t="n">
        <x:v>64</x:v>
      </x:c>
      <x:c r="G851" s="18" t="n">
        <x:v>0.000004</x:v>
      </x:c>
      <x:c r="H851" s="16" t="n">
        <x:f>F851*G851</x:f>
        <x:v>0.000256</x:v>
      </x:c>
    </x:row>
    <x:row r="852" ht="34" customHeight="1">
      <x:c r="A852" s="12" t="str">
        <x:v>DP3-B-R3</x:v>
      </x:c>
      <x:c r="B852" s="12" t="str">
        <x:v>U21</x:v>
      </x:c>
      <x:c r="C852" s="12" t="str">
        <x:v>response_audio</x:v>
      </x:c>
      <x:c r="D852" s="12" t="str">
        <x:v>request</x:v>
      </x:c>
      <x:c r="E852" s="12" t="str">
        <x:v>text_input</x:v>
      </x:c>
      <x:c r="F852" s="15" t="n">
        <x:v>48</x:v>
      </x:c>
      <x:c r="G852" s="17" t="n">
        <x:v>0.000001</x:v>
      </x:c>
      <x:c r="H852" s="15" t="n">
        <x:f>F852*G852</x:f>
        <x:v>0.000048</x:v>
      </x:c>
    </x:row>
    <x:row r="853" ht="34" customHeight="1">
      <x:c r="A853" s="7" t="str">
        <x:v>DP3-B-R3</x:v>
      </x:c>
      <x:c r="B853" s="7" t="str">
        <x:v>U21</x:v>
      </x:c>
      <x:c r="C853" s="7" t="str">
        <x:v>response_audio</x:v>
      </x:c>
      <x:c r="D853" s="7" t="str">
        <x:v>request</x:v>
      </x:c>
      <x:c r="E853" s="7" t="str">
        <x:v>audio_output</x:v>
      </x:c>
      <x:c r="F853" s="16" t="n">
        <x:v>6</x:v>
      </x:c>
      <x:c r="G853" s="18" t="n">
        <x:v>0.002</x:v>
      </x:c>
      <x:c r="H853" s="16" t="n">
        <x:f>F853*G853</x:f>
        <x:v>0.012</x:v>
      </x:c>
    </x:row>
    <x:row r="854" ht="34" customHeight="1">
      <x:c r="A854" s="12" t="str">
        <x:v>DP3-B-R3</x:v>
      </x:c>
      <x:c r="B854" s="12" t="str">
        <x:v>U21</x:v>
      </x:c>
      <x:c r="C854" s="12" t="str">
        <x:v>intent_audio</x:v>
      </x:c>
      <x:c r="D854" s="12" t="str">
        <x:v>request</x:v>
      </x:c>
      <x:c r="E854" s="12" t="str">
        <x:v>text_input</x:v>
      </x:c>
      <x:c r="F854" s="15" t="n">
        <x:v>24</x:v>
      </x:c>
      <x:c r="G854" s="17" t="n">
        <x:v>0.000001</x:v>
      </x:c>
      <x:c r="H854" s="15" t="n">
        <x:f>F854*G854</x:f>
        <x:v>0.000024</x:v>
      </x:c>
    </x:row>
    <x:row r="855" ht="34" customHeight="1">
      <x:c r="A855" s="7" t="str">
        <x:v>DP3-B-R3</x:v>
      </x:c>
      <x:c r="B855" s="7" t="str">
        <x:v>U21</x:v>
      </x:c>
      <x:c r="C855" s="7" t="str">
        <x:v>intent_audio</x:v>
      </x:c>
      <x:c r="D855" s="7" t="str">
        <x:v>request</x:v>
      </x:c>
      <x:c r="E855" s="7" t="str">
        <x:v>audio_output</x:v>
      </x:c>
      <x:c r="F855" s="16" t="n">
        <x:v>3</x:v>
      </x:c>
      <x:c r="G855" s="18" t="n">
        <x:v>0.002</x:v>
      </x:c>
      <x:c r="H855" s="16" t="n">
        <x:f>F855*G855</x:f>
        <x:v>0.006</x:v>
      </x:c>
    </x:row>
    <x:row r="856" ht="34" customHeight="1">
      <x:c r="A856" s="12" t="str">
        <x:v>DP3-B-R3</x:v>
      </x:c>
      <x:c r="B856" s="12" t="str">
        <x:v>U21</x:v>
      </x:c>
      <x:c r="C856" s="12" t="str">
        <x:v>input_end</x:v>
      </x:c>
      <x:c r="D856" s="12" t="str">
        <x:v>input</x:v>
      </x:c>
      <x:c r="E856" s="12" t="str">
        <x:v>audio_input</x:v>
      </x:c>
      <x:c r="F856" s="15" t="n">
        <x:v>3</x:v>
      </x:c>
      <x:c r="G856" s="17" t="n">
        <x:v>0.001</x:v>
      </x:c>
      <x:c r="H856" s="15" t="n">
        <x:f>F856*G856</x:f>
        <x:v>0.003</x:v>
      </x:c>
    </x:row>
    <x:row r="857" ht="34" customHeight="1">
      <x:c r="A857" s="7" t="str">
        <x:v>DP3-B-R3</x:v>
      </x:c>
      <x:c r="B857" s="7" t="str">
        <x:v>U22</x:v>
      </x:c>
      <x:c r="C857" s="7" t="str">
        <x:v>pre_adopt</x:v>
      </x:c>
      <x:c r="D857" s="7" t="str">
        <x:v>preparation</x:v>
      </x:c>
      <x:c r="E857" s="7" t="str">
        <x:v>text_input</x:v>
      </x:c>
      <x:c r="F857" s="16" t="n">
        <x:v>1120</x:v>
      </x:c>
      <x:c r="G857" s="18" t="n">
        <x:v>0.000001</x:v>
      </x:c>
      <x:c r="H857" s="16" t="n">
        <x:f>F857*G857</x:f>
        <x:v>0.00112</x:v>
      </x:c>
    </x:row>
    <x:row r="858" ht="34" customHeight="1">
      <x:c r="A858" s="12" t="str">
        <x:v>DP3-B-R3</x:v>
      </x:c>
      <x:c r="B858" s="12" t="str">
        <x:v>U22</x:v>
      </x:c>
      <x:c r="C858" s="12" t="str">
        <x:v>pre_adopt</x:v>
      </x:c>
      <x:c r="D858" s="12" t="str">
        <x:v>preparation</x:v>
      </x:c>
      <x:c r="E858" s="12" t="str">
        <x:v>text_output</x:v>
      </x:c>
      <x:c r="F858" s="15" t="n">
        <x:v>64</x:v>
      </x:c>
      <x:c r="G858" s="17" t="n">
        <x:v>0.000004</x:v>
      </x:c>
      <x:c r="H858" s="15" t="n">
        <x:f>F858*G858</x:f>
        <x:v>0.000256</x:v>
      </x:c>
    </x:row>
    <x:row r="859" ht="34" customHeight="1">
      <x:c r="A859" s="7" t="str">
        <x:v>DP3-B-R3</x:v>
      </x:c>
      <x:c r="B859" s="7" t="str">
        <x:v>U22</x:v>
      </x:c>
      <x:c r="C859" s="7" t="str">
        <x:v>meaning</x:v>
      </x:c>
      <x:c r="D859" s="7" t="str">
        <x:v>request</x:v>
      </x:c>
      <x:c r="E859" s="7" t="str">
        <x:v>text_input</x:v>
      </x:c>
      <x:c r="F859" s="16" t="n">
        <x:v>1120</x:v>
      </x:c>
      <x:c r="G859" s="18" t="n">
        <x:v>0.000001</x:v>
      </x:c>
      <x:c r="H859" s="16" t="n">
        <x:f>F859*G859</x:f>
        <x:v>0.00112</x:v>
      </x:c>
    </x:row>
    <x:row r="860" ht="34" customHeight="1">
      <x:c r="A860" s="12" t="str">
        <x:v>DP3-B-R3</x:v>
      </x:c>
      <x:c r="B860" s="12" t="str">
        <x:v>U22</x:v>
      </x:c>
      <x:c r="C860" s="12" t="str">
        <x:v>meaning</x:v>
      </x:c>
      <x:c r="D860" s="12" t="str">
        <x:v>request</x:v>
      </x:c>
      <x:c r="E860" s="12" t="str">
        <x:v>text_output</x:v>
      </x:c>
      <x:c r="F860" s="15" t="n">
        <x:v>64</x:v>
      </x:c>
      <x:c r="G860" s="17" t="n">
        <x:v>0.000004</x:v>
      </x:c>
      <x:c r="H860" s="15" t="n">
        <x:f>F860*G860</x:f>
        <x:v>0.000256</x:v>
      </x:c>
    </x:row>
    <x:row r="861" ht="34" customHeight="1">
      <x:c r="A861" s="7" t="str">
        <x:v>DP3-B-R3</x:v>
      </x:c>
      <x:c r="B861" s="7" t="str">
        <x:v>U22</x:v>
      </x:c>
      <x:c r="C861" s="7" t="str">
        <x:v>question_audio</x:v>
      </x:c>
      <x:c r="D861" s="7" t="str">
        <x:v>preparation</x:v>
      </x:c>
      <x:c r="E861" s="7" t="str">
        <x:v>text_input</x:v>
      </x:c>
      <x:c r="F861" s="16" t="n">
        <x:v>48</x:v>
      </x:c>
      <x:c r="G861" s="18" t="n">
        <x:v>0.000001</x:v>
      </x:c>
      <x:c r="H861" s="16" t="n">
        <x:f>F861*G861</x:f>
        <x:v>0.000048</x:v>
      </x:c>
    </x:row>
    <x:row r="862" ht="34" customHeight="1">
      <x:c r="A862" s="12" t="str">
        <x:v>DP3-B-R3</x:v>
      </x:c>
      <x:c r="B862" s="12" t="str">
        <x:v>U22</x:v>
      </x:c>
      <x:c r="C862" s="12" t="str">
        <x:v>question_audio</x:v>
      </x:c>
      <x:c r="D862" s="12" t="str">
        <x:v>preparation</x:v>
      </x:c>
      <x:c r="E862" s="12" t="str">
        <x:v>audio_output</x:v>
      </x:c>
      <x:c r="F862" s="15" t="n">
        <x:v>6</x:v>
      </x:c>
      <x:c r="G862" s="17" t="n">
        <x:v>0.002</x:v>
      </x:c>
      <x:c r="H862" s="15" t="n">
        <x:f>F862*G862</x:f>
        <x:v>0.012</x:v>
      </x:c>
    </x:row>
    <x:row r="863" ht="34" customHeight="1">
      <x:c r="A863" s="7" t="str">
        <x:v>DP3-B-R3</x:v>
      </x:c>
      <x:c r="B863" s="7" t="str">
        <x:v>U22</x:v>
      </x:c>
      <x:c r="C863" s="7" t="str">
        <x:v>final_result_audio</x:v>
      </x:c>
      <x:c r="D863" s="7" t="str">
        <x:v>request</x:v>
      </x:c>
      <x:c r="E863" s="7" t="str">
        <x:v>text_input</x:v>
      </x:c>
      <x:c r="F863" s="16" t="n">
        <x:v>48</x:v>
      </x:c>
      <x:c r="G863" s="18" t="n">
        <x:v>0.000001</x:v>
      </x:c>
      <x:c r="H863" s="16" t="n">
        <x:f>F863*G863</x:f>
        <x:v>0.000048</x:v>
      </x:c>
    </x:row>
    <x:row r="864" ht="34" customHeight="1">
      <x:c r="A864" s="12" t="str">
        <x:v>DP3-B-R3</x:v>
      </x:c>
      <x:c r="B864" s="12" t="str">
        <x:v>U22</x:v>
      </x:c>
      <x:c r="C864" s="12" t="str">
        <x:v>final_result_audio</x:v>
      </x:c>
      <x:c r="D864" s="12" t="str">
        <x:v>request</x:v>
      </x:c>
      <x:c r="E864" s="12" t="str">
        <x:v>audio_output</x:v>
      </x:c>
      <x:c r="F864" s="15" t="n">
        <x:v>6</x:v>
      </x:c>
      <x:c r="G864" s="17" t="n">
        <x:v>0.002</x:v>
      </x:c>
      <x:c r="H864" s="15" t="n">
        <x:f>F864*G864</x:f>
        <x:v>0.012</x:v>
      </x:c>
    </x:row>
    <x:row r="865" ht="34" customHeight="1">
      <x:c r="A865" s="7" t="str">
        <x:v>DP3-B-R3</x:v>
      </x:c>
      <x:c r="B865" s="7" t="str">
        <x:v>U22</x:v>
      </x:c>
      <x:c r="C865" s="7" t="str">
        <x:v>input_end</x:v>
      </x:c>
      <x:c r="D865" s="7" t="str">
        <x:v>input</x:v>
      </x:c>
      <x:c r="E865" s="7" t="str">
        <x:v>audio_input</x:v>
      </x:c>
      <x:c r="F865" s="16" t="n">
        <x:v>3</x:v>
      </x:c>
      <x:c r="G865" s="18" t="n">
        <x:v>0.001</x:v>
      </x:c>
      <x:c r="H865" s="16" t="n">
        <x:f>F865*G865</x:f>
        <x:v>0.003</x:v>
      </x:c>
    </x:row>
    <x:row r="866" ht="34" customHeight="1">
      <x:c r="A866" s="12" t="str">
        <x:v>DP3-B-R3</x:v>
      </x:c>
      <x:c r="B866" s="12" t="str">
        <x:v>U23</x:v>
      </x:c>
      <x:c r="C866" s="12" t="str">
        <x:v>meaning</x:v>
      </x:c>
      <x:c r="D866" s="12" t="str">
        <x:v>request</x:v>
      </x:c>
      <x:c r="E866" s="12" t="str">
        <x:v>text_input</x:v>
      </x:c>
      <x:c r="F866" s="15" t="n">
        <x:v>3000</x:v>
      </x:c>
      <x:c r="G866" s="17" t="n">
        <x:v>0.000001</x:v>
      </x:c>
      <x:c r="H866" s="15" t="n">
        <x:f>F866*G866</x:f>
        <x:v>0.003</x:v>
      </x:c>
    </x:row>
    <x:row r="867" ht="34" customHeight="1">
      <x:c r="A867" s="7" t="str">
        <x:v>DP3-B-R3</x:v>
      </x:c>
      <x:c r="B867" s="7" t="str">
        <x:v>U23</x:v>
      </x:c>
      <x:c r="C867" s="7" t="str">
        <x:v>meaning</x:v>
      </x:c>
      <x:c r="D867" s="7" t="str">
        <x:v>request</x:v>
      </x:c>
      <x:c r="E867" s="7" t="str">
        <x:v>text_output</x:v>
      </x:c>
      <x:c r="F867" s="16" t="n">
        <x:v>64</x:v>
      </x:c>
      <x:c r="G867" s="18" t="n">
        <x:v>0.000004</x:v>
      </x:c>
      <x:c r="H867" s="16" t="n">
        <x:f>F867*G867</x:f>
        <x:v>0.000256</x:v>
      </x:c>
    </x:row>
    <x:row r="868" ht="34" customHeight="1">
      <x:c r="A868" s="12" t="str">
        <x:v>DP3-B-R3</x:v>
      </x:c>
      <x:c r="B868" s="12" t="str">
        <x:v>U23</x:v>
      </x:c>
      <x:c r="C868" s="12" t="str">
        <x:v>question_audio</x:v>
      </x:c>
      <x:c r="D868" s="12" t="str">
        <x:v>preparation</x:v>
      </x:c>
      <x:c r="E868" s="12" t="str">
        <x:v>text_input</x:v>
      </x:c>
      <x:c r="F868" s="15" t="n">
        <x:v>48</x:v>
      </x:c>
      <x:c r="G868" s="17" t="n">
        <x:v>0.000001</x:v>
      </x:c>
      <x:c r="H868" s="15" t="n">
        <x:f>F868*G868</x:f>
        <x:v>0.000048</x:v>
      </x:c>
    </x:row>
    <x:row r="869" ht="34" customHeight="1">
      <x:c r="A869" s="7" t="str">
        <x:v>DP3-B-R3</x:v>
      </x:c>
      <x:c r="B869" s="7" t="str">
        <x:v>U23</x:v>
      </x:c>
      <x:c r="C869" s="7" t="str">
        <x:v>question_audio</x:v>
      </x:c>
      <x:c r="D869" s="7" t="str">
        <x:v>preparation</x:v>
      </x:c>
      <x:c r="E869" s="7" t="str">
        <x:v>audio_output</x:v>
      </x:c>
      <x:c r="F869" s="16" t="n">
        <x:v>6</x:v>
      </x:c>
      <x:c r="G869" s="18" t="n">
        <x:v>0.002</x:v>
      </x:c>
      <x:c r="H869" s="16" t="n">
        <x:f>F869*G869</x:f>
        <x:v>0.012</x:v>
      </x:c>
    </x:row>
    <x:row r="870" ht="34" customHeight="1">
      <x:c r="A870" s="12" t="str">
        <x:v>DP3-B-R3</x:v>
      </x:c>
      <x:c r="B870" s="12" t="str">
        <x:v>U23</x:v>
      </x:c>
      <x:c r="C870" s="12" t="str">
        <x:v>final_result_audio</x:v>
      </x:c>
      <x:c r="D870" s="12" t="str">
        <x:v>request</x:v>
      </x:c>
      <x:c r="E870" s="12" t="str">
        <x:v>text_input</x:v>
      </x:c>
      <x:c r="F870" s="15" t="n">
        <x:v>48</x:v>
      </x:c>
      <x:c r="G870" s="17" t="n">
        <x:v>0.000001</x:v>
      </x:c>
      <x:c r="H870" s="15" t="n">
        <x:f>F870*G870</x:f>
        <x:v>0.000048</x:v>
      </x:c>
    </x:row>
    <x:row r="871" ht="34" customHeight="1">
      <x:c r="A871" s="7" t="str">
        <x:v>DP3-B-R3</x:v>
      </x:c>
      <x:c r="B871" s="7" t="str">
        <x:v>U23</x:v>
      </x:c>
      <x:c r="C871" s="7" t="str">
        <x:v>final_result_audio</x:v>
      </x:c>
      <x:c r="D871" s="7" t="str">
        <x:v>request</x:v>
      </x:c>
      <x:c r="E871" s="7" t="str">
        <x:v>audio_output</x:v>
      </x:c>
      <x:c r="F871" s="16" t="n">
        <x:v>6</x:v>
      </x:c>
      <x:c r="G871" s="18" t="n">
        <x:v>0.002</x:v>
      </x:c>
      <x:c r="H871" s="16" t="n">
        <x:f>F871*G871</x:f>
        <x:v>0.012</x:v>
      </x:c>
    </x:row>
    <x:row r="872" ht="34" customHeight="1">
      <x:c r="A872" s="12" t="str">
        <x:v>DP3-B-R3</x:v>
      </x:c>
      <x:c r="B872" s="12" t="str">
        <x:v>U24</x:v>
      </x:c>
      <x:c r="C872" s="12" t="str">
        <x:v>bg1</x:v>
      </x:c>
      <x:c r="D872" s="12" t="str">
        <x:v>background</x:v>
      </x:c>
      <x:c r="E872" s="12" t="str">
        <x:v>text_input</x:v>
      </x:c>
      <x:c r="F872" s="15" t="n">
        <x:v>1200</x:v>
      </x:c>
      <x:c r="G872" s="17" t="n">
        <x:v>0.000001</x:v>
      </x:c>
      <x:c r="H872" s="15" t="n">
        <x:f>F872*G872</x:f>
        <x:v>0.0012</x:v>
      </x:c>
    </x:row>
    <x:row r="873" ht="34" customHeight="1">
      <x:c r="A873" s="7" t="str">
        <x:v>DP3-B-R3</x:v>
      </x:c>
      <x:c r="B873" s="7" t="str">
        <x:v>U24</x:v>
      </x:c>
      <x:c r="C873" s="7" t="str">
        <x:v>bg1</x:v>
      </x:c>
      <x:c r="D873" s="7" t="str">
        <x:v>background</x:v>
      </x:c>
      <x:c r="E873" s="7" t="str">
        <x:v>text_output</x:v>
      </x:c>
      <x:c r="F873" s="16" t="n">
        <x:v>240</x:v>
      </x:c>
      <x:c r="G873" s="18" t="n">
        <x:v>0.000004</x:v>
      </x:c>
      <x:c r="H873" s="16" t="n">
        <x:f>F873*G873</x:f>
        <x:v>0.0009599999999999999</x:v>
      </x:c>
    </x:row>
    <x:row r="874" ht="34" customHeight="1">
      <x:c r="A874" s="12" t="str">
        <x:v>DP3-B-R3</x:v>
      </x:c>
      <x:c r="B874" s="12" t="str">
        <x:v>U24</x:v>
      </x:c>
      <x:c r="C874" s="12" t="str">
        <x:v>expand_need</x:v>
      </x:c>
      <x:c r="D874" s="12" t="str">
        <x:v>request</x:v>
      </x:c>
      <x:c r="E874" s="12" t="str">
        <x:v>text_input</x:v>
      </x:c>
      <x:c r="F874" s="15" t="n">
        <x:v>1640</x:v>
      </x:c>
      <x:c r="G874" s="17" t="n">
        <x:v>0.000001</x:v>
      </x:c>
      <x:c r="H874" s="15" t="n">
        <x:f>F874*G874</x:f>
        <x:v>0.00164</x:v>
      </x:c>
    </x:row>
    <x:row r="875" ht="34" customHeight="1">
      <x:c r="A875" s="7" t="str">
        <x:v>DP3-B-R3</x:v>
      </x:c>
      <x:c r="B875" s="7" t="str">
        <x:v>U24</x:v>
      </x:c>
      <x:c r="C875" s="7" t="str">
        <x:v>expand_need</x:v>
      </x:c>
      <x:c r="D875" s="7" t="str">
        <x:v>request</x:v>
      </x:c>
      <x:c r="E875" s="7" t="str">
        <x:v>text_output</x:v>
      </x:c>
      <x:c r="F875" s="16" t="n">
        <x:v>32</x:v>
      </x:c>
      <x:c r="G875" s="18" t="n">
        <x:v>0.000004</x:v>
      </x:c>
      <x:c r="H875" s="16" t="n">
        <x:f>F875*G875</x:f>
        <x:v>0.000128</x:v>
      </x:c>
    </x:row>
    <x:row r="876" ht="34" customHeight="1">
      <x:c r="A876" s="12" t="str">
        <x:v>DP3-B-R3</x:v>
      </x:c>
      <x:c r="B876" s="12" t="str">
        <x:v>U24</x:v>
      </x:c>
      <x:c r="C876" s="12" t="str">
        <x:v>meaning</x:v>
      </x:c>
      <x:c r="D876" s="12" t="str">
        <x:v>request</x:v>
      </x:c>
      <x:c r="E876" s="12" t="str">
        <x:v>text_input</x:v>
      </x:c>
      <x:c r="F876" s="15" t="n">
        <x:v>4940</x:v>
      </x:c>
      <x:c r="G876" s="17" t="n">
        <x:v>0.000001</x:v>
      </x:c>
      <x:c r="H876" s="15" t="n">
        <x:f>F876*G876</x:f>
        <x:v>0.00494</x:v>
      </x:c>
    </x:row>
    <x:row r="877" ht="34" customHeight="1">
      <x:c r="A877" s="7" t="str">
        <x:v>DP3-B-R3</x:v>
      </x:c>
      <x:c r="B877" s="7" t="str">
        <x:v>U24</x:v>
      </x:c>
      <x:c r="C877" s="7" t="str">
        <x:v>meaning</x:v>
      </x:c>
      <x:c r="D877" s="7" t="str">
        <x:v>request</x:v>
      </x:c>
      <x:c r="E877" s="7" t="str">
        <x:v>text_output</x:v>
      </x:c>
      <x:c r="F877" s="16" t="n">
        <x:v>64</x:v>
      </x:c>
      <x:c r="G877" s="18" t="n">
        <x:v>0.000004</x:v>
      </x:c>
      <x:c r="H877" s="16" t="n">
        <x:f>F877*G877</x:f>
        <x:v>0.000256</x:v>
      </x:c>
    </x:row>
    <x:row r="878" ht="34" customHeight="1">
      <x:c r="A878" s="12" t="str">
        <x:v>DP3-B-R3</x:v>
      </x:c>
      <x:c r="B878" s="12" t="str">
        <x:v>U24</x:v>
      </x:c>
      <x:c r="C878" s="12" t="str">
        <x:v>response_audio</x:v>
      </x:c>
      <x:c r="D878" s="12" t="str">
        <x:v>request</x:v>
      </x:c>
      <x:c r="E878" s="12" t="str">
        <x:v>text_input</x:v>
      </x:c>
      <x:c r="F878" s="15" t="n">
        <x:v>48</x:v>
      </x:c>
      <x:c r="G878" s="17" t="n">
        <x:v>0.000001</x:v>
      </x:c>
      <x:c r="H878" s="15" t="n">
        <x:f>F878*G878</x:f>
        <x:v>0.000048</x:v>
      </x:c>
    </x:row>
    <x:row r="879" ht="34" customHeight="1">
      <x:c r="A879" s="7" t="str">
        <x:v>DP3-B-R3</x:v>
      </x:c>
      <x:c r="B879" s="7" t="str">
        <x:v>U24</x:v>
      </x:c>
      <x:c r="C879" s="7" t="str">
        <x:v>response_audio</x:v>
      </x:c>
      <x:c r="D879" s="7" t="str">
        <x:v>request</x:v>
      </x:c>
      <x:c r="E879" s="7" t="str">
        <x:v>audio_output</x:v>
      </x:c>
      <x:c r="F879" s="16" t="n">
        <x:v>6</x:v>
      </x:c>
      <x:c r="G879" s="18" t="n">
        <x:v>0.002</x:v>
      </x:c>
      <x:c r="H879" s="16" t="n">
        <x:f>F879*G879</x:f>
        <x:v>0.012</x:v>
      </x:c>
    </x:row>
    <x:row r="880" ht="34" customHeight="1">
      <x:c r="A880" s="12" t="str">
        <x:v>DP3-B-R3</x:v>
      </x:c>
      <x:c r="B880" s="12" t="str">
        <x:v>U24</x:v>
      </x:c>
      <x:c r="C880" s="12" t="str">
        <x:v>intent_audio</x:v>
      </x:c>
      <x:c r="D880" s="12" t="str">
        <x:v>request</x:v>
      </x:c>
      <x:c r="E880" s="12" t="str">
        <x:v>text_input</x:v>
      </x:c>
      <x:c r="F880" s="15" t="n">
        <x:v>24</x:v>
      </x:c>
      <x:c r="G880" s="17" t="n">
        <x:v>0.000001</x:v>
      </x:c>
      <x:c r="H880" s="15" t="n">
        <x:f>F880*G880</x:f>
        <x:v>0.000024</x:v>
      </x:c>
    </x:row>
    <x:row r="881" ht="34" customHeight="1">
      <x:c r="A881" s="7" t="str">
        <x:v>DP3-B-R3</x:v>
      </x:c>
      <x:c r="B881" s="7" t="str">
        <x:v>U24</x:v>
      </x:c>
      <x:c r="C881" s="7" t="str">
        <x:v>intent_audio</x:v>
      </x:c>
      <x:c r="D881" s="7" t="str">
        <x:v>request</x:v>
      </x:c>
      <x:c r="E881" s="7" t="str">
        <x:v>audio_output</x:v>
      </x:c>
      <x:c r="F881" s="16" t="n">
        <x:v>3</x:v>
      </x:c>
      <x:c r="G881" s="18" t="n">
        <x:v>0.002</x:v>
      </x:c>
      <x:c r="H881" s="16" t="n">
        <x:f>F881*G881</x:f>
        <x:v>0.006</x:v>
      </x:c>
    </x:row>
    <x:row r="882" ht="34" customHeight="1">
      <x:c r="A882" s="12" t="str">
        <x:v>DP3-B-R3</x:v>
      </x:c>
      <x:c r="B882" s="12" t="str">
        <x:v>U24</x:v>
      </x:c>
      <x:c r="C882" s="12" t="str">
        <x:v>input_end</x:v>
      </x:c>
      <x:c r="D882" s="12" t="str">
        <x:v>input</x:v>
      </x:c>
      <x:c r="E882" s="12" t="str">
        <x:v>audio_input</x:v>
      </x:c>
      <x:c r="F882" s="15" t="n">
        <x:v>3</x:v>
      </x:c>
      <x:c r="G882" s="17" t="n">
        <x:v>0.001</x:v>
      </x:c>
      <x:c r="H882" s="15" t="n">
        <x:f>F882*G882</x:f>
        <x:v>0.003</x:v>
      </x:c>
    </x:row>
    <x:row r="883" ht="34" customHeight="1">
      <x:c r="A883" s="7" t="str">
        <x:v>DP5-B</x:v>
      </x:c>
      <x:c r="B883" s="7" t="str">
        <x:v>U01</x:v>
      </x:c>
      <x:c r="C883" s="7" t="str">
        <x:v>meaning</x:v>
      </x:c>
      <x:c r="D883" s="7" t="str">
        <x:v>request</x:v>
      </x:c>
      <x:c r="E883" s="7" t="str">
        <x:v>text_input</x:v>
      </x:c>
      <x:c r="F883" s="16" t="n">
        <x:v>600</x:v>
      </x:c>
      <x:c r="G883" s="18" t="n">
        <x:v>0.000001</x:v>
      </x:c>
      <x:c r="H883" s="16" t="n">
        <x:f>F883*G883</x:f>
        <x:v>0.0006</x:v>
      </x:c>
    </x:row>
    <x:row r="884" ht="34" customHeight="1">
      <x:c r="A884" s="12" t="str">
        <x:v>DP5-B</x:v>
      </x:c>
      <x:c r="B884" s="12" t="str">
        <x:v>U01</x:v>
      </x:c>
      <x:c r="C884" s="12" t="str">
        <x:v>meaning</x:v>
      </x:c>
      <x:c r="D884" s="12" t="str">
        <x:v>request</x:v>
      </x:c>
      <x:c r="E884" s="12" t="str">
        <x:v>text_output</x:v>
      </x:c>
      <x:c r="F884" s="15" t="n">
        <x:v>64</x:v>
      </x:c>
      <x:c r="G884" s="17" t="n">
        <x:v>0.000004</x:v>
      </x:c>
      <x:c r="H884" s="15" t="n">
        <x:f>F884*G884</x:f>
        <x:v>0.000256</x:v>
      </x:c>
    </x:row>
    <x:row r="885" ht="34" customHeight="1">
      <x:c r="A885" s="7" t="str">
        <x:v>DP5-B</x:v>
      </x:c>
      <x:c r="B885" s="7" t="str">
        <x:v>U01</x:v>
      </x:c>
      <x:c r="C885" s="7" t="str">
        <x:v>response_audio</x:v>
      </x:c>
      <x:c r="D885" s="7" t="str">
        <x:v>request</x:v>
      </x:c>
      <x:c r="E885" s="7" t="str">
        <x:v>text_input</x:v>
      </x:c>
      <x:c r="F885" s="16" t="n">
        <x:v>48</x:v>
      </x:c>
      <x:c r="G885" s="18" t="n">
        <x:v>0.000001</x:v>
      </x:c>
      <x:c r="H885" s="16" t="n">
        <x:f>F885*G885</x:f>
        <x:v>0.000048</x:v>
      </x:c>
    </x:row>
    <x:row r="886" ht="34" customHeight="1">
      <x:c r="A886" s="12" t="str">
        <x:v>DP5-B</x:v>
      </x:c>
      <x:c r="B886" s="12" t="str">
        <x:v>U01</x:v>
      </x:c>
      <x:c r="C886" s="12" t="str">
        <x:v>response_audio</x:v>
      </x:c>
      <x:c r="D886" s="12" t="str">
        <x:v>request</x:v>
      </x:c>
      <x:c r="E886" s="12" t="str">
        <x:v>audio_output</x:v>
      </x:c>
      <x:c r="F886" s="15" t="n">
        <x:v>6</x:v>
      </x:c>
      <x:c r="G886" s="17" t="n">
        <x:v>0.002</x:v>
      </x:c>
      <x:c r="H886" s="15" t="n">
        <x:f>F886*G886</x:f>
        <x:v>0.012</x:v>
      </x:c>
    </x:row>
    <x:row r="887" ht="34" customHeight="1">
      <x:c r="A887" s="7" t="str">
        <x:v>DP5-B</x:v>
      </x:c>
      <x:c r="B887" s="7" t="str">
        <x:v>U02</x:v>
      </x:c>
      <x:c r="C887" s="7" t="str">
        <x:v>meaning</x:v>
      </x:c>
      <x:c r="D887" s="7" t="str">
        <x:v>request</x:v>
      </x:c>
      <x:c r="E887" s="7" t="str">
        <x:v>text_input</x:v>
      </x:c>
      <x:c r="F887" s="16" t="n">
        <x:v>600</x:v>
      </x:c>
      <x:c r="G887" s="18" t="n">
        <x:v>0.000001</x:v>
      </x:c>
      <x:c r="H887" s="16" t="n">
        <x:f>F887*G887</x:f>
        <x:v>0.0006</x:v>
      </x:c>
    </x:row>
    <x:row r="888" ht="34" customHeight="1">
      <x:c r="A888" s="12" t="str">
        <x:v>DP5-B</x:v>
      </x:c>
      <x:c r="B888" s="12" t="str">
        <x:v>U02</x:v>
      </x:c>
      <x:c r="C888" s="12" t="str">
        <x:v>meaning</x:v>
      </x:c>
      <x:c r="D888" s="12" t="str">
        <x:v>request</x:v>
      </x:c>
      <x:c r="E888" s="12" t="str">
        <x:v>text_output</x:v>
      </x:c>
      <x:c r="F888" s="15" t="n">
        <x:v>64</x:v>
      </x:c>
      <x:c r="G888" s="17" t="n">
        <x:v>0.000004</x:v>
      </x:c>
      <x:c r="H888" s="15" t="n">
        <x:f>F888*G888</x:f>
        <x:v>0.000256</x:v>
      </x:c>
    </x:row>
    <x:row r="889" ht="34" customHeight="1">
      <x:c r="A889" s="7" t="str">
        <x:v>DP5-B</x:v>
      </x:c>
      <x:c r="B889" s="7" t="str">
        <x:v>U02</x:v>
      </x:c>
      <x:c r="C889" s="7" t="str">
        <x:v>response_audio</x:v>
      </x:c>
      <x:c r="D889" s="7" t="str">
        <x:v>request</x:v>
      </x:c>
      <x:c r="E889" s="7" t="str">
        <x:v>text_input</x:v>
      </x:c>
      <x:c r="F889" s="16" t="n">
        <x:v>24</x:v>
      </x:c>
      <x:c r="G889" s="18" t="n">
        <x:v>0.000001</x:v>
      </x:c>
      <x:c r="H889" s="16" t="n">
        <x:f>F889*G889</x:f>
        <x:v>0.000024</x:v>
      </x:c>
    </x:row>
    <x:row r="890" ht="34" customHeight="1">
      <x:c r="A890" s="12" t="str">
        <x:v>DP5-B</x:v>
      </x:c>
      <x:c r="B890" s="12" t="str">
        <x:v>U02</x:v>
      </x:c>
      <x:c r="C890" s="12" t="str">
        <x:v>response_audio</x:v>
      </x:c>
      <x:c r="D890" s="12" t="str">
        <x:v>request</x:v>
      </x:c>
      <x:c r="E890" s="12" t="str">
        <x:v>audio_output</x:v>
      </x:c>
      <x:c r="F890" s="15" t="n">
        <x:v>3</x:v>
      </x:c>
      <x:c r="G890" s="17" t="n">
        <x:v>0.002</x:v>
      </x:c>
      <x:c r="H890" s="15" t="n">
        <x:f>F890*G890</x:f>
        <x:v>0.006</x:v>
      </x:c>
    </x:row>
    <x:row r="891" ht="34" customHeight="1">
      <x:c r="A891" s="7" t="str">
        <x:v>DP5-B</x:v>
      </x:c>
      <x:c r="B891" s="7" t="str">
        <x:v>U02</x:v>
      </x:c>
      <x:c r="C891" s="7" t="str">
        <x:v>input_end</x:v>
      </x:c>
      <x:c r="D891" s="7" t="str">
        <x:v>input</x:v>
      </x:c>
      <x:c r="E891" s="7" t="str">
        <x:v>audio_input</x:v>
      </x:c>
      <x:c r="F891" s="16" t="n">
        <x:v>3</x:v>
      </x:c>
      <x:c r="G891" s="18" t="n">
        <x:v>0.001</x:v>
      </x:c>
      <x:c r="H891" s="16" t="n">
        <x:f>F891*G891</x:f>
        <x:v>0.003</x:v>
      </x:c>
    </x:row>
    <x:row r="892" ht="34" customHeight="1">
      <x:c r="A892" s="12" t="str">
        <x:v>DP5-B</x:v>
      </x:c>
      <x:c r="B892" s="12" t="str">
        <x:v>U03</x:v>
      </x:c>
      <x:c r="C892" s="12" t="str">
        <x:v>meaning</x:v>
      </x:c>
      <x:c r="D892" s="12" t="str">
        <x:v>request</x:v>
      </x:c>
      <x:c r="E892" s="12" t="str">
        <x:v>text_input</x:v>
      </x:c>
      <x:c r="F892" s="15" t="n">
        <x:v>600</x:v>
      </x:c>
      <x:c r="G892" s="17" t="n">
        <x:v>0.000001</x:v>
      </x:c>
      <x:c r="H892" s="15" t="n">
        <x:f>F892*G892</x:f>
        <x:v>0.0006</x:v>
      </x:c>
    </x:row>
    <x:row r="893" ht="34" customHeight="1">
      <x:c r="A893" s="7" t="str">
        <x:v>DP5-B</x:v>
      </x:c>
      <x:c r="B893" s="7" t="str">
        <x:v>U03</x:v>
      </x:c>
      <x:c r="C893" s="7" t="str">
        <x:v>meaning</x:v>
      </x:c>
      <x:c r="D893" s="7" t="str">
        <x:v>request</x:v>
      </x:c>
      <x:c r="E893" s="7" t="str">
        <x:v>text_output</x:v>
      </x:c>
      <x:c r="F893" s="16" t="n">
        <x:v>64</x:v>
      </x:c>
      <x:c r="G893" s="18" t="n">
        <x:v>0.000004</x:v>
      </x:c>
      <x:c r="H893" s="16" t="n">
        <x:f>F893*G893</x:f>
        <x:v>0.000256</x:v>
      </x:c>
    </x:row>
    <x:row r="894" ht="34" customHeight="1">
      <x:c r="A894" s="12" t="str">
        <x:v>DP5-B</x:v>
      </x:c>
      <x:c r="B894" s="12" t="str">
        <x:v>U03</x:v>
      </x:c>
      <x:c r="C894" s="12" t="str">
        <x:v>long_work</x:v>
      </x:c>
      <x:c r="D894" s="12" t="str">
        <x:v>request</x:v>
      </x:c>
      <x:c r="E894" s="12" t="str">
        <x:v>text_input</x:v>
      </x:c>
      <x:c r="F894" s="15" t="n">
        <x:v>1200</x:v>
      </x:c>
      <x:c r="G894" s="17" t="n">
        <x:v>0.000001</x:v>
      </x:c>
      <x:c r="H894" s="15" t="n">
        <x:f>F894*G894</x:f>
        <x:v>0.0012</x:v>
      </x:c>
    </x:row>
    <x:row r="895" ht="34" customHeight="1">
      <x:c r="A895" s="7" t="str">
        <x:v>DP5-B</x:v>
      </x:c>
      <x:c r="B895" s="7" t="str">
        <x:v>U03</x:v>
      </x:c>
      <x:c r="C895" s="7" t="str">
        <x:v>long_work</x:v>
      </x:c>
      <x:c r="D895" s="7" t="str">
        <x:v>request</x:v>
      </x:c>
      <x:c r="E895" s="7" t="str">
        <x:v>text_output</x:v>
      </x:c>
      <x:c r="F895" s="16" t="n">
        <x:v>96</x:v>
      </x:c>
      <x:c r="G895" s="18" t="n">
        <x:v>0.000004</x:v>
      </x:c>
      <x:c r="H895" s="16" t="n">
        <x:f>F895*G895</x:f>
        <x:v>0.000384</x:v>
      </x:c>
    </x:row>
    <x:row r="896" ht="34" customHeight="1">
      <x:c r="A896" s="12" t="str">
        <x:v>DP5-B</x:v>
      </x:c>
      <x:c r="B896" s="12" t="str">
        <x:v>U03</x:v>
      </x:c>
      <x:c r="C896" s="12" t="str">
        <x:v>response_audio</x:v>
      </x:c>
      <x:c r="D896" s="12" t="str">
        <x:v>request</x:v>
      </x:c>
      <x:c r="E896" s="12" t="str">
        <x:v>text_input</x:v>
      </x:c>
      <x:c r="F896" s="15" t="n">
        <x:v>48</x:v>
      </x:c>
      <x:c r="G896" s="17" t="n">
        <x:v>0.000001</x:v>
      </x:c>
      <x:c r="H896" s="15" t="n">
        <x:f>F896*G896</x:f>
        <x:v>0.000048</x:v>
      </x:c>
    </x:row>
    <x:row r="897" ht="34" customHeight="1">
      <x:c r="A897" s="7" t="str">
        <x:v>DP5-B</x:v>
      </x:c>
      <x:c r="B897" s="7" t="str">
        <x:v>U03</x:v>
      </x:c>
      <x:c r="C897" s="7" t="str">
        <x:v>response_audio</x:v>
      </x:c>
      <x:c r="D897" s="7" t="str">
        <x:v>request</x:v>
      </x:c>
      <x:c r="E897" s="7" t="str">
        <x:v>audio_output</x:v>
      </x:c>
      <x:c r="F897" s="16" t="n">
        <x:v>6</x:v>
      </x:c>
      <x:c r="G897" s="18" t="n">
        <x:v>0.002</x:v>
      </x:c>
      <x:c r="H897" s="16" t="n">
        <x:f>F897*G897</x:f>
        <x:v>0.012</x:v>
      </x:c>
    </x:row>
    <x:row r="898" ht="34" customHeight="1">
      <x:c r="A898" s="12" t="str">
        <x:v>DP5-B</x:v>
      </x:c>
      <x:c r="B898" s="12" t="str">
        <x:v>U03</x:v>
      </x:c>
      <x:c r="C898" s="12" t="str">
        <x:v>intent_audio</x:v>
      </x:c>
      <x:c r="D898" s="12" t="str">
        <x:v>request</x:v>
      </x:c>
      <x:c r="E898" s="12" t="str">
        <x:v>text_input</x:v>
      </x:c>
      <x:c r="F898" s="15" t="n">
        <x:v>24</x:v>
      </x:c>
      <x:c r="G898" s="17" t="n">
        <x:v>0.000001</x:v>
      </x:c>
      <x:c r="H898" s="15" t="n">
        <x:f>F898*G898</x:f>
        <x:v>0.000024</x:v>
      </x:c>
    </x:row>
    <x:row r="899" ht="34" customHeight="1">
      <x:c r="A899" s="7" t="str">
        <x:v>DP5-B</x:v>
      </x:c>
      <x:c r="B899" s="7" t="str">
        <x:v>U03</x:v>
      </x:c>
      <x:c r="C899" s="7" t="str">
        <x:v>intent_audio</x:v>
      </x:c>
      <x:c r="D899" s="7" t="str">
        <x:v>request</x:v>
      </x:c>
      <x:c r="E899" s="7" t="str">
        <x:v>audio_output</x:v>
      </x:c>
      <x:c r="F899" s="16" t="n">
        <x:v>3</x:v>
      </x:c>
      <x:c r="G899" s="18" t="n">
        <x:v>0.002</x:v>
      </x:c>
      <x:c r="H899" s="16" t="n">
        <x:f>F899*G899</x:f>
        <x:v>0.006</x:v>
      </x:c>
    </x:row>
    <x:row r="900" ht="34" customHeight="1">
      <x:c r="A900" s="12" t="str">
        <x:v>DP5-B</x:v>
      </x:c>
      <x:c r="B900" s="12" t="str">
        <x:v>U04</x:v>
      </x:c>
      <x:c r="C900" s="12" t="str">
        <x:v>meaning</x:v>
      </x:c>
      <x:c r="D900" s="12" t="str">
        <x:v>request</x:v>
      </x:c>
      <x:c r="E900" s="12" t="str">
        <x:v>text_input</x:v>
      </x:c>
      <x:c r="F900" s="15" t="n">
        <x:v>600</x:v>
      </x:c>
      <x:c r="G900" s="17" t="n">
        <x:v>0.000001</x:v>
      </x:c>
      <x:c r="H900" s="15" t="n">
        <x:f>F900*G900</x:f>
        <x:v>0.0006</x:v>
      </x:c>
    </x:row>
    <x:row r="901" ht="34" customHeight="1">
      <x:c r="A901" s="7" t="str">
        <x:v>DP5-B</x:v>
      </x:c>
      <x:c r="B901" s="7" t="str">
        <x:v>U04</x:v>
      </x:c>
      <x:c r="C901" s="7" t="str">
        <x:v>meaning</x:v>
      </x:c>
      <x:c r="D901" s="7" t="str">
        <x:v>request</x:v>
      </x:c>
      <x:c r="E901" s="7" t="str">
        <x:v>text_output</x:v>
      </x:c>
      <x:c r="F901" s="16" t="n">
        <x:v>64</x:v>
      </x:c>
      <x:c r="G901" s="18" t="n">
        <x:v>0.000004</x:v>
      </x:c>
      <x:c r="H901" s="16" t="n">
        <x:f>F901*G901</x:f>
        <x:v>0.000256</x:v>
      </x:c>
    </x:row>
    <x:row r="902" ht="34" customHeight="1">
      <x:c r="A902" s="12" t="str">
        <x:v>DP5-B</x:v>
      </x:c>
      <x:c r="B902" s="12" t="str">
        <x:v>U04</x:v>
      </x:c>
      <x:c r="C902" s="12" t="str">
        <x:v>response_audio</x:v>
      </x:c>
      <x:c r="D902" s="12" t="str">
        <x:v>request</x:v>
      </x:c>
      <x:c r="E902" s="12" t="str">
        <x:v>text_input</x:v>
      </x:c>
      <x:c r="F902" s="15" t="n">
        <x:v>48</x:v>
      </x:c>
      <x:c r="G902" s="17" t="n">
        <x:v>0.000001</x:v>
      </x:c>
      <x:c r="H902" s="15" t="n">
        <x:f>F902*G902</x:f>
        <x:v>0.000048</x:v>
      </x:c>
    </x:row>
    <x:row r="903" ht="34" customHeight="1">
      <x:c r="A903" s="7" t="str">
        <x:v>DP5-B</x:v>
      </x:c>
      <x:c r="B903" s="7" t="str">
        <x:v>U04</x:v>
      </x:c>
      <x:c r="C903" s="7" t="str">
        <x:v>response_audio</x:v>
      </x:c>
      <x:c r="D903" s="7" t="str">
        <x:v>request</x:v>
      </x:c>
      <x:c r="E903" s="7" t="str">
        <x:v>audio_output</x:v>
      </x:c>
      <x:c r="F903" s="16" t="n">
        <x:v>6</x:v>
      </x:c>
      <x:c r="G903" s="18" t="n">
        <x:v>0.002</x:v>
      </x:c>
      <x:c r="H903" s="16" t="n">
        <x:f>F903*G903</x:f>
        <x:v>0.012</x:v>
      </x:c>
    </x:row>
    <x:row r="904" ht="34" customHeight="1">
      <x:c r="A904" s="12" t="str">
        <x:v>DP5-B</x:v>
      </x:c>
      <x:c r="B904" s="12" t="str">
        <x:v>U04</x:v>
      </x:c>
      <x:c r="C904" s="12" t="str">
        <x:v>input_end</x:v>
      </x:c>
      <x:c r="D904" s="12" t="str">
        <x:v>input</x:v>
      </x:c>
      <x:c r="E904" s="12" t="str">
        <x:v>audio_input</x:v>
      </x:c>
      <x:c r="F904" s="15" t="n">
        <x:v>3</x:v>
      </x:c>
      <x:c r="G904" s="17" t="n">
        <x:v>0.001</x:v>
      </x:c>
      <x:c r="H904" s="15" t="n">
        <x:f>F904*G904</x:f>
        <x:v>0.003</x:v>
      </x:c>
    </x:row>
    <x:row r="905" ht="34" customHeight="1">
      <x:c r="A905" s="7" t="str">
        <x:v>DP5-B</x:v>
      </x:c>
      <x:c r="B905" s="7" t="str">
        <x:v>U05</x:v>
      </x:c>
      <x:c r="C905" s="7" t="str">
        <x:v>bg1</x:v>
      </x:c>
      <x:c r="D905" s="7" t="str">
        <x:v>background</x:v>
      </x:c>
      <x:c r="E905" s="7" t="str">
        <x:v>text_input</x:v>
      </x:c>
      <x:c r="F905" s="16" t="n">
        <x:v>1200</x:v>
      </x:c>
      <x:c r="G905" s="18" t="n">
        <x:v>0.000001</x:v>
      </x:c>
      <x:c r="H905" s="16" t="n">
        <x:f>F905*G905</x:f>
        <x:v>0.0012</x:v>
      </x:c>
    </x:row>
    <x:row r="906" ht="34" customHeight="1">
      <x:c r="A906" s="12" t="str">
        <x:v>DP5-B</x:v>
      </x:c>
      <x:c r="B906" s="12" t="str">
        <x:v>U05</x:v>
      </x:c>
      <x:c r="C906" s="12" t="str">
        <x:v>bg1</x:v>
      </x:c>
      <x:c r="D906" s="12" t="str">
        <x:v>background</x:v>
      </x:c>
      <x:c r="E906" s="12" t="str">
        <x:v>text_output</x:v>
      </x:c>
      <x:c r="F906" s="15" t="n">
        <x:v>240</x:v>
      </x:c>
      <x:c r="G906" s="17" t="n">
        <x:v>0.000004</x:v>
      </x:c>
      <x:c r="H906" s="15" t="n">
        <x:f>F906*G906</x:f>
        <x:v>0.0009599999999999999</x:v>
      </x:c>
    </x:row>
    <x:row r="907" ht="34" customHeight="1">
      <x:c r="A907" s="7" t="str">
        <x:v>DP5-B</x:v>
      </x:c>
      <x:c r="B907" s="7" t="str">
        <x:v>U05</x:v>
      </x:c>
      <x:c r="C907" s="7" t="str">
        <x:v>meaning</x:v>
      </x:c>
      <x:c r="D907" s="7" t="str">
        <x:v>request</x:v>
      </x:c>
      <x:c r="E907" s="7" t="str">
        <x:v>text_input</x:v>
      </x:c>
      <x:c r="F907" s="16" t="n">
        <x:v>600</x:v>
      </x:c>
      <x:c r="G907" s="18" t="n">
        <x:v>0.000001</x:v>
      </x:c>
      <x:c r="H907" s="16" t="n">
        <x:f>F907*G907</x:f>
        <x:v>0.0006</x:v>
      </x:c>
    </x:row>
    <x:row r="908" ht="34" customHeight="1">
      <x:c r="A908" s="12" t="str">
        <x:v>DP5-B</x:v>
      </x:c>
      <x:c r="B908" s="12" t="str">
        <x:v>U05</x:v>
      </x:c>
      <x:c r="C908" s="12" t="str">
        <x:v>meaning</x:v>
      </x:c>
      <x:c r="D908" s="12" t="str">
        <x:v>request</x:v>
      </x:c>
      <x:c r="E908" s="12" t="str">
        <x:v>text_output</x:v>
      </x:c>
      <x:c r="F908" s="15" t="n">
        <x:v>64</x:v>
      </x:c>
      <x:c r="G908" s="17" t="n">
        <x:v>0.000004</x:v>
      </x:c>
      <x:c r="H908" s="15" t="n">
        <x:f>F908*G908</x:f>
        <x:v>0.000256</x:v>
      </x:c>
    </x:row>
    <x:row r="909" ht="34" customHeight="1">
      <x:c r="A909" s="7" t="str">
        <x:v>DP5-B</x:v>
      </x:c>
      <x:c r="B909" s="7" t="str">
        <x:v>U05</x:v>
      </x:c>
      <x:c r="C909" s="7" t="str">
        <x:v>response_audio</x:v>
      </x:c>
      <x:c r="D909" s="7" t="str">
        <x:v>request</x:v>
      </x:c>
      <x:c r="E909" s="7" t="str">
        <x:v>text_input</x:v>
      </x:c>
      <x:c r="F909" s="16" t="n">
        <x:v>48</x:v>
      </x:c>
      <x:c r="G909" s="18" t="n">
        <x:v>0.000001</x:v>
      </x:c>
      <x:c r="H909" s="16" t="n">
        <x:f>F909*G909</x:f>
        <x:v>0.000048</x:v>
      </x:c>
    </x:row>
    <x:row r="910" ht="34" customHeight="1">
      <x:c r="A910" s="12" t="str">
        <x:v>DP5-B</x:v>
      </x:c>
      <x:c r="B910" s="12" t="str">
        <x:v>U05</x:v>
      </x:c>
      <x:c r="C910" s="12" t="str">
        <x:v>response_audio</x:v>
      </x:c>
      <x:c r="D910" s="12" t="str">
        <x:v>request</x:v>
      </x:c>
      <x:c r="E910" s="12" t="str">
        <x:v>audio_output</x:v>
      </x:c>
      <x:c r="F910" s="15" t="n">
        <x:v>6</x:v>
      </x:c>
      <x:c r="G910" s="17" t="n">
        <x:v>0.002</x:v>
      </x:c>
      <x:c r="H910" s="15" t="n">
        <x:f>F910*G910</x:f>
        <x:v>0.012</x:v>
      </x:c>
    </x:row>
    <x:row r="911" ht="34" customHeight="1">
      <x:c r="A911" s="7" t="str">
        <x:v>DP5-B</x:v>
      </x:c>
      <x:c r="B911" s="7" t="str">
        <x:v>U05</x:v>
      </x:c>
      <x:c r="C911" s="7" t="str">
        <x:v>input_end</x:v>
      </x:c>
      <x:c r="D911" s="7" t="str">
        <x:v>input</x:v>
      </x:c>
      <x:c r="E911" s="7" t="str">
        <x:v>audio_input</x:v>
      </x:c>
      <x:c r="F911" s="16" t="n">
        <x:v>3</x:v>
      </x:c>
      <x:c r="G911" s="18" t="n">
        <x:v>0.001</x:v>
      </x:c>
      <x:c r="H911" s="16" t="n">
        <x:f>F911*G911</x:f>
        <x:v>0.003</x:v>
      </x:c>
    </x:row>
    <x:row r="912" ht="34" customHeight="1">
      <x:c r="A912" s="12" t="str">
        <x:v>DP5-B</x:v>
      </x:c>
      <x:c r="B912" s="12" t="str">
        <x:v>U06</x:v>
      </x:c>
      <x:c r="C912" s="12" t="str">
        <x:v>bg1</x:v>
      </x:c>
      <x:c r="D912" s="12" t="str">
        <x:v>background</x:v>
      </x:c>
      <x:c r="E912" s="12" t="str">
        <x:v>text_input</x:v>
      </x:c>
      <x:c r="F912" s="15" t="n">
        <x:v>1200</x:v>
      </x:c>
      <x:c r="G912" s="17" t="n">
        <x:v>0.000001</x:v>
      </x:c>
      <x:c r="H912" s="15" t="n">
        <x:f>F912*G912</x:f>
        <x:v>0.0012</x:v>
      </x:c>
    </x:row>
    <x:row r="913" ht="34" customHeight="1">
      <x:c r="A913" s="7" t="str">
        <x:v>DP5-B</x:v>
      </x:c>
      <x:c r="B913" s="7" t="str">
        <x:v>U06</x:v>
      </x:c>
      <x:c r="C913" s="7" t="str">
        <x:v>bg1</x:v>
      </x:c>
      <x:c r="D913" s="7" t="str">
        <x:v>background</x:v>
      </x:c>
      <x:c r="E913" s="7" t="str">
        <x:v>text_output</x:v>
      </x:c>
      <x:c r="F913" s="16" t="n">
        <x:v>240</x:v>
      </x:c>
      <x:c r="G913" s="18" t="n">
        <x:v>0.000004</x:v>
      </x:c>
      <x:c r="H913" s="16" t="n">
        <x:f>F913*G913</x:f>
        <x:v>0.0009599999999999999</x:v>
      </x:c>
    </x:row>
    <x:row r="914" ht="34" customHeight="1">
      <x:c r="A914" s="12" t="str">
        <x:v>DP5-B</x:v>
      </x:c>
      <x:c r="B914" s="12" t="str">
        <x:v>U06</x:v>
      </x:c>
      <x:c r="C914" s="12" t="str">
        <x:v>meaning</x:v>
      </x:c>
      <x:c r="D914" s="12" t="str">
        <x:v>request</x:v>
      </x:c>
      <x:c r="E914" s="12" t="str">
        <x:v>text_input</x:v>
      </x:c>
      <x:c r="F914" s="15" t="n">
        <x:v>600</x:v>
      </x:c>
      <x:c r="G914" s="17" t="n">
        <x:v>0.000001</x:v>
      </x:c>
      <x:c r="H914" s="15" t="n">
        <x:f>F914*G914</x:f>
        <x:v>0.0006</x:v>
      </x:c>
    </x:row>
    <x:row r="915" ht="34" customHeight="1">
      <x:c r="A915" s="7" t="str">
        <x:v>DP5-B</x:v>
      </x:c>
      <x:c r="B915" s="7" t="str">
        <x:v>U06</x:v>
      </x:c>
      <x:c r="C915" s="7" t="str">
        <x:v>meaning</x:v>
      </x:c>
      <x:c r="D915" s="7" t="str">
        <x:v>request</x:v>
      </x:c>
      <x:c r="E915" s="7" t="str">
        <x:v>text_output</x:v>
      </x:c>
      <x:c r="F915" s="16" t="n">
        <x:v>64</x:v>
      </x:c>
      <x:c r="G915" s="18" t="n">
        <x:v>0.000004</x:v>
      </x:c>
      <x:c r="H915" s="16" t="n">
        <x:f>F915*G915</x:f>
        <x:v>0.000256</x:v>
      </x:c>
    </x:row>
    <x:row r="916" ht="34" customHeight="1">
      <x:c r="A916" s="12" t="str">
        <x:v>DP5-B</x:v>
      </x:c>
      <x:c r="B916" s="12" t="str">
        <x:v>U06</x:v>
      </x:c>
      <x:c r="C916" s="12" t="str">
        <x:v>long_work</x:v>
      </x:c>
      <x:c r="D916" s="12" t="str">
        <x:v>request</x:v>
      </x:c>
      <x:c r="E916" s="12" t="str">
        <x:v>text_input</x:v>
      </x:c>
      <x:c r="F916" s="15" t="n">
        <x:v>1200</x:v>
      </x:c>
      <x:c r="G916" s="17" t="n">
        <x:v>0.000001</x:v>
      </x:c>
      <x:c r="H916" s="15" t="n">
        <x:f>F916*G916</x:f>
        <x:v>0.0012</x:v>
      </x:c>
    </x:row>
    <x:row r="917" ht="34" customHeight="1">
      <x:c r="A917" s="7" t="str">
        <x:v>DP5-B</x:v>
      </x:c>
      <x:c r="B917" s="7" t="str">
        <x:v>U06</x:v>
      </x:c>
      <x:c r="C917" s="7" t="str">
        <x:v>long_work</x:v>
      </x:c>
      <x:c r="D917" s="7" t="str">
        <x:v>request</x:v>
      </x:c>
      <x:c r="E917" s="7" t="str">
        <x:v>text_output</x:v>
      </x:c>
      <x:c r="F917" s="16" t="n">
        <x:v>96</x:v>
      </x:c>
      <x:c r="G917" s="18" t="n">
        <x:v>0.000004</x:v>
      </x:c>
      <x:c r="H917" s="16" t="n">
        <x:f>F917*G917</x:f>
        <x:v>0.000384</x:v>
      </x:c>
    </x:row>
    <x:row r="918" ht="34" customHeight="1">
      <x:c r="A918" s="12" t="str">
        <x:v>DP5-B</x:v>
      </x:c>
      <x:c r="B918" s="12" t="str">
        <x:v>U06</x:v>
      </x:c>
      <x:c r="C918" s="12" t="str">
        <x:v>response_audio</x:v>
      </x:c>
      <x:c r="D918" s="12" t="str">
        <x:v>request</x:v>
      </x:c>
      <x:c r="E918" s="12" t="str">
        <x:v>text_input</x:v>
      </x:c>
      <x:c r="F918" s="15" t="n">
        <x:v>48</x:v>
      </x:c>
      <x:c r="G918" s="17" t="n">
        <x:v>0.000001</x:v>
      </x:c>
      <x:c r="H918" s="15" t="n">
        <x:f>F918*G918</x:f>
        <x:v>0.000048</x:v>
      </x:c>
    </x:row>
    <x:row r="919" ht="34" customHeight="1">
      <x:c r="A919" s="7" t="str">
        <x:v>DP5-B</x:v>
      </x:c>
      <x:c r="B919" s="7" t="str">
        <x:v>U06</x:v>
      </x:c>
      <x:c r="C919" s="7" t="str">
        <x:v>response_audio</x:v>
      </x:c>
      <x:c r="D919" s="7" t="str">
        <x:v>request</x:v>
      </x:c>
      <x:c r="E919" s="7" t="str">
        <x:v>audio_output</x:v>
      </x:c>
      <x:c r="F919" s="16" t="n">
        <x:v>6</x:v>
      </x:c>
      <x:c r="G919" s="18" t="n">
        <x:v>0.002</x:v>
      </x:c>
      <x:c r="H919" s="16" t="n">
        <x:f>F919*G919</x:f>
        <x:v>0.012</x:v>
      </x:c>
    </x:row>
    <x:row r="920" ht="34" customHeight="1">
      <x:c r="A920" s="12" t="str">
        <x:v>DP5-B</x:v>
      </x:c>
      <x:c r="B920" s="12" t="str">
        <x:v>U06</x:v>
      </x:c>
      <x:c r="C920" s="12" t="str">
        <x:v>intent_audio</x:v>
      </x:c>
      <x:c r="D920" s="12" t="str">
        <x:v>request</x:v>
      </x:c>
      <x:c r="E920" s="12" t="str">
        <x:v>text_input</x:v>
      </x:c>
      <x:c r="F920" s="15" t="n">
        <x:v>24</x:v>
      </x:c>
      <x:c r="G920" s="17" t="n">
        <x:v>0.000001</x:v>
      </x:c>
      <x:c r="H920" s="15" t="n">
        <x:f>F920*G920</x:f>
        <x:v>0.000024</x:v>
      </x:c>
    </x:row>
    <x:row r="921" ht="34" customHeight="1">
      <x:c r="A921" s="7" t="str">
        <x:v>DP5-B</x:v>
      </x:c>
      <x:c r="B921" s="7" t="str">
        <x:v>U06</x:v>
      </x:c>
      <x:c r="C921" s="7" t="str">
        <x:v>intent_audio</x:v>
      </x:c>
      <x:c r="D921" s="7" t="str">
        <x:v>request</x:v>
      </x:c>
      <x:c r="E921" s="7" t="str">
        <x:v>audio_output</x:v>
      </x:c>
      <x:c r="F921" s="16" t="n">
        <x:v>3</x:v>
      </x:c>
      <x:c r="G921" s="18" t="n">
        <x:v>0.002</x:v>
      </x:c>
      <x:c r="H921" s="16" t="n">
        <x:f>F921*G921</x:f>
        <x:v>0.006</x:v>
      </x:c>
    </x:row>
    <x:row r="922" ht="34" customHeight="1">
      <x:c r="A922" s="12" t="str">
        <x:v>DP5-B</x:v>
      </x:c>
      <x:c r="B922" s="12" t="str">
        <x:v>U07</x:v>
      </x:c>
      <x:c r="C922" s="12" t="str">
        <x:v>bg1</x:v>
      </x:c>
      <x:c r="D922" s="12" t="str">
        <x:v>background</x:v>
      </x:c>
      <x:c r="E922" s="12" t="str">
        <x:v>text_input</x:v>
      </x:c>
      <x:c r="F922" s="15" t="n">
        <x:v>1200</x:v>
      </x:c>
      <x:c r="G922" s="17" t="n">
        <x:v>0.000001</x:v>
      </x:c>
      <x:c r="H922" s="15" t="n">
        <x:f>F922*G922</x:f>
        <x:v>0.0012</x:v>
      </x:c>
    </x:row>
    <x:row r="923" ht="34" customHeight="1">
      <x:c r="A923" s="7" t="str">
        <x:v>DP5-B</x:v>
      </x:c>
      <x:c r="B923" s="7" t="str">
        <x:v>U07</x:v>
      </x:c>
      <x:c r="C923" s="7" t="str">
        <x:v>bg1</x:v>
      </x:c>
      <x:c r="D923" s="7" t="str">
        <x:v>background</x:v>
      </x:c>
      <x:c r="E923" s="7" t="str">
        <x:v>text_output</x:v>
      </x:c>
      <x:c r="F923" s="16" t="n">
        <x:v>240</x:v>
      </x:c>
      <x:c r="G923" s="18" t="n">
        <x:v>0.000004</x:v>
      </x:c>
      <x:c r="H923" s="16" t="n">
        <x:f>F923*G923</x:f>
        <x:v>0.0009599999999999999</x:v>
      </x:c>
    </x:row>
    <x:row r="924" ht="34" customHeight="1">
      <x:c r="A924" s="12" t="str">
        <x:v>DP5-B</x:v>
      </x:c>
      <x:c r="B924" s="12" t="str">
        <x:v>U07</x:v>
      </x:c>
      <x:c r="C924" s="12" t="str">
        <x:v>bg2</x:v>
      </x:c>
      <x:c r="D924" s="12" t="str">
        <x:v>background</x:v>
      </x:c>
      <x:c r="E924" s="12" t="str">
        <x:v>text_input</x:v>
      </x:c>
      <x:c r="F924" s="15" t="n">
        <x:v>1200</x:v>
      </x:c>
      <x:c r="G924" s="17" t="n">
        <x:v>0.000001</x:v>
      </x:c>
      <x:c r="H924" s="15" t="n">
        <x:f>F924*G924</x:f>
        <x:v>0.0012</x:v>
      </x:c>
    </x:row>
    <x:row r="925" ht="34" customHeight="1">
      <x:c r="A925" s="7" t="str">
        <x:v>DP5-B</x:v>
      </x:c>
      <x:c r="B925" s="7" t="str">
        <x:v>U07</x:v>
      </x:c>
      <x:c r="C925" s="7" t="str">
        <x:v>bg2</x:v>
      </x:c>
      <x:c r="D925" s="7" t="str">
        <x:v>background</x:v>
      </x:c>
      <x:c r="E925" s="7" t="str">
        <x:v>text_output</x:v>
      </x:c>
      <x:c r="F925" s="16" t="n">
        <x:v>240</x:v>
      </x:c>
      <x:c r="G925" s="18" t="n">
        <x:v>0.000004</x:v>
      </x:c>
      <x:c r="H925" s="16" t="n">
        <x:f>F925*G925</x:f>
        <x:v>0.0009599999999999999</x:v>
      </x:c>
    </x:row>
    <x:row r="926" ht="34" customHeight="1">
      <x:c r="A926" s="12" t="str">
        <x:v>DP5-B</x:v>
      </x:c>
      <x:c r="B926" s="12" t="str">
        <x:v>U07</x:v>
      </x:c>
      <x:c r="C926" s="12" t="str">
        <x:v>meaning</x:v>
      </x:c>
      <x:c r="D926" s="12" t="str">
        <x:v>request</x:v>
      </x:c>
      <x:c r="E926" s="12" t="str">
        <x:v>text_input</x:v>
      </x:c>
      <x:c r="F926" s="15" t="n">
        <x:v>600</x:v>
      </x:c>
      <x:c r="G926" s="17" t="n">
        <x:v>0.000001</x:v>
      </x:c>
      <x:c r="H926" s="15" t="n">
        <x:f>F926*G926</x:f>
        <x:v>0.0006</x:v>
      </x:c>
    </x:row>
    <x:row r="927" ht="34" customHeight="1">
      <x:c r="A927" s="7" t="str">
        <x:v>DP5-B</x:v>
      </x:c>
      <x:c r="B927" s="7" t="str">
        <x:v>U07</x:v>
      </x:c>
      <x:c r="C927" s="7" t="str">
        <x:v>meaning</x:v>
      </x:c>
      <x:c r="D927" s="7" t="str">
        <x:v>request</x:v>
      </x:c>
      <x:c r="E927" s="7" t="str">
        <x:v>text_output</x:v>
      </x:c>
      <x:c r="F927" s="16" t="n">
        <x:v>64</x:v>
      </x:c>
      <x:c r="G927" s="18" t="n">
        <x:v>0.000004</x:v>
      </x:c>
      <x:c r="H927" s="16" t="n">
        <x:f>F927*G927</x:f>
        <x:v>0.000256</x:v>
      </x:c>
    </x:row>
    <x:row r="928" ht="34" customHeight="1">
      <x:c r="A928" s="12" t="str">
        <x:v>DP5-B</x:v>
      </x:c>
      <x:c r="B928" s="12" t="str">
        <x:v>U07</x:v>
      </x:c>
      <x:c r="C928" s="12" t="str">
        <x:v>long_work</x:v>
      </x:c>
      <x:c r="D928" s="12" t="str">
        <x:v>request</x:v>
      </x:c>
      <x:c r="E928" s="12" t="str">
        <x:v>text_input</x:v>
      </x:c>
      <x:c r="F928" s="15" t="n">
        <x:v>1200</x:v>
      </x:c>
      <x:c r="G928" s="17" t="n">
        <x:v>0.000001</x:v>
      </x:c>
      <x:c r="H928" s="15" t="n">
        <x:f>F928*G928</x:f>
        <x:v>0.0012</x:v>
      </x:c>
    </x:row>
    <x:row r="929" ht="34" customHeight="1">
      <x:c r="A929" s="7" t="str">
        <x:v>DP5-B</x:v>
      </x:c>
      <x:c r="B929" s="7" t="str">
        <x:v>U07</x:v>
      </x:c>
      <x:c r="C929" s="7" t="str">
        <x:v>long_work</x:v>
      </x:c>
      <x:c r="D929" s="7" t="str">
        <x:v>request</x:v>
      </x:c>
      <x:c r="E929" s="7" t="str">
        <x:v>text_output</x:v>
      </x:c>
      <x:c r="F929" s="16" t="n">
        <x:v>96</x:v>
      </x:c>
      <x:c r="G929" s="18" t="n">
        <x:v>0.000004</x:v>
      </x:c>
      <x:c r="H929" s="16" t="n">
        <x:f>F929*G929</x:f>
        <x:v>0.000384</x:v>
      </x:c>
    </x:row>
    <x:row r="930" ht="34" customHeight="1">
      <x:c r="A930" s="12" t="str">
        <x:v>DP5-B</x:v>
      </x:c>
      <x:c r="B930" s="12" t="str">
        <x:v>U07</x:v>
      </x:c>
      <x:c r="C930" s="12" t="str">
        <x:v>response_audio</x:v>
      </x:c>
      <x:c r="D930" s="12" t="str">
        <x:v>request</x:v>
      </x:c>
      <x:c r="E930" s="12" t="str">
        <x:v>text_input</x:v>
      </x:c>
      <x:c r="F930" s="15" t="n">
        <x:v>48</x:v>
      </x:c>
      <x:c r="G930" s="17" t="n">
        <x:v>0.000001</x:v>
      </x:c>
      <x:c r="H930" s="15" t="n">
        <x:f>F930*G930</x:f>
        <x:v>0.000048</x:v>
      </x:c>
    </x:row>
    <x:row r="931" ht="34" customHeight="1">
      <x:c r="A931" s="7" t="str">
        <x:v>DP5-B</x:v>
      </x:c>
      <x:c r="B931" s="7" t="str">
        <x:v>U07</x:v>
      </x:c>
      <x:c r="C931" s="7" t="str">
        <x:v>response_audio</x:v>
      </x:c>
      <x:c r="D931" s="7" t="str">
        <x:v>request</x:v>
      </x:c>
      <x:c r="E931" s="7" t="str">
        <x:v>audio_output</x:v>
      </x:c>
      <x:c r="F931" s="16" t="n">
        <x:v>6</x:v>
      </x:c>
      <x:c r="G931" s="18" t="n">
        <x:v>0.002</x:v>
      </x:c>
      <x:c r="H931" s="16" t="n">
        <x:f>F931*G931</x:f>
        <x:v>0.012</x:v>
      </x:c>
    </x:row>
    <x:row r="932" ht="34" customHeight="1">
      <x:c r="A932" s="12" t="str">
        <x:v>DP5-B</x:v>
      </x:c>
      <x:c r="B932" s="12" t="str">
        <x:v>U07</x:v>
      </x:c>
      <x:c r="C932" s="12" t="str">
        <x:v>intent_audio</x:v>
      </x:c>
      <x:c r="D932" s="12" t="str">
        <x:v>request</x:v>
      </x:c>
      <x:c r="E932" s="12" t="str">
        <x:v>text_input</x:v>
      </x:c>
      <x:c r="F932" s="15" t="n">
        <x:v>24</x:v>
      </x:c>
      <x:c r="G932" s="17" t="n">
        <x:v>0.000001</x:v>
      </x:c>
      <x:c r="H932" s="15" t="n">
        <x:f>F932*G932</x:f>
        <x:v>0.000024</x:v>
      </x:c>
    </x:row>
    <x:row r="933" ht="34" customHeight="1">
      <x:c r="A933" s="7" t="str">
        <x:v>DP5-B</x:v>
      </x:c>
      <x:c r="B933" s="7" t="str">
        <x:v>U07</x:v>
      </x:c>
      <x:c r="C933" s="7" t="str">
        <x:v>intent_audio</x:v>
      </x:c>
      <x:c r="D933" s="7" t="str">
        <x:v>request</x:v>
      </x:c>
      <x:c r="E933" s="7" t="str">
        <x:v>audio_output</x:v>
      </x:c>
      <x:c r="F933" s="16" t="n">
        <x:v>3</x:v>
      </x:c>
      <x:c r="G933" s="18" t="n">
        <x:v>0.002</x:v>
      </x:c>
      <x:c r="H933" s="16" t="n">
        <x:f>F933*G933</x:f>
        <x:v>0.006</x:v>
      </x:c>
    </x:row>
    <x:row r="934" ht="34" customHeight="1">
      <x:c r="A934" s="12" t="str">
        <x:v>DP5-B</x:v>
      </x:c>
      <x:c r="B934" s="12" t="str">
        <x:v>U07</x:v>
      </x:c>
      <x:c r="C934" s="12" t="str">
        <x:v>input_end</x:v>
      </x:c>
      <x:c r="D934" s="12" t="str">
        <x:v>input</x:v>
      </x:c>
      <x:c r="E934" s="12" t="str">
        <x:v>audio_input</x:v>
      </x:c>
      <x:c r="F934" s="15" t="n">
        <x:v>3</x:v>
      </x:c>
      <x:c r="G934" s="17" t="n">
        <x:v>0.001</x:v>
      </x:c>
      <x:c r="H934" s="15" t="n">
        <x:f>F934*G934</x:f>
        <x:v>0.003</x:v>
      </x:c>
    </x:row>
    <x:row r="935" ht="34" customHeight="1">
      <x:c r="A935" s="7" t="str">
        <x:v>DP5-B</x:v>
      </x:c>
      <x:c r="B935" s="7" t="str">
        <x:v>U08</x:v>
      </x:c>
      <x:c r="C935" s="7" t="str">
        <x:v>bg1</x:v>
      </x:c>
      <x:c r="D935" s="7" t="str">
        <x:v>background</x:v>
      </x:c>
      <x:c r="E935" s="7" t="str">
        <x:v>text_input</x:v>
      </x:c>
      <x:c r="F935" s="16" t="n">
        <x:v>1200</x:v>
      </x:c>
      <x:c r="G935" s="18" t="n">
        <x:v>0.000001</x:v>
      </x:c>
      <x:c r="H935" s="16" t="n">
        <x:f>F935*G935</x:f>
        <x:v>0.0012</x:v>
      </x:c>
    </x:row>
    <x:row r="936" ht="34" customHeight="1">
      <x:c r="A936" s="12" t="str">
        <x:v>DP5-B</x:v>
      </x:c>
      <x:c r="B936" s="12" t="str">
        <x:v>U08</x:v>
      </x:c>
      <x:c r="C936" s="12" t="str">
        <x:v>bg1</x:v>
      </x:c>
      <x:c r="D936" s="12" t="str">
        <x:v>background</x:v>
      </x:c>
      <x:c r="E936" s="12" t="str">
        <x:v>text_output</x:v>
      </x:c>
      <x:c r="F936" s="15" t="n">
        <x:v>240</x:v>
      </x:c>
      <x:c r="G936" s="17" t="n">
        <x:v>0.000004</x:v>
      </x:c>
      <x:c r="H936" s="15" t="n">
        <x:f>F936*G936</x:f>
        <x:v>0.0009599999999999999</x:v>
      </x:c>
    </x:row>
    <x:row r="937" ht="34" customHeight="1">
      <x:c r="A937" s="7" t="str">
        <x:v>DP5-B</x:v>
      </x:c>
      <x:c r="B937" s="7" t="str">
        <x:v>U08</x:v>
      </x:c>
      <x:c r="C937" s="7" t="str">
        <x:v>meaning</x:v>
      </x:c>
      <x:c r="D937" s="7" t="str">
        <x:v>request</x:v>
      </x:c>
      <x:c r="E937" s="7" t="str">
        <x:v>text_input</x:v>
      </x:c>
      <x:c r="F937" s="16" t="n">
        <x:v>600</x:v>
      </x:c>
      <x:c r="G937" s="18" t="n">
        <x:v>0.000001</x:v>
      </x:c>
      <x:c r="H937" s="16" t="n">
        <x:f>F937*G937</x:f>
        <x:v>0.0006</x:v>
      </x:c>
    </x:row>
    <x:row r="938" ht="34" customHeight="1">
      <x:c r="A938" s="12" t="str">
        <x:v>DP5-B</x:v>
      </x:c>
      <x:c r="B938" s="12" t="str">
        <x:v>U08</x:v>
      </x:c>
      <x:c r="C938" s="12" t="str">
        <x:v>meaning</x:v>
      </x:c>
      <x:c r="D938" s="12" t="str">
        <x:v>request</x:v>
      </x:c>
      <x:c r="E938" s="12" t="str">
        <x:v>text_output</x:v>
      </x:c>
      <x:c r="F938" s="15" t="n">
        <x:v>64</x:v>
      </x:c>
      <x:c r="G938" s="17" t="n">
        <x:v>0.000004</x:v>
      </x:c>
      <x:c r="H938" s="15" t="n">
        <x:f>F938*G938</x:f>
        <x:v>0.000256</x:v>
      </x:c>
    </x:row>
    <x:row r="939" ht="34" customHeight="1">
      <x:c r="A939" s="7" t="str">
        <x:v>DP5-B</x:v>
      </x:c>
      <x:c r="B939" s="7" t="str">
        <x:v>U08</x:v>
      </x:c>
      <x:c r="C939" s="7" t="str">
        <x:v>long_work</x:v>
      </x:c>
      <x:c r="D939" s="7" t="str">
        <x:v>request</x:v>
      </x:c>
      <x:c r="E939" s="7" t="str">
        <x:v>text_input</x:v>
      </x:c>
      <x:c r="F939" s="16" t="n">
        <x:v>1200</x:v>
      </x:c>
      <x:c r="G939" s="18" t="n">
        <x:v>0.000001</x:v>
      </x:c>
      <x:c r="H939" s="16" t="n">
        <x:f>F939*G939</x:f>
        <x:v>0.0012</x:v>
      </x:c>
    </x:row>
    <x:row r="940" ht="34" customHeight="1">
      <x:c r="A940" s="12" t="str">
        <x:v>DP5-B</x:v>
      </x:c>
      <x:c r="B940" s="12" t="str">
        <x:v>U08</x:v>
      </x:c>
      <x:c r="C940" s="12" t="str">
        <x:v>long_work</x:v>
      </x:c>
      <x:c r="D940" s="12" t="str">
        <x:v>request</x:v>
      </x:c>
      <x:c r="E940" s="12" t="str">
        <x:v>text_output</x:v>
      </x:c>
      <x:c r="F940" s="15" t="n">
        <x:v>96</x:v>
      </x:c>
      <x:c r="G940" s="17" t="n">
        <x:v>0.000004</x:v>
      </x:c>
      <x:c r="H940" s="15" t="n">
        <x:f>F940*G940</x:f>
        <x:v>0.000384</x:v>
      </x:c>
    </x:row>
    <x:row r="941" ht="34" customHeight="1">
      <x:c r="A941" s="7" t="str">
        <x:v>DP5-B</x:v>
      </x:c>
      <x:c r="B941" s="7" t="str">
        <x:v>U08</x:v>
      </x:c>
      <x:c r="C941" s="7" t="str">
        <x:v>response_audio</x:v>
      </x:c>
      <x:c r="D941" s="7" t="str">
        <x:v>request</x:v>
      </x:c>
      <x:c r="E941" s="7" t="str">
        <x:v>text_input</x:v>
      </x:c>
      <x:c r="F941" s="16" t="n">
        <x:v>48</x:v>
      </x:c>
      <x:c r="G941" s="18" t="n">
        <x:v>0.000001</x:v>
      </x:c>
      <x:c r="H941" s="16" t="n">
        <x:f>F941*G941</x:f>
        <x:v>0.000048</x:v>
      </x:c>
    </x:row>
    <x:row r="942" ht="34" customHeight="1">
      <x:c r="A942" s="12" t="str">
        <x:v>DP5-B</x:v>
      </x:c>
      <x:c r="B942" s="12" t="str">
        <x:v>U08</x:v>
      </x:c>
      <x:c r="C942" s="12" t="str">
        <x:v>response_audio</x:v>
      </x:c>
      <x:c r="D942" s="12" t="str">
        <x:v>request</x:v>
      </x:c>
      <x:c r="E942" s="12" t="str">
        <x:v>audio_output</x:v>
      </x:c>
      <x:c r="F942" s="15" t="n">
        <x:v>6</x:v>
      </x:c>
      <x:c r="G942" s="17" t="n">
        <x:v>0.002</x:v>
      </x:c>
      <x:c r="H942" s="15" t="n">
        <x:f>F942*G942</x:f>
        <x:v>0.012</x:v>
      </x:c>
    </x:row>
    <x:row r="943" ht="34" customHeight="1">
      <x:c r="A943" s="7" t="str">
        <x:v>DP5-B</x:v>
      </x:c>
      <x:c r="B943" s="7" t="str">
        <x:v>U08</x:v>
      </x:c>
      <x:c r="C943" s="7" t="str">
        <x:v>intent_audio</x:v>
      </x:c>
      <x:c r="D943" s="7" t="str">
        <x:v>request</x:v>
      </x:c>
      <x:c r="E943" s="7" t="str">
        <x:v>text_input</x:v>
      </x:c>
      <x:c r="F943" s="16" t="n">
        <x:v>24</x:v>
      </x:c>
      <x:c r="G943" s="18" t="n">
        <x:v>0.000001</x:v>
      </x:c>
      <x:c r="H943" s="16" t="n">
        <x:f>F943*G943</x:f>
        <x:v>0.000024</x:v>
      </x:c>
    </x:row>
    <x:row r="944" ht="34" customHeight="1">
      <x:c r="A944" s="12" t="str">
        <x:v>DP5-B</x:v>
      </x:c>
      <x:c r="B944" s="12" t="str">
        <x:v>U08</x:v>
      </x:c>
      <x:c r="C944" s="12" t="str">
        <x:v>intent_audio</x:v>
      </x:c>
      <x:c r="D944" s="12" t="str">
        <x:v>request</x:v>
      </x:c>
      <x:c r="E944" s="12" t="str">
        <x:v>audio_output</x:v>
      </x:c>
      <x:c r="F944" s="15" t="n">
        <x:v>3</x:v>
      </x:c>
      <x:c r="G944" s="17" t="n">
        <x:v>0.002</x:v>
      </x:c>
      <x:c r="H944" s="15" t="n">
        <x:f>F944*G944</x:f>
        <x:v>0.006</x:v>
      </x:c>
    </x:row>
    <x:row r="945" ht="34" customHeight="1">
      <x:c r="A945" s="7" t="str">
        <x:v>DP5-B</x:v>
      </x:c>
      <x:c r="B945" s="7" t="str">
        <x:v>U09</x:v>
      </x:c>
      <x:c r="C945" s="7" t="str">
        <x:v>meaning</x:v>
      </x:c>
      <x:c r="D945" s="7" t="str">
        <x:v>request</x:v>
      </x:c>
      <x:c r="E945" s="7" t="str">
        <x:v>text_input</x:v>
      </x:c>
      <x:c r="F945" s="16" t="n">
        <x:v>600</x:v>
      </x:c>
      <x:c r="G945" s="18" t="n">
        <x:v>0.000001</x:v>
      </x:c>
      <x:c r="H945" s="16" t="n">
        <x:f>F945*G945</x:f>
        <x:v>0.0006</x:v>
      </x:c>
    </x:row>
    <x:row r="946" ht="34" customHeight="1">
      <x:c r="A946" s="12" t="str">
        <x:v>DP5-B</x:v>
      </x:c>
      <x:c r="B946" s="12" t="str">
        <x:v>U09</x:v>
      </x:c>
      <x:c r="C946" s="12" t="str">
        <x:v>meaning</x:v>
      </x:c>
      <x:c r="D946" s="12" t="str">
        <x:v>request</x:v>
      </x:c>
      <x:c r="E946" s="12" t="str">
        <x:v>text_output</x:v>
      </x:c>
      <x:c r="F946" s="15" t="n">
        <x:v>64</x:v>
      </x:c>
      <x:c r="G946" s="17" t="n">
        <x:v>0.000004</x:v>
      </x:c>
      <x:c r="H946" s="15" t="n">
        <x:f>F946*G946</x:f>
        <x:v>0.000256</x:v>
      </x:c>
    </x:row>
    <x:row r="947" ht="34" customHeight="1">
      <x:c r="A947" s="7" t="str">
        <x:v>DP5-B</x:v>
      </x:c>
      <x:c r="B947" s="7" t="str">
        <x:v>U09</x:v>
      </x:c>
      <x:c r="C947" s="7" t="str">
        <x:v>response_audio</x:v>
      </x:c>
      <x:c r="D947" s="7" t="str">
        <x:v>request</x:v>
      </x:c>
      <x:c r="E947" s="7" t="str">
        <x:v>text_input</x:v>
      </x:c>
      <x:c r="F947" s="16" t="n">
        <x:v>48</x:v>
      </x:c>
      <x:c r="G947" s="18" t="n">
        <x:v>0.000001</x:v>
      </x:c>
      <x:c r="H947" s="16" t="n">
        <x:f>F947*G947</x:f>
        <x:v>0.000048</x:v>
      </x:c>
    </x:row>
    <x:row r="948" ht="34" customHeight="1">
      <x:c r="A948" s="12" t="str">
        <x:v>DP5-B</x:v>
      </x:c>
      <x:c r="B948" s="12" t="str">
        <x:v>U09</x:v>
      </x:c>
      <x:c r="C948" s="12" t="str">
        <x:v>response_audio</x:v>
      </x:c>
      <x:c r="D948" s="12" t="str">
        <x:v>request</x:v>
      </x:c>
      <x:c r="E948" s="12" t="str">
        <x:v>audio_output</x:v>
      </x:c>
      <x:c r="F948" s="15" t="n">
        <x:v>6</x:v>
      </x:c>
      <x:c r="G948" s="17" t="n">
        <x:v>0.002</x:v>
      </x:c>
      <x:c r="H948" s="15" t="n">
        <x:f>F948*G948</x:f>
        <x:v>0.012</x:v>
      </x:c>
    </x:row>
    <x:row r="949" ht="34" customHeight="1">
      <x:c r="A949" s="7" t="str">
        <x:v>DP5-B</x:v>
      </x:c>
      <x:c r="B949" s="7" t="str">
        <x:v>U09</x:v>
      </x:c>
      <x:c r="C949" s="7" t="str">
        <x:v>intent_audio</x:v>
      </x:c>
      <x:c r="D949" s="7" t="str">
        <x:v>request</x:v>
      </x:c>
      <x:c r="E949" s="7" t="str">
        <x:v>text_input</x:v>
      </x:c>
      <x:c r="F949" s="16" t="n">
        <x:v>24</x:v>
      </x:c>
      <x:c r="G949" s="18" t="n">
        <x:v>0.000001</x:v>
      </x:c>
      <x:c r="H949" s="16" t="n">
        <x:f>F949*G949</x:f>
        <x:v>0.000024</x:v>
      </x:c>
    </x:row>
    <x:row r="950" ht="34" customHeight="1">
      <x:c r="A950" s="12" t="str">
        <x:v>DP5-B</x:v>
      </x:c>
      <x:c r="B950" s="12" t="str">
        <x:v>U09</x:v>
      </x:c>
      <x:c r="C950" s="12" t="str">
        <x:v>intent_audio</x:v>
      </x:c>
      <x:c r="D950" s="12" t="str">
        <x:v>request</x:v>
      </x:c>
      <x:c r="E950" s="12" t="str">
        <x:v>audio_output</x:v>
      </x:c>
      <x:c r="F950" s="15" t="n">
        <x:v>3</x:v>
      </x:c>
      <x:c r="G950" s="17" t="n">
        <x:v>0.002</x:v>
      </x:c>
      <x:c r="H950" s="15" t="n">
        <x:f>F950*G950</x:f>
        <x:v>0.006</x:v>
      </x:c>
    </x:row>
    <x:row r="951" ht="34" customHeight="1">
      <x:c r="A951" s="7" t="str">
        <x:v>DP5-B</x:v>
      </x:c>
      <x:c r="B951" s="7" t="str">
        <x:v>U09</x:v>
      </x:c>
      <x:c r="C951" s="7" t="str">
        <x:v>input_end</x:v>
      </x:c>
      <x:c r="D951" s="7" t="str">
        <x:v>input</x:v>
      </x:c>
      <x:c r="E951" s="7" t="str">
        <x:v>audio_input</x:v>
      </x:c>
      <x:c r="F951" s="16" t="n">
        <x:v>3</x:v>
      </x:c>
      <x:c r="G951" s="18" t="n">
        <x:v>0.001</x:v>
      </x:c>
      <x:c r="H951" s="16" t="n">
        <x:f>F951*G951</x:f>
        <x:v>0.003</x:v>
      </x:c>
    </x:row>
    <x:row r="952" ht="34" customHeight="1">
      <x:c r="A952" s="12" t="str">
        <x:v>DP5-B</x:v>
      </x:c>
      <x:c r="B952" s="12" t="str">
        <x:v>U10</x:v>
      </x:c>
      <x:c r="C952" s="12" t="str">
        <x:v>meaning</x:v>
      </x:c>
      <x:c r="D952" s="12" t="str">
        <x:v>request</x:v>
      </x:c>
      <x:c r="E952" s="12" t="str">
        <x:v>text_input</x:v>
      </x:c>
      <x:c r="F952" s="15" t="n">
        <x:v>2400</x:v>
      </x:c>
      <x:c r="G952" s="17" t="n">
        <x:v>0.000001</x:v>
      </x:c>
      <x:c r="H952" s="15" t="n">
        <x:f>F952*G952</x:f>
        <x:v>0.0024</x:v>
      </x:c>
    </x:row>
    <x:row r="953" ht="34" customHeight="1">
      <x:c r="A953" s="7" t="str">
        <x:v>DP5-B</x:v>
      </x:c>
      <x:c r="B953" s="7" t="str">
        <x:v>U10</x:v>
      </x:c>
      <x:c r="C953" s="7" t="str">
        <x:v>meaning</x:v>
      </x:c>
      <x:c r="D953" s="7" t="str">
        <x:v>request</x:v>
      </x:c>
      <x:c r="E953" s="7" t="str">
        <x:v>text_output</x:v>
      </x:c>
      <x:c r="F953" s="16" t="n">
        <x:v>64</x:v>
      </x:c>
      <x:c r="G953" s="18" t="n">
        <x:v>0.000004</x:v>
      </x:c>
      <x:c r="H953" s="16" t="n">
        <x:f>F953*G953</x:f>
        <x:v>0.000256</x:v>
      </x:c>
    </x:row>
    <x:row r="954" ht="34" customHeight="1">
      <x:c r="A954" s="12" t="str">
        <x:v>DP5-B</x:v>
      </x:c>
      <x:c r="B954" s="12" t="str">
        <x:v>U10</x:v>
      </x:c>
      <x:c r="C954" s="12" t="str">
        <x:v>response_audio</x:v>
      </x:c>
      <x:c r="D954" s="12" t="str">
        <x:v>request</x:v>
      </x:c>
      <x:c r="E954" s="12" t="str">
        <x:v>text_input</x:v>
      </x:c>
      <x:c r="F954" s="15" t="n">
        <x:v>48</x:v>
      </x:c>
      <x:c r="G954" s="17" t="n">
        <x:v>0.000001</x:v>
      </x:c>
      <x:c r="H954" s="15" t="n">
        <x:f>F954*G954</x:f>
        <x:v>0.000048</x:v>
      </x:c>
    </x:row>
    <x:row r="955" ht="34" customHeight="1">
      <x:c r="A955" s="7" t="str">
        <x:v>DP5-B</x:v>
      </x:c>
      <x:c r="B955" s="7" t="str">
        <x:v>U10</x:v>
      </x:c>
      <x:c r="C955" s="7" t="str">
        <x:v>response_audio</x:v>
      </x:c>
      <x:c r="D955" s="7" t="str">
        <x:v>request</x:v>
      </x:c>
      <x:c r="E955" s="7" t="str">
        <x:v>audio_output</x:v>
      </x:c>
      <x:c r="F955" s="16" t="n">
        <x:v>6</x:v>
      </x:c>
      <x:c r="G955" s="18" t="n">
        <x:v>0.002</x:v>
      </x:c>
      <x:c r="H955" s="16" t="n">
        <x:f>F955*G955</x:f>
        <x:v>0.012</x:v>
      </x:c>
    </x:row>
    <x:row r="956" ht="34" customHeight="1">
      <x:c r="A956" s="12" t="str">
        <x:v>DP5-B</x:v>
      </x:c>
      <x:c r="B956" s="12" t="str">
        <x:v>U10</x:v>
      </x:c>
      <x:c r="C956" s="12" t="str">
        <x:v>intent_audio</x:v>
      </x:c>
      <x:c r="D956" s="12" t="str">
        <x:v>request</x:v>
      </x:c>
      <x:c r="E956" s="12" t="str">
        <x:v>text_input</x:v>
      </x:c>
      <x:c r="F956" s="15" t="n">
        <x:v>24</x:v>
      </x:c>
      <x:c r="G956" s="17" t="n">
        <x:v>0.000001</x:v>
      </x:c>
      <x:c r="H956" s="15" t="n">
        <x:f>F956*G956</x:f>
        <x:v>0.000024</x:v>
      </x:c>
    </x:row>
    <x:row r="957" ht="34" customHeight="1">
      <x:c r="A957" s="7" t="str">
        <x:v>DP5-B</x:v>
      </x:c>
      <x:c r="B957" s="7" t="str">
        <x:v>U10</x:v>
      </x:c>
      <x:c r="C957" s="7" t="str">
        <x:v>intent_audio</x:v>
      </x:c>
      <x:c r="D957" s="7" t="str">
        <x:v>request</x:v>
      </x:c>
      <x:c r="E957" s="7" t="str">
        <x:v>audio_output</x:v>
      </x:c>
      <x:c r="F957" s="16" t="n">
        <x:v>3</x:v>
      </x:c>
      <x:c r="G957" s="18" t="n">
        <x:v>0.002</x:v>
      </x:c>
      <x:c r="H957" s="16" t="n">
        <x:f>F957*G957</x:f>
        <x:v>0.006</x:v>
      </x:c>
    </x:row>
    <x:row r="958" ht="34" customHeight="1">
      <x:c r="A958" s="12" t="str">
        <x:v>DP5-B</x:v>
      </x:c>
      <x:c r="B958" s="12" t="str">
        <x:v>U10</x:v>
      </x:c>
      <x:c r="C958" s="12" t="str">
        <x:v>input_end</x:v>
      </x:c>
      <x:c r="D958" s="12" t="str">
        <x:v>input</x:v>
      </x:c>
      <x:c r="E958" s="12" t="str">
        <x:v>audio_input</x:v>
      </x:c>
      <x:c r="F958" s="15" t="n">
        <x:v>3</x:v>
      </x:c>
      <x:c r="G958" s="17" t="n">
        <x:v>0.001</x:v>
      </x:c>
      <x:c r="H958" s="15" t="n">
        <x:f>F958*G958</x:f>
        <x:v>0.003</x:v>
      </x:c>
    </x:row>
    <x:row r="959" ht="34" customHeight="1">
      <x:c r="A959" s="7" t="str">
        <x:v>DP5-B</x:v>
      </x:c>
      <x:c r="B959" s="7" t="str">
        <x:v>U11</x:v>
      </x:c>
      <x:c r="C959" s="7" t="str">
        <x:v>meaning</x:v>
      </x:c>
      <x:c r="D959" s="7" t="str">
        <x:v>request</x:v>
      </x:c>
      <x:c r="E959" s="7" t="str">
        <x:v>text_input</x:v>
      </x:c>
      <x:c r="F959" s="16" t="n">
        <x:v>4200</x:v>
      </x:c>
      <x:c r="G959" s="18" t="n">
        <x:v>0.000001</x:v>
      </x:c>
      <x:c r="H959" s="16" t="n">
        <x:f>F959*G959</x:f>
        <x:v>0.0042</x:v>
      </x:c>
    </x:row>
    <x:row r="960" ht="34" customHeight="1">
      <x:c r="A960" s="12" t="str">
        <x:v>DP5-B</x:v>
      </x:c>
      <x:c r="B960" s="12" t="str">
        <x:v>U11</x:v>
      </x:c>
      <x:c r="C960" s="12" t="str">
        <x:v>meaning</x:v>
      </x:c>
      <x:c r="D960" s="12" t="str">
        <x:v>request</x:v>
      </x:c>
      <x:c r="E960" s="12" t="str">
        <x:v>text_output</x:v>
      </x:c>
      <x:c r="F960" s="15" t="n">
        <x:v>64</x:v>
      </x:c>
      <x:c r="G960" s="17" t="n">
        <x:v>0.000004</x:v>
      </x:c>
      <x:c r="H960" s="15" t="n">
        <x:f>F960*G960</x:f>
        <x:v>0.000256</x:v>
      </x:c>
    </x:row>
    <x:row r="961" ht="34" customHeight="1">
      <x:c r="A961" s="7" t="str">
        <x:v>DP5-B</x:v>
      </x:c>
      <x:c r="B961" s="7" t="str">
        <x:v>U11</x:v>
      </x:c>
      <x:c r="C961" s="7" t="str">
        <x:v>response_audio</x:v>
      </x:c>
      <x:c r="D961" s="7" t="str">
        <x:v>request</x:v>
      </x:c>
      <x:c r="E961" s="7" t="str">
        <x:v>text_input</x:v>
      </x:c>
      <x:c r="F961" s="16" t="n">
        <x:v>48</x:v>
      </x:c>
      <x:c r="G961" s="18" t="n">
        <x:v>0.000001</x:v>
      </x:c>
      <x:c r="H961" s="16" t="n">
        <x:f>F961*G961</x:f>
        <x:v>0.000048</x:v>
      </x:c>
    </x:row>
    <x:row r="962" ht="34" customHeight="1">
      <x:c r="A962" s="12" t="str">
        <x:v>DP5-B</x:v>
      </x:c>
      <x:c r="B962" s="12" t="str">
        <x:v>U11</x:v>
      </x:c>
      <x:c r="C962" s="12" t="str">
        <x:v>response_audio</x:v>
      </x:c>
      <x:c r="D962" s="12" t="str">
        <x:v>request</x:v>
      </x:c>
      <x:c r="E962" s="12" t="str">
        <x:v>audio_output</x:v>
      </x:c>
      <x:c r="F962" s="15" t="n">
        <x:v>6</x:v>
      </x:c>
      <x:c r="G962" s="17" t="n">
        <x:v>0.002</x:v>
      </x:c>
      <x:c r="H962" s="15" t="n">
        <x:f>F962*G962</x:f>
        <x:v>0.012</x:v>
      </x:c>
    </x:row>
    <x:row r="963" ht="34" customHeight="1">
      <x:c r="A963" s="7" t="str">
        <x:v>DP5-B</x:v>
      </x:c>
      <x:c r="B963" s="7" t="str">
        <x:v>U11</x:v>
      </x:c>
      <x:c r="C963" s="7" t="str">
        <x:v>intent_audio</x:v>
      </x:c>
      <x:c r="D963" s="7" t="str">
        <x:v>request</x:v>
      </x:c>
      <x:c r="E963" s="7" t="str">
        <x:v>text_input</x:v>
      </x:c>
      <x:c r="F963" s="16" t="n">
        <x:v>24</x:v>
      </x:c>
      <x:c r="G963" s="18" t="n">
        <x:v>0.000001</x:v>
      </x:c>
      <x:c r="H963" s="16" t="n">
        <x:f>F963*G963</x:f>
        <x:v>0.000024</x:v>
      </x:c>
    </x:row>
    <x:row r="964" ht="34" customHeight="1">
      <x:c r="A964" s="12" t="str">
        <x:v>DP5-B</x:v>
      </x:c>
      <x:c r="B964" s="12" t="str">
        <x:v>U11</x:v>
      </x:c>
      <x:c r="C964" s="12" t="str">
        <x:v>intent_audio</x:v>
      </x:c>
      <x:c r="D964" s="12" t="str">
        <x:v>request</x:v>
      </x:c>
      <x:c r="E964" s="12" t="str">
        <x:v>audio_output</x:v>
      </x:c>
      <x:c r="F964" s="15" t="n">
        <x:v>3</x:v>
      </x:c>
      <x:c r="G964" s="17" t="n">
        <x:v>0.002</x:v>
      </x:c>
      <x:c r="H964" s="15" t="n">
        <x:f>F964*G964</x:f>
        <x:v>0.006</x:v>
      </x:c>
    </x:row>
    <x:row r="965" ht="34" customHeight="1">
      <x:c r="A965" s="7" t="str">
        <x:v>DP5-B</x:v>
      </x:c>
      <x:c r="B965" s="7" t="str">
        <x:v>U11</x:v>
      </x:c>
      <x:c r="C965" s="7" t="str">
        <x:v>input_end</x:v>
      </x:c>
      <x:c r="D965" s="7" t="str">
        <x:v>input</x:v>
      </x:c>
      <x:c r="E965" s="7" t="str">
        <x:v>audio_input</x:v>
      </x:c>
      <x:c r="F965" s="16" t="n">
        <x:v>3</x:v>
      </x:c>
      <x:c r="G965" s="18" t="n">
        <x:v>0.001</x:v>
      </x:c>
      <x:c r="H965" s="16" t="n">
        <x:f>F965*G965</x:f>
        <x:v>0.003</x:v>
      </x:c>
    </x:row>
    <x:row r="966" ht="34" customHeight="1">
      <x:c r="A966" s="12" t="str">
        <x:v>DP5-B</x:v>
      </x:c>
      <x:c r="B966" s="12" t="str">
        <x:v>U12</x:v>
      </x:c>
      <x:c r="C966" s="12" t="str">
        <x:v>pre_raw</x:v>
      </x:c>
      <x:c r="D966" s="12" t="str">
        <x:v>preparation</x:v>
      </x:c>
      <x:c r="E966" s="12" t="str">
        <x:v>text_input</x:v>
      </x:c>
      <x:c r="F966" s="15" t="n">
        <x:v>2400</x:v>
      </x:c>
      <x:c r="G966" s="17" t="n">
        <x:v>0.000001</x:v>
      </x:c>
      <x:c r="H966" s="15" t="n">
        <x:f>F966*G966</x:f>
        <x:v>0.0024</x:v>
      </x:c>
    </x:row>
    <x:row r="967" ht="34" customHeight="1">
      <x:c r="A967" s="7" t="str">
        <x:v>DP5-B</x:v>
      </x:c>
      <x:c r="B967" s="7" t="str">
        <x:v>U12</x:v>
      </x:c>
      <x:c r="C967" s="7" t="str">
        <x:v>pre_raw</x:v>
      </x:c>
      <x:c r="D967" s="7" t="str">
        <x:v>preparation</x:v>
      </x:c>
      <x:c r="E967" s="7" t="str">
        <x:v>text_output</x:v>
      </x:c>
      <x:c r="F967" s="16" t="n">
        <x:v>64</x:v>
      </x:c>
      <x:c r="G967" s="18" t="n">
        <x:v>0.000004</x:v>
      </x:c>
      <x:c r="H967" s="16" t="n">
        <x:f>F967*G967</x:f>
        <x:v>0.000256</x:v>
      </x:c>
    </x:row>
    <x:row r="968" ht="34" customHeight="1">
      <x:c r="A968" s="12" t="str">
        <x:v>DP5-B</x:v>
      </x:c>
      <x:c r="B968" s="12" t="str">
        <x:v>U12</x:v>
      </x:c>
      <x:c r="C968" s="12" t="str">
        <x:v>meaning</x:v>
      </x:c>
      <x:c r="D968" s="12" t="str">
        <x:v>request</x:v>
      </x:c>
      <x:c r="E968" s="12" t="str">
        <x:v>text_input</x:v>
      </x:c>
      <x:c r="F968" s="15" t="n">
        <x:v>600</x:v>
      </x:c>
      <x:c r="G968" s="17" t="n">
        <x:v>0.000001</x:v>
      </x:c>
      <x:c r="H968" s="15" t="n">
        <x:f>F968*G968</x:f>
        <x:v>0.0006</x:v>
      </x:c>
    </x:row>
    <x:row r="969" ht="34" customHeight="1">
      <x:c r="A969" s="7" t="str">
        <x:v>DP5-B</x:v>
      </x:c>
      <x:c r="B969" s="7" t="str">
        <x:v>U12</x:v>
      </x:c>
      <x:c r="C969" s="7" t="str">
        <x:v>meaning</x:v>
      </x:c>
      <x:c r="D969" s="7" t="str">
        <x:v>request</x:v>
      </x:c>
      <x:c r="E969" s="7" t="str">
        <x:v>text_output</x:v>
      </x:c>
      <x:c r="F969" s="16" t="n">
        <x:v>64</x:v>
      </x:c>
      <x:c r="G969" s="18" t="n">
        <x:v>0.000004</x:v>
      </x:c>
      <x:c r="H969" s="16" t="n">
        <x:f>F969*G969</x:f>
        <x:v>0.000256</x:v>
      </x:c>
    </x:row>
    <x:row r="970" ht="34" customHeight="1">
      <x:c r="A970" s="12" t="str">
        <x:v>DP5-B</x:v>
      </x:c>
      <x:c r="B970" s="12" t="str">
        <x:v>U12</x:v>
      </x:c>
      <x:c r="C970" s="12" t="str">
        <x:v>response_audio</x:v>
      </x:c>
      <x:c r="D970" s="12" t="str">
        <x:v>request</x:v>
      </x:c>
      <x:c r="E970" s="12" t="str">
        <x:v>text_input</x:v>
      </x:c>
      <x:c r="F970" s="15" t="n">
        <x:v>48</x:v>
      </x:c>
      <x:c r="G970" s="17" t="n">
        <x:v>0.000001</x:v>
      </x:c>
      <x:c r="H970" s="15" t="n">
        <x:f>F970*G970</x:f>
        <x:v>0.000048</x:v>
      </x:c>
    </x:row>
    <x:row r="971" ht="34" customHeight="1">
      <x:c r="A971" s="7" t="str">
        <x:v>DP5-B</x:v>
      </x:c>
      <x:c r="B971" s="7" t="str">
        <x:v>U12</x:v>
      </x:c>
      <x:c r="C971" s="7" t="str">
        <x:v>response_audio</x:v>
      </x:c>
      <x:c r="D971" s="7" t="str">
        <x:v>request</x:v>
      </x:c>
      <x:c r="E971" s="7" t="str">
        <x:v>audio_output</x:v>
      </x:c>
      <x:c r="F971" s="16" t="n">
        <x:v>6</x:v>
      </x:c>
      <x:c r="G971" s="18" t="n">
        <x:v>0.002</x:v>
      </x:c>
      <x:c r="H971" s="16" t="n">
        <x:f>F971*G971</x:f>
        <x:v>0.012</x:v>
      </x:c>
    </x:row>
    <x:row r="972" ht="34" customHeight="1">
      <x:c r="A972" s="12" t="str">
        <x:v>DP5-B</x:v>
      </x:c>
      <x:c r="B972" s="12" t="str">
        <x:v>U12</x:v>
      </x:c>
      <x:c r="C972" s="12" t="str">
        <x:v>intent_audio</x:v>
      </x:c>
      <x:c r="D972" s="12" t="str">
        <x:v>request</x:v>
      </x:c>
      <x:c r="E972" s="12" t="str">
        <x:v>text_input</x:v>
      </x:c>
      <x:c r="F972" s="15" t="n">
        <x:v>24</x:v>
      </x:c>
      <x:c r="G972" s="17" t="n">
        <x:v>0.000001</x:v>
      </x:c>
      <x:c r="H972" s="15" t="n">
        <x:f>F972*G972</x:f>
        <x:v>0.000024</x:v>
      </x:c>
    </x:row>
    <x:row r="973" ht="34" customHeight="1">
      <x:c r="A973" s="7" t="str">
        <x:v>DP5-B</x:v>
      </x:c>
      <x:c r="B973" s="7" t="str">
        <x:v>U12</x:v>
      </x:c>
      <x:c r="C973" s="7" t="str">
        <x:v>intent_audio</x:v>
      </x:c>
      <x:c r="D973" s="7" t="str">
        <x:v>request</x:v>
      </x:c>
      <x:c r="E973" s="7" t="str">
        <x:v>audio_output</x:v>
      </x:c>
      <x:c r="F973" s="16" t="n">
        <x:v>3</x:v>
      </x:c>
      <x:c r="G973" s="18" t="n">
        <x:v>0.002</x:v>
      </x:c>
      <x:c r="H973" s="16" t="n">
        <x:f>F973*G973</x:f>
        <x:v>0.006</x:v>
      </x:c>
    </x:row>
    <x:row r="974" ht="34" customHeight="1">
      <x:c r="A974" s="12" t="str">
        <x:v>DP5-B</x:v>
      </x:c>
      <x:c r="B974" s="12" t="str">
        <x:v>U12</x:v>
      </x:c>
      <x:c r="C974" s="12" t="str">
        <x:v>input_end</x:v>
      </x:c>
      <x:c r="D974" s="12" t="str">
        <x:v>input</x:v>
      </x:c>
      <x:c r="E974" s="12" t="str">
        <x:v>audio_input</x:v>
      </x:c>
      <x:c r="F974" s="15" t="n">
        <x:v>3</x:v>
      </x:c>
      <x:c r="G974" s="17" t="n">
        <x:v>0.001</x:v>
      </x:c>
      <x:c r="H974" s="15" t="n">
        <x:f>F974*G974</x:f>
        <x:v>0.003</x:v>
      </x:c>
    </x:row>
    <x:row r="975" ht="34" customHeight="1">
      <x:c r="A975" s="7" t="str">
        <x:v>DP5-B</x:v>
      </x:c>
      <x:c r="B975" s="7" t="str">
        <x:v>U13</x:v>
      </x:c>
      <x:c r="C975" s="7" t="str">
        <x:v>meaning</x:v>
      </x:c>
      <x:c r="D975" s="7" t="str">
        <x:v>request</x:v>
      </x:c>
      <x:c r="E975" s="7" t="str">
        <x:v>text_input</x:v>
      </x:c>
      <x:c r="F975" s="16" t="n">
        <x:v>600</x:v>
      </x:c>
      <x:c r="G975" s="18" t="n">
        <x:v>0.000001</x:v>
      </x:c>
      <x:c r="H975" s="16" t="n">
        <x:f>F975*G975</x:f>
        <x:v>0.0006</x:v>
      </x:c>
    </x:row>
    <x:row r="976" ht="34" customHeight="1">
      <x:c r="A976" s="12" t="str">
        <x:v>DP5-B</x:v>
      </x:c>
      <x:c r="B976" s="12" t="str">
        <x:v>U13</x:v>
      </x:c>
      <x:c r="C976" s="12" t="str">
        <x:v>meaning</x:v>
      </x:c>
      <x:c r="D976" s="12" t="str">
        <x:v>request</x:v>
      </x:c>
      <x:c r="E976" s="12" t="str">
        <x:v>text_output</x:v>
      </x:c>
      <x:c r="F976" s="15" t="n">
        <x:v>64</x:v>
      </x:c>
      <x:c r="G976" s="17" t="n">
        <x:v>0.000004</x:v>
      </x:c>
      <x:c r="H976" s="15" t="n">
        <x:f>F976*G976</x:f>
        <x:v>0.000256</x:v>
      </x:c>
    </x:row>
    <x:row r="977" ht="34" customHeight="1">
      <x:c r="A977" s="7" t="str">
        <x:v>DP5-B</x:v>
      </x:c>
      <x:c r="B977" s="7" t="str">
        <x:v>U13</x:v>
      </x:c>
      <x:c r="C977" s="7" t="str">
        <x:v>response_audio</x:v>
      </x:c>
      <x:c r="D977" s="7" t="str">
        <x:v>request</x:v>
      </x:c>
      <x:c r="E977" s="7" t="str">
        <x:v>text_input</x:v>
      </x:c>
      <x:c r="F977" s="16" t="n">
        <x:v>48</x:v>
      </x:c>
      <x:c r="G977" s="18" t="n">
        <x:v>0.000001</x:v>
      </x:c>
      <x:c r="H977" s="16" t="n">
        <x:f>F977*G977</x:f>
        <x:v>0.000048</x:v>
      </x:c>
    </x:row>
    <x:row r="978" ht="34" customHeight="1">
      <x:c r="A978" s="12" t="str">
        <x:v>DP5-B</x:v>
      </x:c>
      <x:c r="B978" s="12" t="str">
        <x:v>U13</x:v>
      </x:c>
      <x:c r="C978" s="12" t="str">
        <x:v>response_audio</x:v>
      </x:c>
      <x:c r="D978" s="12" t="str">
        <x:v>request</x:v>
      </x:c>
      <x:c r="E978" s="12" t="str">
        <x:v>audio_output</x:v>
      </x:c>
      <x:c r="F978" s="15" t="n">
        <x:v>6</x:v>
      </x:c>
      <x:c r="G978" s="17" t="n">
        <x:v>0.002</x:v>
      </x:c>
      <x:c r="H978" s="15" t="n">
        <x:f>F978*G978</x:f>
        <x:v>0.012</x:v>
      </x:c>
    </x:row>
    <x:row r="979" ht="34" customHeight="1">
      <x:c r="A979" s="7" t="str">
        <x:v>DP5-B</x:v>
      </x:c>
      <x:c r="B979" s="7" t="str">
        <x:v>U13</x:v>
      </x:c>
      <x:c r="C979" s="7" t="str">
        <x:v>intent_audio</x:v>
      </x:c>
      <x:c r="D979" s="7" t="str">
        <x:v>request</x:v>
      </x:c>
      <x:c r="E979" s="7" t="str">
        <x:v>text_input</x:v>
      </x:c>
      <x:c r="F979" s="16" t="n">
        <x:v>24</x:v>
      </x:c>
      <x:c r="G979" s="18" t="n">
        <x:v>0.000001</x:v>
      </x:c>
      <x:c r="H979" s="16" t="n">
        <x:f>F979*G979</x:f>
        <x:v>0.000024</x:v>
      </x:c>
    </x:row>
    <x:row r="980" ht="34" customHeight="1">
      <x:c r="A980" s="12" t="str">
        <x:v>DP5-B</x:v>
      </x:c>
      <x:c r="B980" s="12" t="str">
        <x:v>U13</x:v>
      </x:c>
      <x:c r="C980" s="12" t="str">
        <x:v>intent_audio</x:v>
      </x:c>
      <x:c r="D980" s="12" t="str">
        <x:v>request</x:v>
      </x:c>
      <x:c r="E980" s="12" t="str">
        <x:v>audio_output</x:v>
      </x:c>
      <x:c r="F980" s="15" t="n">
        <x:v>3</x:v>
      </x:c>
      <x:c r="G980" s="17" t="n">
        <x:v>0.002</x:v>
      </x:c>
      <x:c r="H980" s="15" t="n">
        <x:f>F980*G980</x:f>
        <x:v>0.006</x:v>
      </x:c>
    </x:row>
    <x:row r="981" ht="34" customHeight="1">
      <x:c r="A981" s="7" t="str">
        <x:v>DP5-B</x:v>
      </x:c>
      <x:c r="B981" s="7" t="str">
        <x:v>U14</x:v>
      </x:c>
      <x:c r="C981" s="7" t="str">
        <x:v>relation_prior</x:v>
      </x:c>
      <x:c r="D981" s="7" t="str">
        <x:v>preparation</x:v>
      </x:c>
      <x:c r="E981" s="7" t="str">
        <x:v>text_input</x:v>
      </x:c>
      <x:c r="F981" s="16" t="n">
        <x:v>1800</x:v>
      </x:c>
      <x:c r="G981" s="18" t="n">
        <x:v>0.000001</x:v>
      </x:c>
      <x:c r="H981" s="16" t="n">
        <x:f>F981*G981</x:f>
        <x:v>0.0018</x:v>
      </x:c>
    </x:row>
    <x:row r="982" ht="34" customHeight="1">
      <x:c r="A982" s="12" t="str">
        <x:v>DP5-B</x:v>
      </x:c>
      <x:c r="B982" s="12" t="str">
        <x:v>U14</x:v>
      </x:c>
      <x:c r="C982" s="12" t="str">
        <x:v>relation_prior</x:v>
      </x:c>
      <x:c r="D982" s="12" t="str">
        <x:v>preparation</x:v>
      </x:c>
      <x:c r="E982" s="12" t="str">
        <x:v>text_output</x:v>
      </x:c>
      <x:c r="F982" s="15" t="n">
        <x:v>120</x:v>
      </x:c>
      <x:c r="G982" s="17" t="n">
        <x:v>0.000004</x:v>
      </x:c>
      <x:c r="H982" s="15" t="n">
        <x:f>F982*G982</x:f>
        <x:v>0.00047999999999999996</x:v>
      </x:c>
    </x:row>
    <x:row r="983" ht="34" customHeight="1">
      <x:c r="A983" s="7" t="str">
        <x:v>DP5-B</x:v>
      </x:c>
      <x:c r="B983" s="7" t="str">
        <x:v>U14</x:v>
      </x:c>
      <x:c r="C983" s="7" t="str">
        <x:v>relation_unused</x:v>
      </x:c>
      <x:c r="D983" s="7" t="str">
        <x:v>preparation</x:v>
      </x:c>
      <x:c r="E983" s="7" t="str">
        <x:v>text_input</x:v>
      </x:c>
      <x:c r="F983" s="16" t="n">
        <x:v>1800</x:v>
      </x:c>
      <x:c r="G983" s="18" t="n">
        <x:v>0.000001</x:v>
      </x:c>
      <x:c r="H983" s="16" t="n">
        <x:f>F983*G983</x:f>
        <x:v>0.0018</x:v>
      </x:c>
    </x:row>
    <x:row r="984" ht="34" customHeight="1">
      <x:c r="A984" s="12" t="str">
        <x:v>DP5-B</x:v>
      </x:c>
      <x:c r="B984" s="12" t="str">
        <x:v>U14</x:v>
      </x:c>
      <x:c r="C984" s="12" t="str">
        <x:v>relation_unused</x:v>
      </x:c>
      <x:c r="D984" s="12" t="str">
        <x:v>preparation</x:v>
      </x:c>
      <x:c r="E984" s="12" t="str">
        <x:v>text_output</x:v>
      </x:c>
      <x:c r="F984" s="15" t="n">
        <x:v>120</x:v>
      </x:c>
      <x:c r="G984" s="17" t="n">
        <x:v>0.000004</x:v>
      </x:c>
      <x:c r="H984" s="15" t="n">
        <x:f>F984*G984</x:f>
        <x:v>0.00047999999999999996</x:v>
      </x:c>
    </x:row>
    <x:row r="985" ht="34" customHeight="1">
      <x:c r="A985" s="7" t="str">
        <x:v>DP5-B</x:v>
      </x:c>
      <x:c r="B985" s="7" t="str">
        <x:v>U14</x:v>
      </x:c>
      <x:c r="C985" s="7" t="str">
        <x:v>meaning</x:v>
      </x:c>
      <x:c r="D985" s="7" t="str">
        <x:v>request</x:v>
      </x:c>
      <x:c r="E985" s="7" t="str">
        <x:v>text_input</x:v>
      </x:c>
      <x:c r="F985" s="16" t="n">
        <x:v>960</x:v>
      </x:c>
      <x:c r="G985" s="18" t="n">
        <x:v>0.000001</x:v>
      </x:c>
      <x:c r="H985" s="16" t="n">
        <x:f>F985*G985</x:f>
        <x:v>0.0009599999999999999</x:v>
      </x:c>
    </x:row>
    <x:row r="986" ht="34" customHeight="1">
      <x:c r="A986" s="12" t="str">
        <x:v>DP5-B</x:v>
      </x:c>
      <x:c r="B986" s="12" t="str">
        <x:v>U14</x:v>
      </x:c>
      <x:c r="C986" s="12" t="str">
        <x:v>meaning</x:v>
      </x:c>
      <x:c r="D986" s="12" t="str">
        <x:v>request</x:v>
      </x:c>
      <x:c r="E986" s="12" t="str">
        <x:v>text_output</x:v>
      </x:c>
      <x:c r="F986" s="15" t="n">
        <x:v>64</x:v>
      </x:c>
      <x:c r="G986" s="17" t="n">
        <x:v>0.000004</x:v>
      </x:c>
      <x:c r="H986" s="15" t="n">
        <x:f>F986*G986</x:f>
        <x:v>0.000256</x:v>
      </x:c>
    </x:row>
    <x:row r="987" ht="34" customHeight="1">
      <x:c r="A987" s="7" t="str">
        <x:v>DP5-B</x:v>
      </x:c>
      <x:c r="B987" s="7" t="str">
        <x:v>U14</x:v>
      </x:c>
      <x:c r="C987" s="7" t="str">
        <x:v>response_audio</x:v>
      </x:c>
      <x:c r="D987" s="7" t="str">
        <x:v>request</x:v>
      </x:c>
      <x:c r="E987" s="7" t="str">
        <x:v>text_input</x:v>
      </x:c>
      <x:c r="F987" s="16" t="n">
        <x:v>48</x:v>
      </x:c>
      <x:c r="G987" s="18" t="n">
        <x:v>0.000001</x:v>
      </x:c>
      <x:c r="H987" s="16" t="n">
        <x:f>F987*G987</x:f>
        <x:v>0.000048</x:v>
      </x:c>
    </x:row>
    <x:row r="988" ht="34" customHeight="1">
      <x:c r="A988" s="12" t="str">
        <x:v>DP5-B</x:v>
      </x:c>
      <x:c r="B988" s="12" t="str">
        <x:v>U14</x:v>
      </x:c>
      <x:c r="C988" s="12" t="str">
        <x:v>response_audio</x:v>
      </x:c>
      <x:c r="D988" s="12" t="str">
        <x:v>request</x:v>
      </x:c>
      <x:c r="E988" s="12" t="str">
        <x:v>audio_output</x:v>
      </x:c>
      <x:c r="F988" s="15" t="n">
        <x:v>6</x:v>
      </x:c>
      <x:c r="G988" s="17" t="n">
        <x:v>0.002</x:v>
      </x:c>
      <x:c r="H988" s="15" t="n">
        <x:f>F988*G988</x:f>
        <x:v>0.012</x:v>
      </x:c>
    </x:row>
    <x:row r="989" ht="34" customHeight="1">
      <x:c r="A989" s="7" t="str">
        <x:v>DP5-B</x:v>
      </x:c>
      <x:c r="B989" s="7" t="str">
        <x:v>U14</x:v>
      </x:c>
      <x:c r="C989" s="7" t="str">
        <x:v>intent_audio</x:v>
      </x:c>
      <x:c r="D989" s="7" t="str">
        <x:v>request</x:v>
      </x:c>
      <x:c r="E989" s="7" t="str">
        <x:v>text_input</x:v>
      </x:c>
      <x:c r="F989" s="16" t="n">
        <x:v>24</x:v>
      </x:c>
      <x:c r="G989" s="18" t="n">
        <x:v>0.000001</x:v>
      </x:c>
      <x:c r="H989" s="16" t="n">
        <x:f>F989*G989</x:f>
        <x:v>0.000024</x:v>
      </x:c>
    </x:row>
    <x:row r="990" ht="34" customHeight="1">
      <x:c r="A990" s="12" t="str">
        <x:v>DP5-B</x:v>
      </x:c>
      <x:c r="B990" s="12" t="str">
        <x:v>U14</x:v>
      </x:c>
      <x:c r="C990" s="12" t="str">
        <x:v>intent_audio</x:v>
      </x:c>
      <x:c r="D990" s="12" t="str">
        <x:v>request</x:v>
      </x:c>
      <x:c r="E990" s="12" t="str">
        <x:v>audio_output</x:v>
      </x:c>
      <x:c r="F990" s="15" t="n">
        <x:v>3</x:v>
      </x:c>
      <x:c r="G990" s="17" t="n">
        <x:v>0.002</x:v>
      </x:c>
      <x:c r="H990" s="15" t="n">
        <x:f>F990*G990</x:f>
        <x:v>0.006</x:v>
      </x:c>
    </x:row>
    <x:row r="991" ht="34" customHeight="1">
      <x:c r="A991" s="7" t="str">
        <x:v>DP5-B</x:v>
      </x:c>
      <x:c r="B991" s="7" t="str">
        <x:v>U14</x:v>
      </x:c>
      <x:c r="C991" s="7" t="str">
        <x:v>input_end</x:v>
      </x:c>
      <x:c r="D991" s="7" t="str">
        <x:v>input</x:v>
      </x:c>
      <x:c r="E991" s="7" t="str">
        <x:v>audio_input</x:v>
      </x:c>
      <x:c r="F991" s="16" t="n">
        <x:v>3</x:v>
      </x:c>
      <x:c r="G991" s="18" t="n">
        <x:v>0.001</x:v>
      </x:c>
      <x:c r="H991" s="16" t="n">
        <x:f>F991*G991</x:f>
        <x:v>0.003</x:v>
      </x:c>
    </x:row>
    <x:row r="992" ht="34" customHeight="1">
      <x:c r="A992" s="12" t="str">
        <x:v>DP5-B</x:v>
      </x:c>
      <x:c r="B992" s="12" t="str">
        <x:v>U15</x:v>
      </x:c>
      <x:c r="C992" s="12" t="str">
        <x:v>meaning</x:v>
      </x:c>
      <x:c r="D992" s="12" t="str">
        <x:v>request</x:v>
      </x:c>
      <x:c r="E992" s="12" t="str">
        <x:v>text_input</x:v>
      </x:c>
      <x:c r="F992" s="15" t="n">
        <x:v>600</x:v>
      </x:c>
      <x:c r="G992" s="17" t="n">
        <x:v>0.000001</x:v>
      </x:c>
      <x:c r="H992" s="15" t="n">
        <x:f>F992*G992</x:f>
        <x:v>0.0006</x:v>
      </x:c>
    </x:row>
    <x:row r="993" ht="34" customHeight="1">
      <x:c r="A993" s="7" t="str">
        <x:v>DP5-B</x:v>
      </x:c>
      <x:c r="B993" s="7" t="str">
        <x:v>U15</x:v>
      </x:c>
      <x:c r="C993" s="7" t="str">
        <x:v>meaning</x:v>
      </x:c>
      <x:c r="D993" s="7" t="str">
        <x:v>request</x:v>
      </x:c>
      <x:c r="E993" s="7" t="str">
        <x:v>text_output</x:v>
      </x:c>
      <x:c r="F993" s="16" t="n">
        <x:v>64</x:v>
      </x:c>
      <x:c r="G993" s="18" t="n">
        <x:v>0.000004</x:v>
      </x:c>
      <x:c r="H993" s="16" t="n">
        <x:f>F993*G993</x:f>
        <x:v>0.000256</x:v>
      </x:c>
    </x:row>
    <x:row r="994" ht="34" customHeight="1">
      <x:c r="A994" s="12" t="str">
        <x:v>DP5-B</x:v>
      </x:c>
      <x:c r="B994" s="12" t="str">
        <x:v>U15</x:v>
      </x:c>
      <x:c r="C994" s="12" t="str">
        <x:v>response_audio</x:v>
      </x:c>
      <x:c r="D994" s="12" t="str">
        <x:v>request</x:v>
      </x:c>
      <x:c r="E994" s="12" t="str">
        <x:v>text_input</x:v>
      </x:c>
      <x:c r="F994" s="15" t="n">
        <x:v>48</x:v>
      </x:c>
      <x:c r="G994" s="17" t="n">
        <x:v>0.000001</x:v>
      </x:c>
      <x:c r="H994" s="15" t="n">
        <x:f>F994*G994</x:f>
        <x:v>0.000048</x:v>
      </x:c>
    </x:row>
    <x:row r="995" ht="34" customHeight="1">
      <x:c r="A995" s="7" t="str">
        <x:v>DP5-B</x:v>
      </x:c>
      <x:c r="B995" s="7" t="str">
        <x:v>U15</x:v>
      </x:c>
      <x:c r="C995" s="7" t="str">
        <x:v>response_audio</x:v>
      </x:c>
      <x:c r="D995" s="7" t="str">
        <x:v>request</x:v>
      </x:c>
      <x:c r="E995" s="7" t="str">
        <x:v>audio_output</x:v>
      </x:c>
      <x:c r="F995" s="16" t="n">
        <x:v>6</x:v>
      </x:c>
      <x:c r="G995" s="18" t="n">
        <x:v>0.002</x:v>
      </x:c>
      <x:c r="H995" s="16" t="n">
        <x:f>F995*G995</x:f>
        <x:v>0.012</x:v>
      </x:c>
    </x:row>
    <x:row r="996" ht="34" customHeight="1">
      <x:c r="A996" s="12" t="str">
        <x:v>DP5-B</x:v>
      </x:c>
      <x:c r="B996" s="12" t="str">
        <x:v>U15</x:v>
      </x:c>
      <x:c r="C996" s="12" t="str">
        <x:v>intent_audio</x:v>
      </x:c>
      <x:c r="D996" s="12" t="str">
        <x:v>request</x:v>
      </x:c>
      <x:c r="E996" s="12" t="str">
        <x:v>text_input</x:v>
      </x:c>
      <x:c r="F996" s="15" t="n">
        <x:v>24</x:v>
      </x:c>
      <x:c r="G996" s="17" t="n">
        <x:v>0.000001</x:v>
      </x:c>
      <x:c r="H996" s="15" t="n">
        <x:f>F996*G996</x:f>
        <x:v>0.000024</x:v>
      </x:c>
    </x:row>
    <x:row r="997" ht="34" customHeight="1">
      <x:c r="A997" s="7" t="str">
        <x:v>DP5-B</x:v>
      </x:c>
      <x:c r="B997" s="7" t="str">
        <x:v>U15</x:v>
      </x:c>
      <x:c r="C997" s="7" t="str">
        <x:v>intent_audio</x:v>
      </x:c>
      <x:c r="D997" s="7" t="str">
        <x:v>request</x:v>
      </x:c>
      <x:c r="E997" s="7" t="str">
        <x:v>audio_output</x:v>
      </x:c>
      <x:c r="F997" s="16" t="n">
        <x:v>3</x:v>
      </x:c>
      <x:c r="G997" s="18" t="n">
        <x:v>0.002</x:v>
      </x:c>
      <x:c r="H997" s="16" t="n">
        <x:f>F997*G997</x:f>
        <x:v>0.006</x:v>
      </x:c>
    </x:row>
    <x:row r="998" ht="34" customHeight="1">
      <x:c r="A998" s="12" t="str">
        <x:v>DP5-B</x:v>
      </x:c>
      <x:c r="B998" s="12" t="str">
        <x:v>U16</x:v>
      </x:c>
      <x:c r="C998" s="12" t="str">
        <x:v>relation_prior</x:v>
      </x:c>
      <x:c r="D998" s="12" t="str">
        <x:v>preparation</x:v>
      </x:c>
      <x:c r="E998" s="12" t="str">
        <x:v>text_input</x:v>
      </x:c>
      <x:c r="F998" s="15" t="n">
        <x:v>1800</x:v>
      </x:c>
      <x:c r="G998" s="17" t="n">
        <x:v>0.000001</x:v>
      </x:c>
      <x:c r="H998" s="15" t="n">
        <x:f>F998*G998</x:f>
        <x:v>0.0018</x:v>
      </x:c>
    </x:row>
    <x:row r="999" ht="34" customHeight="1">
      <x:c r="A999" s="7" t="str">
        <x:v>DP5-B</x:v>
      </x:c>
      <x:c r="B999" s="7" t="str">
        <x:v>U16</x:v>
      </x:c>
      <x:c r="C999" s="7" t="str">
        <x:v>relation_prior</x:v>
      </x:c>
      <x:c r="D999" s="7" t="str">
        <x:v>preparation</x:v>
      </x:c>
      <x:c r="E999" s="7" t="str">
        <x:v>text_output</x:v>
      </x:c>
      <x:c r="F999" s="16" t="n">
        <x:v>120</x:v>
      </x:c>
      <x:c r="G999" s="18" t="n">
        <x:v>0.000004</x:v>
      </x:c>
      <x:c r="H999" s="16" t="n">
        <x:f>F999*G999</x:f>
        <x:v>0.00047999999999999996</x:v>
      </x:c>
    </x:row>
    <x:row r="1000" ht="34" customHeight="1">
      <x:c r="A1000" s="12" t="str">
        <x:v>DP5-B</x:v>
      </x:c>
      <x:c r="B1000" s="12" t="str">
        <x:v>U16</x:v>
      </x:c>
      <x:c r="C1000" s="12" t="str">
        <x:v>relation_unused</x:v>
      </x:c>
      <x:c r="D1000" s="12" t="str">
        <x:v>preparation</x:v>
      </x:c>
      <x:c r="E1000" s="12" t="str">
        <x:v>text_input</x:v>
      </x:c>
      <x:c r="F1000" s="15" t="n">
        <x:v>1800</x:v>
      </x:c>
      <x:c r="G1000" s="17" t="n">
        <x:v>0.000001</x:v>
      </x:c>
      <x:c r="H1000" s="15" t="n">
        <x:f>F1000*G1000</x:f>
        <x:v>0.0018</x:v>
      </x:c>
    </x:row>
    <x:row r="1001" ht="34" customHeight="1">
      <x:c r="A1001" s="7" t="str">
        <x:v>DP5-B</x:v>
      </x:c>
      <x:c r="B1001" s="7" t="str">
        <x:v>U16</x:v>
      </x:c>
      <x:c r="C1001" s="7" t="str">
        <x:v>relation_unused</x:v>
      </x:c>
      <x:c r="D1001" s="7" t="str">
        <x:v>preparation</x:v>
      </x:c>
      <x:c r="E1001" s="7" t="str">
        <x:v>text_output</x:v>
      </x:c>
      <x:c r="F1001" s="16" t="n">
        <x:v>120</x:v>
      </x:c>
      <x:c r="G1001" s="18" t="n">
        <x:v>0.000004</x:v>
      </x:c>
      <x:c r="H1001" s="16" t="n">
        <x:f>F1001*G1001</x:f>
        <x:v>0.00047999999999999996</x:v>
      </x:c>
    </x:row>
    <x:row r="1002" ht="34" customHeight="1">
      <x:c r="A1002" s="12" t="str">
        <x:v>DP5-B</x:v>
      </x:c>
      <x:c r="B1002" s="12" t="str">
        <x:v>U16</x:v>
      </x:c>
      <x:c r="C1002" s="12" t="str">
        <x:v>relation_update</x:v>
      </x:c>
      <x:c r="D1002" s="12" t="str">
        <x:v>preparation</x:v>
      </x:c>
      <x:c r="E1002" s="12" t="str">
        <x:v>text_input</x:v>
      </x:c>
      <x:c r="F1002" s="15" t="n">
        <x:v>1800</x:v>
      </x:c>
      <x:c r="G1002" s="17" t="n">
        <x:v>0.000001</x:v>
      </x:c>
      <x:c r="H1002" s="15" t="n">
        <x:f>F1002*G1002</x:f>
        <x:v>0.0018</x:v>
      </x:c>
    </x:row>
    <x:row r="1003" ht="34" customHeight="1">
      <x:c r="A1003" s="7" t="str">
        <x:v>DP5-B</x:v>
      </x:c>
      <x:c r="B1003" s="7" t="str">
        <x:v>U16</x:v>
      </x:c>
      <x:c r="C1003" s="7" t="str">
        <x:v>relation_update</x:v>
      </x:c>
      <x:c r="D1003" s="7" t="str">
        <x:v>preparation</x:v>
      </x:c>
      <x:c r="E1003" s="7" t="str">
        <x:v>text_output</x:v>
      </x:c>
      <x:c r="F1003" s="16" t="n">
        <x:v>120</x:v>
      </x:c>
      <x:c r="G1003" s="18" t="n">
        <x:v>0.000004</x:v>
      </x:c>
      <x:c r="H1003" s="16" t="n">
        <x:f>F1003*G1003</x:f>
        <x:v>0.00047999999999999996</x:v>
      </x:c>
    </x:row>
    <x:row r="1004" ht="34" customHeight="1">
      <x:c r="A1004" s="12" t="str">
        <x:v>DP5-B</x:v>
      </x:c>
      <x:c r="B1004" s="12" t="str">
        <x:v>U16</x:v>
      </x:c>
      <x:c r="C1004" s="12" t="str">
        <x:v>meaning</x:v>
      </x:c>
      <x:c r="D1004" s="12" t="str">
        <x:v>request</x:v>
      </x:c>
      <x:c r="E1004" s="12" t="str">
        <x:v>text_input</x:v>
      </x:c>
      <x:c r="F1004" s="15" t="n">
        <x:v>3000</x:v>
      </x:c>
      <x:c r="G1004" s="17" t="n">
        <x:v>0.000001</x:v>
      </x:c>
      <x:c r="H1004" s="15" t="n">
        <x:f>F1004*G1004</x:f>
        <x:v>0.003</x:v>
      </x:c>
    </x:row>
    <x:row r="1005" ht="34" customHeight="1">
      <x:c r="A1005" s="7" t="str">
        <x:v>DP5-B</x:v>
      </x:c>
      <x:c r="B1005" s="7" t="str">
        <x:v>U16</x:v>
      </x:c>
      <x:c r="C1005" s="7" t="str">
        <x:v>meaning</x:v>
      </x:c>
      <x:c r="D1005" s="7" t="str">
        <x:v>request</x:v>
      </x:c>
      <x:c r="E1005" s="7" t="str">
        <x:v>text_output</x:v>
      </x:c>
      <x:c r="F1005" s="16" t="n">
        <x:v>64</x:v>
      </x:c>
      <x:c r="G1005" s="18" t="n">
        <x:v>0.000004</x:v>
      </x:c>
      <x:c r="H1005" s="16" t="n">
        <x:f>F1005*G1005</x:f>
        <x:v>0.000256</x:v>
      </x:c>
    </x:row>
    <x:row r="1006" ht="34" customHeight="1">
      <x:c r="A1006" s="12" t="str">
        <x:v>DP5-B</x:v>
      </x:c>
      <x:c r="B1006" s="12" t="str">
        <x:v>U16</x:v>
      </x:c>
      <x:c r="C1006" s="12" t="str">
        <x:v>response_audio</x:v>
      </x:c>
      <x:c r="D1006" s="12" t="str">
        <x:v>request</x:v>
      </x:c>
      <x:c r="E1006" s="12" t="str">
        <x:v>text_input</x:v>
      </x:c>
      <x:c r="F1006" s="15" t="n">
        <x:v>48</x:v>
      </x:c>
      <x:c r="G1006" s="17" t="n">
        <x:v>0.000001</x:v>
      </x:c>
      <x:c r="H1006" s="15" t="n">
        <x:f>F1006*G1006</x:f>
        <x:v>0.000048</x:v>
      </x:c>
    </x:row>
    <x:row r="1007" ht="34" customHeight="1">
      <x:c r="A1007" s="7" t="str">
        <x:v>DP5-B</x:v>
      </x:c>
      <x:c r="B1007" s="7" t="str">
        <x:v>U16</x:v>
      </x:c>
      <x:c r="C1007" s="7" t="str">
        <x:v>response_audio</x:v>
      </x:c>
      <x:c r="D1007" s="7" t="str">
        <x:v>request</x:v>
      </x:c>
      <x:c r="E1007" s="7" t="str">
        <x:v>audio_output</x:v>
      </x:c>
      <x:c r="F1007" s="16" t="n">
        <x:v>6</x:v>
      </x:c>
      <x:c r="G1007" s="18" t="n">
        <x:v>0.002</x:v>
      </x:c>
      <x:c r="H1007" s="16" t="n">
        <x:f>F1007*G1007</x:f>
        <x:v>0.012</x:v>
      </x:c>
    </x:row>
    <x:row r="1008" ht="34" customHeight="1">
      <x:c r="A1008" s="12" t="str">
        <x:v>DP5-B</x:v>
      </x:c>
      <x:c r="B1008" s="12" t="str">
        <x:v>U16</x:v>
      </x:c>
      <x:c r="C1008" s="12" t="str">
        <x:v>intent_audio</x:v>
      </x:c>
      <x:c r="D1008" s="12" t="str">
        <x:v>request</x:v>
      </x:c>
      <x:c r="E1008" s="12" t="str">
        <x:v>text_input</x:v>
      </x:c>
      <x:c r="F1008" s="15" t="n">
        <x:v>24</x:v>
      </x:c>
      <x:c r="G1008" s="17" t="n">
        <x:v>0.000001</x:v>
      </x:c>
      <x:c r="H1008" s="15" t="n">
        <x:f>F1008*G1008</x:f>
        <x:v>0.000024</x:v>
      </x:c>
    </x:row>
    <x:row r="1009" ht="34" customHeight="1">
      <x:c r="A1009" s="7" t="str">
        <x:v>DP5-B</x:v>
      </x:c>
      <x:c r="B1009" s="7" t="str">
        <x:v>U16</x:v>
      </x:c>
      <x:c r="C1009" s="7" t="str">
        <x:v>intent_audio</x:v>
      </x:c>
      <x:c r="D1009" s="7" t="str">
        <x:v>request</x:v>
      </x:c>
      <x:c r="E1009" s="7" t="str">
        <x:v>audio_output</x:v>
      </x:c>
      <x:c r="F1009" s="16" t="n">
        <x:v>3</x:v>
      </x:c>
      <x:c r="G1009" s="18" t="n">
        <x:v>0.002</x:v>
      </x:c>
      <x:c r="H1009" s="16" t="n">
        <x:f>F1009*G1009</x:f>
        <x:v>0.006</x:v>
      </x:c>
    </x:row>
    <x:row r="1010" ht="34" customHeight="1">
      <x:c r="A1010" s="12" t="str">
        <x:v>DP5-B</x:v>
      </x:c>
      <x:c r="B1010" s="12" t="str">
        <x:v>U16</x:v>
      </x:c>
      <x:c r="C1010" s="12" t="str">
        <x:v>input_end</x:v>
      </x:c>
      <x:c r="D1010" s="12" t="str">
        <x:v>input</x:v>
      </x:c>
      <x:c r="E1010" s="12" t="str">
        <x:v>audio_input</x:v>
      </x:c>
      <x:c r="F1010" s="15" t="n">
        <x:v>3</x:v>
      </x:c>
      <x:c r="G1010" s="17" t="n">
        <x:v>0.001</x:v>
      </x:c>
      <x:c r="H1010" s="15" t="n">
        <x:f>F1010*G1010</x:f>
        <x:v>0.003</x:v>
      </x:c>
    </x:row>
    <x:row r="1011" ht="34" customHeight="1">
      <x:c r="A1011" s="7" t="str">
        <x:v>DP5-B</x:v>
      </x:c>
      <x:c r="B1011" s="7" t="str">
        <x:v>U17</x:v>
      </x:c>
      <x:c r="C1011" s="7" t="str">
        <x:v>meaning</x:v>
      </x:c>
      <x:c r="D1011" s="7" t="str">
        <x:v>request</x:v>
      </x:c>
      <x:c r="E1011" s="7" t="str">
        <x:v>text_input</x:v>
      </x:c>
      <x:c r="F1011" s="16" t="n">
        <x:v>600</x:v>
      </x:c>
      <x:c r="G1011" s="18" t="n">
        <x:v>0.000001</x:v>
      </x:c>
      <x:c r="H1011" s="16" t="n">
        <x:f>F1011*G1011</x:f>
        <x:v>0.0006</x:v>
      </x:c>
    </x:row>
    <x:row r="1012" ht="34" customHeight="1">
      <x:c r="A1012" s="12" t="str">
        <x:v>DP5-B</x:v>
      </x:c>
      <x:c r="B1012" s="12" t="str">
        <x:v>U17</x:v>
      </x:c>
      <x:c r="C1012" s="12" t="str">
        <x:v>meaning</x:v>
      </x:c>
      <x:c r="D1012" s="12" t="str">
        <x:v>request</x:v>
      </x:c>
      <x:c r="E1012" s="12" t="str">
        <x:v>text_output</x:v>
      </x:c>
      <x:c r="F1012" s="15" t="n">
        <x:v>64</x:v>
      </x:c>
      <x:c r="G1012" s="17" t="n">
        <x:v>0.000004</x:v>
      </x:c>
      <x:c r="H1012" s="15" t="n">
        <x:f>F1012*G1012</x:f>
        <x:v>0.000256</x:v>
      </x:c>
    </x:row>
    <x:row r="1013" ht="34" customHeight="1">
      <x:c r="A1013" s="7" t="str">
        <x:v>DP5-B</x:v>
      </x:c>
      <x:c r="B1013" s="7" t="str">
        <x:v>U17</x:v>
      </x:c>
      <x:c r="C1013" s="7" t="str">
        <x:v>question_audio</x:v>
      </x:c>
      <x:c r="D1013" s="7" t="str">
        <x:v>preparation</x:v>
      </x:c>
      <x:c r="E1013" s="7" t="str">
        <x:v>text_input</x:v>
      </x:c>
      <x:c r="F1013" s="16" t="n">
        <x:v>64</x:v>
      </x:c>
      <x:c r="G1013" s="18" t="n">
        <x:v>0.000001</x:v>
      </x:c>
      <x:c r="H1013" s="16" t="n">
        <x:f>F1013*G1013</x:f>
        <x:v>0.000064</x:v>
      </x:c>
    </x:row>
    <x:row r="1014" ht="34" customHeight="1">
      <x:c r="A1014" s="12" t="str">
        <x:v>DP5-B</x:v>
      </x:c>
      <x:c r="B1014" s="12" t="str">
        <x:v>U17</x:v>
      </x:c>
      <x:c r="C1014" s="12" t="str">
        <x:v>question_audio</x:v>
      </x:c>
      <x:c r="D1014" s="12" t="str">
        <x:v>preparation</x:v>
      </x:c>
      <x:c r="E1014" s="12" t="str">
        <x:v>audio_output</x:v>
      </x:c>
      <x:c r="F1014" s="15" t="n">
        <x:v>8</x:v>
      </x:c>
      <x:c r="G1014" s="17" t="n">
        <x:v>0.002</x:v>
      </x:c>
      <x:c r="H1014" s="15" t="n">
        <x:f>F1014*G1014</x:f>
        <x:v>0.016</x:v>
      </x:c>
    </x:row>
    <x:row r="1015" ht="34" customHeight="1">
      <x:c r="A1015" s="7" t="str">
        <x:v>DP5-B</x:v>
      </x:c>
      <x:c r="B1015" s="7" t="str">
        <x:v>U17</x:v>
      </x:c>
      <x:c r="C1015" s="7" t="str">
        <x:v>input_end</x:v>
      </x:c>
      <x:c r="D1015" s="7" t="str">
        <x:v>input</x:v>
      </x:c>
      <x:c r="E1015" s="7" t="str">
        <x:v>audio_input</x:v>
      </x:c>
      <x:c r="F1015" s="16" t="n">
        <x:v>3</x:v>
      </x:c>
      <x:c r="G1015" s="18" t="n">
        <x:v>0.001</x:v>
      </x:c>
      <x:c r="H1015" s="16" t="n">
        <x:f>F1015*G1015</x:f>
        <x:v>0.003</x:v>
      </x:c>
    </x:row>
    <x:row r="1016" ht="34" customHeight="1">
      <x:c r="A1016" s="12" t="str">
        <x:v>DP5-B</x:v>
      </x:c>
      <x:c r="B1016" s="12" t="str">
        <x:v>U18</x:v>
      </x:c>
      <x:c r="C1016" s="12" t="str">
        <x:v>meaning</x:v>
      </x:c>
      <x:c r="D1016" s="12" t="str">
        <x:v>request</x:v>
      </x:c>
      <x:c r="E1016" s="12" t="str">
        <x:v>text_input</x:v>
      </x:c>
      <x:c r="F1016" s="15" t="n">
        <x:v>600</x:v>
      </x:c>
      <x:c r="G1016" s="17" t="n">
        <x:v>0.000001</x:v>
      </x:c>
      <x:c r="H1016" s="15" t="n">
        <x:f>F1016*G1016</x:f>
        <x:v>0.0006</x:v>
      </x:c>
    </x:row>
    <x:row r="1017" ht="34" customHeight="1">
      <x:c r="A1017" s="7" t="str">
        <x:v>DP5-B</x:v>
      </x:c>
      <x:c r="B1017" s="7" t="str">
        <x:v>U18</x:v>
      </x:c>
      <x:c r="C1017" s="7" t="str">
        <x:v>meaning</x:v>
      </x:c>
      <x:c r="D1017" s="7" t="str">
        <x:v>request</x:v>
      </x:c>
      <x:c r="E1017" s="7" t="str">
        <x:v>text_output</x:v>
      </x:c>
      <x:c r="F1017" s="16" t="n">
        <x:v>64</x:v>
      </x:c>
      <x:c r="G1017" s="18" t="n">
        <x:v>0.000004</x:v>
      </x:c>
      <x:c r="H1017" s="16" t="n">
        <x:f>F1017*G1017</x:f>
        <x:v>0.000256</x:v>
      </x:c>
    </x:row>
    <x:row r="1018" ht="34" customHeight="1">
      <x:c r="A1018" s="12" t="str">
        <x:v>DP5-B</x:v>
      </x:c>
      <x:c r="B1018" s="12" t="str">
        <x:v>U18</x:v>
      </x:c>
      <x:c r="C1018" s="12" t="str">
        <x:v>question_audio</x:v>
      </x:c>
      <x:c r="D1018" s="12" t="str">
        <x:v>preparation</x:v>
      </x:c>
      <x:c r="E1018" s="12" t="str">
        <x:v>text_input</x:v>
      </x:c>
      <x:c r="F1018" s="15" t="n">
        <x:v>64</x:v>
      </x:c>
      <x:c r="G1018" s="17" t="n">
        <x:v>0.000001</x:v>
      </x:c>
      <x:c r="H1018" s="15" t="n">
        <x:f>F1018*G1018</x:f>
        <x:v>0.000064</x:v>
      </x:c>
    </x:row>
    <x:row r="1019" ht="34" customHeight="1">
      <x:c r="A1019" s="7" t="str">
        <x:v>DP5-B</x:v>
      </x:c>
      <x:c r="B1019" s="7" t="str">
        <x:v>U18</x:v>
      </x:c>
      <x:c r="C1019" s="7" t="str">
        <x:v>question_audio</x:v>
      </x:c>
      <x:c r="D1019" s="7" t="str">
        <x:v>preparation</x:v>
      </x:c>
      <x:c r="E1019" s="7" t="str">
        <x:v>audio_output</x:v>
      </x:c>
      <x:c r="F1019" s="16" t="n">
        <x:v>8</x:v>
      </x:c>
      <x:c r="G1019" s="18" t="n">
        <x:v>0.002</x:v>
      </x:c>
      <x:c r="H1019" s="16" t="n">
        <x:f>F1019*G1019</x:f>
        <x:v>0.016</x:v>
      </x:c>
    </x:row>
    <x:row r="1020" ht="34" customHeight="1">
      <x:c r="A1020" s="12" t="str">
        <x:v>DP5-B</x:v>
      </x:c>
      <x:c r="B1020" s="12" t="str">
        <x:v>U18</x:v>
      </x:c>
      <x:c r="C1020" s="12" t="str">
        <x:v>obsolete_audio</x:v>
      </x:c>
      <x:c r="D1020" s="12" t="str">
        <x:v>preparation</x:v>
      </x:c>
      <x:c r="E1020" s="12" t="str">
        <x:v>text_input</x:v>
      </x:c>
      <x:c r="F1020" s="15" t="n">
        <x:v>80</x:v>
      </x:c>
      <x:c r="G1020" s="17" t="n">
        <x:v>0.000001</x:v>
      </x:c>
      <x:c r="H1020" s="15" t="n">
        <x:f>F1020*G1020</x:f>
        <x:v>0.00007999999999999999</x:v>
      </x:c>
    </x:row>
    <x:row r="1021" ht="34" customHeight="1">
      <x:c r="A1021" s="7" t="str">
        <x:v>DP5-B</x:v>
      </x:c>
      <x:c r="B1021" s="7" t="str">
        <x:v>U18</x:v>
      </x:c>
      <x:c r="C1021" s="7" t="str">
        <x:v>obsolete_audio</x:v>
      </x:c>
      <x:c r="D1021" s="7" t="str">
        <x:v>preparation</x:v>
      </x:c>
      <x:c r="E1021" s="7" t="str">
        <x:v>audio_output</x:v>
      </x:c>
      <x:c r="F1021" s="16" t="n">
        <x:v>10</x:v>
      </x:c>
      <x:c r="G1021" s="18" t="n">
        <x:v>0.002</x:v>
      </x:c>
      <x:c r="H1021" s="16" t="n">
        <x:f>F1021*G1021</x:f>
        <x:v>0.02</x:v>
      </x:c>
    </x:row>
    <x:row r="1022" ht="34" customHeight="1">
      <x:c r="A1022" s="12" t="str">
        <x:v>DP5-B</x:v>
      </x:c>
      <x:c r="B1022" s="12" t="str">
        <x:v>U18</x:v>
      </x:c>
      <x:c r="C1022" s="12" t="str">
        <x:v>input_end</x:v>
      </x:c>
      <x:c r="D1022" s="12" t="str">
        <x:v>input</x:v>
      </x:c>
      <x:c r="E1022" s="12" t="str">
        <x:v>audio_input</x:v>
      </x:c>
      <x:c r="F1022" s="15" t="n">
        <x:v>3</x:v>
      </x:c>
      <x:c r="G1022" s="17" t="n">
        <x:v>0.001</x:v>
      </x:c>
      <x:c r="H1022" s="15" t="n">
        <x:f>F1022*G1022</x:f>
        <x:v>0.003</x:v>
      </x:c>
    </x:row>
    <x:row r="1023" ht="34" customHeight="1">
      <x:c r="A1023" s="7" t="str">
        <x:v>DP5-B</x:v>
      </x:c>
      <x:c r="B1023" s="7" t="str">
        <x:v>U19</x:v>
      </x:c>
      <x:c r="C1023" s="7" t="str">
        <x:v>meaning</x:v>
      </x:c>
      <x:c r="D1023" s="7" t="str">
        <x:v>request</x:v>
      </x:c>
      <x:c r="E1023" s="7" t="str">
        <x:v>text_input</x:v>
      </x:c>
      <x:c r="F1023" s="16" t="n">
        <x:v>600</x:v>
      </x:c>
      <x:c r="G1023" s="18" t="n">
        <x:v>0.000001</x:v>
      </x:c>
      <x:c r="H1023" s="16" t="n">
        <x:f>F1023*G1023</x:f>
        <x:v>0.0006</x:v>
      </x:c>
    </x:row>
    <x:row r="1024" ht="34" customHeight="1">
      <x:c r="A1024" s="12" t="str">
        <x:v>DP5-B</x:v>
      </x:c>
      <x:c r="B1024" s="12" t="str">
        <x:v>U19</x:v>
      </x:c>
      <x:c r="C1024" s="12" t="str">
        <x:v>meaning</x:v>
      </x:c>
      <x:c r="D1024" s="12" t="str">
        <x:v>request</x:v>
      </x:c>
      <x:c r="E1024" s="12" t="str">
        <x:v>text_output</x:v>
      </x:c>
      <x:c r="F1024" s="15" t="n">
        <x:v>64</x:v>
      </x:c>
      <x:c r="G1024" s="17" t="n">
        <x:v>0.000004</x:v>
      </x:c>
      <x:c r="H1024" s="15" t="n">
        <x:f>F1024*G1024</x:f>
        <x:v>0.000256</x:v>
      </x:c>
    </x:row>
    <x:row r="1025" ht="34" customHeight="1">
      <x:c r="A1025" s="7" t="str">
        <x:v>DP5-B</x:v>
      </x:c>
      <x:c r="B1025" s="7" t="str">
        <x:v>U19</x:v>
      </x:c>
      <x:c r="C1025" s="7" t="str">
        <x:v>question_audio</x:v>
      </x:c>
      <x:c r="D1025" s="7" t="str">
        <x:v>preparation</x:v>
      </x:c>
      <x:c r="E1025" s="7" t="str">
        <x:v>text_input</x:v>
      </x:c>
      <x:c r="F1025" s="16" t="n">
        <x:v>48</x:v>
      </x:c>
      <x:c r="G1025" s="18" t="n">
        <x:v>0.000001</x:v>
      </x:c>
      <x:c r="H1025" s="16" t="n">
        <x:f>F1025*G1025</x:f>
        <x:v>0.000048</x:v>
      </x:c>
    </x:row>
    <x:row r="1026" ht="34" customHeight="1">
      <x:c r="A1026" s="12" t="str">
        <x:v>DP5-B</x:v>
      </x:c>
      <x:c r="B1026" s="12" t="str">
        <x:v>U19</x:v>
      </x:c>
      <x:c r="C1026" s="12" t="str">
        <x:v>question_audio</x:v>
      </x:c>
      <x:c r="D1026" s="12" t="str">
        <x:v>preparation</x:v>
      </x:c>
      <x:c r="E1026" s="12" t="str">
        <x:v>audio_output</x:v>
      </x:c>
      <x:c r="F1026" s="15" t="n">
        <x:v>6</x:v>
      </x:c>
      <x:c r="G1026" s="17" t="n">
        <x:v>0.002</x:v>
      </x:c>
      <x:c r="H1026" s="15" t="n">
        <x:f>F1026*G1026</x:f>
        <x:v>0.012</x:v>
      </x:c>
    </x:row>
    <x:row r="1027" ht="34" customHeight="1">
      <x:c r="A1027" s="7" t="str">
        <x:v>DP5-B</x:v>
      </x:c>
      <x:c r="B1027" s="7" t="str">
        <x:v>U19</x:v>
      </x:c>
      <x:c r="C1027" s="7" t="str">
        <x:v>old_audio</x:v>
      </x:c>
      <x:c r="D1027" s="7" t="str">
        <x:v>preparation</x:v>
      </x:c>
      <x:c r="E1027" s="7" t="str">
        <x:v>text_input</x:v>
      </x:c>
      <x:c r="F1027" s="16" t="n">
        <x:v>288</x:v>
      </x:c>
      <x:c r="G1027" s="18" t="n">
        <x:v>0.000001</x:v>
      </x:c>
      <x:c r="H1027" s="16" t="n">
        <x:f>F1027*G1027</x:f>
        <x:v>0.000288</x:v>
      </x:c>
    </x:row>
    <x:row r="1028" ht="34" customHeight="1">
      <x:c r="A1028" s="12" t="str">
        <x:v>DP5-B</x:v>
      </x:c>
      <x:c r="B1028" s="12" t="str">
        <x:v>U19</x:v>
      </x:c>
      <x:c r="C1028" s="12" t="str">
        <x:v>old_audio</x:v>
      </x:c>
      <x:c r="D1028" s="12" t="str">
        <x:v>preparation</x:v>
      </x:c>
      <x:c r="E1028" s="12" t="str">
        <x:v>audio_output</x:v>
      </x:c>
      <x:c r="F1028" s="15" t="n">
        <x:v>36</x:v>
      </x:c>
      <x:c r="G1028" s="17" t="n">
        <x:v>0.002</x:v>
      </x:c>
      <x:c r="H1028" s="15" t="n">
        <x:f>F1028*G1028</x:f>
        <x:v>0.07200000000000001</x:v>
      </x:c>
    </x:row>
    <x:row r="1029" ht="34" customHeight="1">
      <x:c r="A1029" s="7" t="str">
        <x:v>DP5-B</x:v>
      </x:c>
      <x:c r="B1029" s="7" t="str">
        <x:v>U19</x:v>
      </x:c>
      <x:c r="C1029" s="7" t="str">
        <x:v>input_end</x:v>
      </x:c>
      <x:c r="D1029" s="7" t="str">
        <x:v>input</x:v>
      </x:c>
      <x:c r="E1029" s="7" t="str">
        <x:v>audio_input</x:v>
      </x:c>
      <x:c r="F1029" s="16" t="n">
        <x:v>3</x:v>
      </x:c>
      <x:c r="G1029" s="18" t="n">
        <x:v>0.001</x:v>
      </x:c>
      <x:c r="H1029" s="16" t="n">
        <x:f>F1029*G1029</x:f>
        <x:v>0.003</x:v>
      </x:c>
    </x:row>
    <x:row r="1030" ht="34" customHeight="1">
      <x:c r="A1030" s="12" t="str">
        <x:v>DP5-B</x:v>
      </x:c>
      <x:c r="B1030" s="12" t="str">
        <x:v>U20</x:v>
      </x:c>
      <x:c r="C1030" s="12" t="str">
        <x:v>meaning</x:v>
      </x:c>
      <x:c r="D1030" s="12" t="str">
        <x:v>request</x:v>
      </x:c>
      <x:c r="E1030" s="12" t="str">
        <x:v>text_input</x:v>
      </x:c>
      <x:c r="F1030" s="15" t="n">
        <x:v>600</x:v>
      </x:c>
      <x:c r="G1030" s="17" t="n">
        <x:v>0.000001</x:v>
      </x:c>
      <x:c r="H1030" s="15" t="n">
        <x:f>F1030*G1030</x:f>
        <x:v>0.0006</x:v>
      </x:c>
    </x:row>
    <x:row r="1031" ht="34" customHeight="1">
      <x:c r="A1031" s="7" t="str">
        <x:v>DP5-B</x:v>
      </x:c>
      <x:c r="B1031" s="7" t="str">
        <x:v>U20</x:v>
      </x:c>
      <x:c r="C1031" s="7" t="str">
        <x:v>meaning</x:v>
      </x:c>
      <x:c r="D1031" s="7" t="str">
        <x:v>request</x:v>
      </x:c>
      <x:c r="E1031" s="7" t="str">
        <x:v>text_output</x:v>
      </x:c>
      <x:c r="F1031" s="16" t="n">
        <x:v>64</x:v>
      </x:c>
      <x:c r="G1031" s="18" t="n">
        <x:v>0.000004</x:v>
      </x:c>
      <x:c r="H1031" s="16" t="n">
        <x:f>F1031*G1031</x:f>
        <x:v>0.000256</x:v>
      </x:c>
    </x:row>
    <x:row r="1032" ht="34" customHeight="1">
      <x:c r="A1032" s="12" t="str">
        <x:v>DP5-B</x:v>
      </x:c>
      <x:c r="B1032" s="12" t="str">
        <x:v>U20</x:v>
      </x:c>
      <x:c r="C1032" s="12" t="str">
        <x:v>input_end</x:v>
      </x:c>
      <x:c r="D1032" s="12" t="str">
        <x:v>input</x:v>
      </x:c>
      <x:c r="E1032" s="12" t="str">
        <x:v>audio_input</x:v>
      </x:c>
      <x:c r="F1032" s="15" t="n">
        <x:v>3</x:v>
      </x:c>
      <x:c r="G1032" s="17" t="n">
        <x:v>0.001</x:v>
      </x:c>
      <x:c r="H1032" s="15" t="n">
        <x:f>F1032*G1032</x:f>
        <x:v>0.003</x:v>
      </x:c>
    </x:row>
    <x:row r="1033" ht="34" customHeight="1">
      <x:c r="A1033" s="7" t="str">
        <x:v>DP5-B</x:v>
      </x:c>
      <x:c r="B1033" s="7" t="str">
        <x:v>U21</x:v>
      </x:c>
      <x:c r="C1033" s="7" t="str">
        <x:v>bg1</x:v>
      </x:c>
      <x:c r="D1033" s="7" t="str">
        <x:v>background</x:v>
      </x:c>
      <x:c r="E1033" s="7" t="str">
        <x:v>text_input</x:v>
      </x:c>
      <x:c r="F1033" s="16" t="n">
        <x:v>1200</x:v>
      </x:c>
      <x:c r="G1033" s="18" t="n">
        <x:v>0.000001</x:v>
      </x:c>
      <x:c r="H1033" s="16" t="n">
        <x:f>F1033*G1033</x:f>
        <x:v>0.0012</x:v>
      </x:c>
    </x:row>
    <x:row r="1034" ht="34" customHeight="1">
      <x:c r="A1034" s="12" t="str">
        <x:v>DP5-B</x:v>
      </x:c>
      <x:c r="B1034" s="12" t="str">
        <x:v>U21</x:v>
      </x:c>
      <x:c r="C1034" s="12" t="str">
        <x:v>bg1</x:v>
      </x:c>
      <x:c r="D1034" s="12" t="str">
        <x:v>background</x:v>
      </x:c>
      <x:c r="E1034" s="12" t="str">
        <x:v>text_output</x:v>
      </x:c>
      <x:c r="F1034" s="15" t="n">
        <x:v>240</x:v>
      </x:c>
      <x:c r="G1034" s="17" t="n">
        <x:v>0.000004</x:v>
      </x:c>
      <x:c r="H1034" s="15" t="n">
        <x:f>F1034*G1034</x:f>
        <x:v>0.0009599999999999999</x:v>
      </x:c>
    </x:row>
    <x:row r="1035" ht="34" customHeight="1">
      <x:c r="A1035" s="7" t="str">
        <x:v>DP5-B</x:v>
      </x:c>
      <x:c r="B1035" s="7" t="str">
        <x:v>U21</x:v>
      </x:c>
      <x:c r="C1035" s="7" t="str">
        <x:v>relation_prior</x:v>
      </x:c>
      <x:c r="D1035" s="7" t="str">
        <x:v>preparation</x:v>
      </x:c>
      <x:c r="E1035" s="7" t="str">
        <x:v>text_input</x:v>
      </x:c>
      <x:c r="F1035" s="16" t="n">
        <x:v>1800</x:v>
      </x:c>
      <x:c r="G1035" s="18" t="n">
        <x:v>0.000001</x:v>
      </x:c>
      <x:c r="H1035" s="16" t="n">
        <x:f>F1035*G1035</x:f>
        <x:v>0.0018</x:v>
      </x:c>
    </x:row>
    <x:row r="1036" ht="34" customHeight="1">
      <x:c r="A1036" s="12" t="str">
        <x:v>DP5-B</x:v>
      </x:c>
      <x:c r="B1036" s="12" t="str">
        <x:v>U21</x:v>
      </x:c>
      <x:c r="C1036" s="12" t="str">
        <x:v>relation_prior</x:v>
      </x:c>
      <x:c r="D1036" s="12" t="str">
        <x:v>preparation</x:v>
      </x:c>
      <x:c r="E1036" s="12" t="str">
        <x:v>text_output</x:v>
      </x:c>
      <x:c r="F1036" s="15" t="n">
        <x:v>120</x:v>
      </x:c>
      <x:c r="G1036" s="17" t="n">
        <x:v>0.000004</x:v>
      </x:c>
      <x:c r="H1036" s="15" t="n">
        <x:f>F1036*G1036</x:f>
        <x:v>0.00047999999999999996</x:v>
      </x:c>
    </x:row>
    <x:row r="1037" ht="34" customHeight="1">
      <x:c r="A1037" s="7" t="str">
        <x:v>DP5-B</x:v>
      </x:c>
      <x:c r="B1037" s="7" t="str">
        <x:v>U21</x:v>
      </x:c>
      <x:c r="C1037" s="7" t="str">
        <x:v>relation_unused</x:v>
      </x:c>
      <x:c r="D1037" s="7" t="str">
        <x:v>preparation</x:v>
      </x:c>
      <x:c r="E1037" s="7" t="str">
        <x:v>text_input</x:v>
      </x:c>
      <x:c r="F1037" s="16" t="n">
        <x:v>1800</x:v>
      </x:c>
      <x:c r="G1037" s="18" t="n">
        <x:v>0.000001</x:v>
      </x:c>
      <x:c r="H1037" s="16" t="n">
        <x:f>F1037*G1037</x:f>
        <x:v>0.0018</x:v>
      </x:c>
    </x:row>
    <x:row r="1038" ht="34" customHeight="1">
      <x:c r="A1038" s="12" t="str">
        <x:v>DP5-B</x:v>
      </x:c>
      <x:c r="B1038" s="12" t="str">
        <x:v>U21</x:v>
      </x:c>
      <x:c r="C1038" s="12" t="str">
        <x:v>relation_unused</x:v>
      </x:c>
      <x:c r="D1038" s="12" t="str">
        <x:v>preparation</x:v>
      </x:c>
      <x:c r="E1038" s="12" t="str">
        <x:v>text_output</x:v>
      </x:c>
      <x:c r="F1038" s="15" t="n">
        <x:v>120</x:v>
      </x:c>
      <x:c r="G1038" s="17" t="n">
        <x:v>0.000004</x:v>
      </x:c>
      <x:c r="H1038" s="15" t="n">
        <x:f>F1038*G1038</x:f>
        <x:v>0.00047999999999999996</x:v>
      </x:c>
    </x:row>
    <x:row r="1039" ht="34" customHeight="1">
      <x:c r="A1039" s="7" t="str">
        <x:v>DP5-B</x:v>
      </x:c>
      <x:c r="B1039" s="7" t="str">
        <x:v>U21</x:v>
      </x:c>
      <x:c r="C1039" s="7" t="str">
        <x:v>meaning</x:v>
      </x:c>
      <x:c r="D1039" s="7" t="str">
        <x:v>request</x:v>
      </x:c>
      <x:c r="E1039" s="7" t="str">
        <x:v>text_input</x:v>
      </x:c>
      <x:c r="F1039" s="16" t="n">
        <x:v>2760</x:v>
      </x:c>
      <x:c r="G1039" s="18" t="n">
        <x:v>0.000001</x:v>
      </x:c>
      <x:c r="H1039" s="16" t="n">
        <x:f>F1039*G1039</x:f>
        <x:v>0.00276</x:v>
      </x:c>
    </x:row>
    <x:row r="1040" ht="34" customHeight="1">
      <x:c r="A1040" s="12" t="str">
        <x:v>DP5-B</x:v>
      </x:c>
      <x:c r="B1040" s="12" t="str">
        <x:v>U21</x:v>
      </x:c>
      <x:c r="C1040" s="12" t="str">
        <x:v>meaning</x:v>
      </x:c>
      <x:c r="D1040" s="12" t="str">
        <x:v>request</x:v>
      </x:c>
      <x:c r="E1040" s="12" t="str">
        <x:v>text_output</x:v>
      </x:c>
      <x:c r="F1040" s="15" t="n">
        <x:v>64</x:v>
      </x:c>
      <x:c r="G1040" s="17" t="n">
        <x:v>0.000004</x:v>
      </x:c>
      <x:c r="H1040" s="15" t="n">
        <x:f>F1040*G1040</x:f>
        <x:v>0.000256</x:v>
      </x:c>
    </x:row>
    <x:row r="1041" ht="34" customHeight="1">
      <x:c r="A1041" s="7" t="str">
        <x:v>DP5-B</x:v>
      </x:c>
      <x:c r="B1041" s="7" t="str">
        <x:v>U21</x:v>
      </x:c>
      <x:c r="C1041" s="7" t="str">
        <x:v>response_audio</x:v>
      </x:c>
      <x:c r="D1041" s="7" t="str">
        <x:v>request</x:v>
      </x:c>
      <x:c r="E1041" s="7" t="str">
        <x:v>text_input</x:v>
      </x:c>
      <x:c r="F1041" s="16" t="n">
        <x:v>48</x:v>
      </x:c>
      <x:c r="G1041" s="18" t="n">
        <x:v>0.000001</x:v>
      </x:c>
      <x:c r="H1041" s="16" t="n">
        <x:f>F1041*G1041</x:f>
        <x:v>0.000048</x:v>
      </x:c>
    </x:row>
    <x:row r="1042" ht="34" customHeight="1">
      <x:c r="A1042" s="12" t="str">
        <x:v>DP5-B</x:v>
      </x:c>
      <x:c r="B1042" s="12" t="str">
        <x:v>U21</x:v>
      </x:c>
      <x:c r="C1042" s="12" t="str">
        <x:v>response_audio</x:v>
      </x:c>
      <x:c r="D1042" s="12" t="str">
        <x:v>request</x:v>
      </x:c>
      <x:c r="E1042" s="12" t="str">
        <x:v>audio_output</x:v>
      </x:c>
      <x:c r="F1042" s="15" t="n">
        <x:v>6</x:v>
      </x:c>
      <x:c r="G1042" s="17" t="n">
        <x:v>0.002</x:v>
      </x:c>
      <x:c r="H1042" s="15" t="n">
        <x:f>F1042*G1042</x:f>
        <x:v>0.012</x:v>
      </x:c>
    </x:row>
    <x:row r="1043" ht="34" customHeight="1">
      <x:c r="A1043" s="7" t="str">
        <x:v>DP5-B</x:v>
      </x:c>
      <x:c r="B1043" s="7" t="str">
        <x:v>U21</x:v>
      </x:c>
      <x:c r="C1043" s="7" t="str">
        <x:v>intent_audio</x:v>
      </x:c>
      <x:c r="D1043" s="7" t="str">
        <x:v>request</x:v>
      </x:c>
      <x:c r="E1043" s="7" t="str">
        <x:v>text_input</x:v>
      </x:c>
      <x:c r="F1043" s="16" t="n">
        <x:v>24</x:v>
      </x:c>
      <x:c r="G1043" s="18" t="n">
        <x:v>0.000001</x:v>
      </x:c>
      <x:c r="H1043" s="16" t="n">
        <x:f>F1043*G1043</x:f>
        <x:v>0.000024</x:v>
      </x:c>
    </x:row>
    <x:row r="1044" ht="34" customHeight="1">
      <x:c r="A1044" s="12" t="str">
        <x:v>DP5-B</x:v>
      </x:c>
      <x:c r="B1044" s="12" t="str">
        <x:v>U21</x:v>
      </x:c>
      <x:c r="C1044" s="12" t="str">
        <x:v>intent_audio</x:v>
      </x:c>
      <x:c r="D1044" s="12" t="str">
        <x:v>request</x:v>
      </x:c>
      <x:c r="E1044" s="12" t="str">
        <x:v>audio_output</x:v>
      </x:c>
      <x:c r="F1044" s="15" t="n">
        <x:v>3</x:v>
      </x:c>
      <x:c r="G1044" s="17" t="n">
        <x:v>0.002</x:v>
      </x:c>
      <x:c r="H1044" s="15" t="n">
        <x:f>F1044*G1044</x:f>
        <x:v>0.006</x:v>
      </x:c>
    </x:row>
    <x:row r="1045" ht="34" customHeight="1">
      <x:c r="A1045" s="7" t="str">
        <x:v>DP5-B</x:v>
      </x:c>
      <x:c r="B1045" s="7" t="str">
        <x:v>U21</x:v>
      </x:c>
      <x:c r="C1045" s="7" t="str">
        <x:v>input_end</x:v>
      </x:c>
      <x:c r="D1045" s="7" t="str">
        <x:v>input</x:v>
      </x:c>
      <x:c r="E1045" s="7" t="str">
        <x:v>audio_input</x:v>
      </x:c>
      <x:c r="F1045" s="16" t="n">
        <x:v>3</x:v>
      </x:c>
      <x:c r="G1045" s="18" t="n">
        <x:v>0.001</x:v>
      </x:c>
      <x:c r="H1045" s="16" t="n">
        <x:f>F1045*G1045</x:f>
        <x:v>0.003</x:v>
      </x:c>
    </x:row>
    <x:row r="1046" ht="34" customHeight="1">
      <x:c r="A1046" s="12" t="str">
        <x:v>DP5-B</x:v>
      </x:c>
      <x:c r="B1046" s="12" t="str">
        <x:v>U22</x:v>
      </x:c>
      <x:c r="C1046" s="12" t="str">
        <x:v>pre_raw</x:v>
      </x:c>
      <x:c r="D1046" s="12" t="str">
        <x:v>preparation</x:v>
      </x:c>
      <x:c r="E1046" s="12" t="str">
        <x:v>text_input</x:v>
      </x:c>
      <x:c r="F1046" s="15" t="n">
        <x:v>2400</x:v>
      </x:c>
      <x:c r="G1046" s="17" t="n">
        <x:v>0.000001</x:v>
      </x:c>
      <x:c r="H1046" s="15" t="n">
        <x:f>F1046*G1046</x:f>
        <x:v>0.0024</x:v>
      </x:c>
    </x:row>
    <x:row r="1047" ht="34" customHeight="1">
      <x:c r="A1047" s="7" t="str">
        <x:v>DP5-B</x:v>
      </x:c>
      <x:c r="B1047" s="7" t="str">
        <x:v>U22</x:v>
      </x:c>
      <x:c r="C1047" s="7" t="str">
        <x:v>pre_raw</x:v>
      </x:c>
      <x:c r="D1047" s="7" t="str">
        <x:v>preparation</x:v>
      </x:c>
      <x:c r="E1047" s="7" t="str">
        <x:v>text_output</x:v>
      </x:c>
      <x:c r="F1047" s="16" t="n">
        <x:v>64</x:v>
      </x:c>
      <x:c r="G1047" s="18" t="n">
        <x:v>0.000004</x:v>
      </x:c>
      <x:c r="H1047" s="16" t="n">
        <x:f>F1047*G1047</x:f>
        <x:v>0.000256</x:v>
      </x:c>
    </x:row>
    <x:row r="1048" ht="34" customHeight="1">
      <x:c r="A1048" s="12" t="str">
        <x:v>DP5-B</x:v>
      </x:c>
      <x:c r="B1048" s="12" t="str">
        <x:v>U22</x:v>
      </x:c>
      <x:c r="C1048" s="12" t="str">
        <x:v>meaning</x:v>
      </x:c>
      <x:c r="D1048" s="12" t="str">
        <x:v>request</x:v>
      </x:c>
      <x:c r="E1048" s="12" t="str">
        <x:v>text_input</x:v>
      </x:c>
      <x:c r="F1048" s="15" t="n">
        <x:v>2400</x:v>
      </x:c>
      <x:c r="G1048" s="17" t="n">
        <x:v>0.000001</x:v>
      </x:c>
      <x:c r="H1048" s="15" t="n">
        <x:f>F1048*G1048</x:f>
        <x:v>0.0024</x:v>
      </x:c>
    </x:row>
    <x:row r="1049" ht="34" customHeight="1">
      <x:c r="A1049" s="7" t="str">
        <x:v>DP5-B</x:v>
      </x:c>
      <x:c r="B1049" s="7" t="str">
        <x:v>U22</x:v>
      </x:c>
      <x:c r="C1049" s="7" t="str">
        <x:v>meaning</x:v>
      </x:c>
      <x:c r="D1049" s="7" t="str">
        <x:v>request</x:v>
      </x:c>
      <x:c r="E1049" s="7" t="str">
        <x:v>text_output</x:v>
      </x:c>
      <x:c r="F1049" s="16" t="n">
        <x:v>64</x:v>
      </x:c>
      <x:c r="G1049" s="18" t="n">
        <x:v>0.000004</x:v>
      </x:c>
      <x:c r="H1049" s="16" t="n">
        <x:f>F1049*G1049</x:f>
        <x:v>0.000256</x:v>
      </x:c>
    </x:row>
    <x:row r="1050" ht="34" customHeight="1">
      <x:c r="A1050" s="12" t="str">
        <x:v>DP5-B</x:v>
      </x:c>
      <x:c r="B1050" s="12" t="str">
        <x:v>U22</x:v>
      </x:c>
      <x:c r="C1050" s="12" t="str">
        <x:v>question_audio</x:v>
      </x:c>
      <x:c r="D1050" s="12" t="str">
        <x:v>preparation</x:v>
      </x:c>
      <x:c r="E1050" s="12" t="str">
        <x:v>text_input</x:v>
      </x:c>
      <x:c r="F1050" s="15" t="n">
        <x:v>48</x:v>
      </x:c>
      <x:c r="G1050" s="17" t="n">
        <x:v>0.000001</x:v>
      </x:c>
      <x:c r="H1050" s="15" t="n">
        <x:f>F1050*G1050</x:f>
        <x:v>0.000048</x:v>
      </x:c>
    </x:row>
    <x:row r="1051" ht="34" customHeight="1">
      <x:c r="A1051" s="7" t="str">
        <x:v>DP5-B</x:v>
      </x:c>
      <x:c r="B1051" s="7" t="str">
        <x:v>U22</x:v>
      </x:c>
      <x:c r="C1051" s="7" t="str">
        <x:v>question_audio</x:v>
      </x:c>
      <x:c r="D1051" s="7" t="str">
        <x:v>preparation</x:v>
      </x:c>
      <x:c r="E1051" s="7" t="str">
        <x:v>audio_output</x:v>
      </x:c>
      <x:c r="F1051" s="16" t="n">
        <x:v>6</x:v>
      </x:c>
      <x:c r="G1051" s="18" t="n">
        <x:v>0.002</x:v>
      </x:c>
      <x:c r="H1051" s="16" t="n">
        <x:f>F1051*G1051</x:f>
        <x:v>0.012</x:v>
      </x:c>
    </x:row>
    <x:row r="1052" ht="34" customHeight="1">
      <x:c r="A1052" s="12" t="str">
        <x:v>DP5-B</x:v>
      </x:c>
      <x:c r="B1052" s="12" t="str">
        <x:v>U22</x:v>
      </x:c>
      <x:c r="C1052" s="12" t="str">
        <x:v>final_result_audio</x:v>
      </x:c>
      <x:c r="D1052" s="12" t="str">
        <x:v>request</x:v>
      </x:c>
      <x:c r="E1052" s="12" t="str">
        <x:v>text_input</x:v>
      </x:c>
      <x:c r="F1052" s="15" t="n">
        <x:v>48</x:v>
      </x:c>
      <x:c r="G1052" s="17" t="n">
        <x:v>0.000001</x:v>
      </x:c>
      <x:c r="H1052" s="15" t="n">
        <x:f>F1052*G1052</x:f>
        <x:v>0.000048</x:v>
      </x:c>
    </x:row>
    <x:row r="1053" ht="34" customHeight="1">
      <x:c r="A1053" s="7" t="str">
        <x:v>DP5-B</x:v>
      </x:c>
      <x:c r="B1053" s="7" t="str">
        <x:v>U22</x:v>
      </x:c>
      <x:c r="C1053" s="7" t="str">
        <x:v>final_result_audio</x:v>
      </x:c>
      <x:c r="D1053" s="7" t="str">
        <x:v>request</x:v>
      </x:c>
      <x:c r="E1053" s="7" t="str">
        <x:v>audio_output</x:v>
      </x:c>
      <x:c r="F1053" s="16" t="n">
        <x:v>6</x:v>
      </x:c>
      <x:c r="G1053" s="18" t="n">
        <x:v>0.002</x:v>
      </x:c>
      <x:c r="H1053" s="16" t="n">
        <x:f>F1053*G1053</x:f>
        <x:v>0.012</x:v>
      </x:c>
    </x:row>
    <x:row r="1054" ht="34" customHeight="1">
      <x:c r="A1054" s="12" t="str">
        <x:v>DP5-B</x:v>
      </x:c>
      <x:c r="B1054" s="12" t="str">
        <x:v>U22</x:v>
      </x:c>
      <x:c r="C1054" s="12" t="str">
        <x:v>input_end</x:v>
      </x:c>
      <x:c r="D1054" s="12" t="str">
        <x:v>input</x:v>
      </x:c>
      <x:c r="E1054" s="12" t="str">
        <x:v>audio_input</x:v>
      </x:c>
      <x:c r="F1054" s="15" t="n">
        <x:v>3</x:v>
      </x:c>
      <x:c r="G1054" s="17" t="n">
        <x:v>0.001</x:v>
      </x:c>
      <x:c r="H1054" s="15" t="n">
        <x:f>F1054*G1054</x:f>
        <x:v>0.003</x:v>
      </x:c>
    </x:row>
    <x:row r="1055" ht="34" customHeight="1">
      <x:c r="A1055" s="7" t="str">
        <x:v>DP5-B</x:v>
      </x:c>
      <x:c r="B1055" s="7" t="str">
        <x:v>U23</x:v>
      </x:c>
      <x:c r="C1055" s="7" t="str">
        <x:v>relation_prior</x:v>
      </x:c>
      <x:c r="D1055" s="7" t="str">
        <x:v>preparation</x:v>
      </x:c>
      <x:c r="E1055" s="7" t="str">
        <x:v>text_input</x:v>
      </x:c>
      <x:c r="F1055" s="16" t="n">
        <x:v>1800</x:v>
      </x:c>
      <x:c r="G1055" s="18" t="n">
        <x:v>0.000001</x:v>
      </x:c>
      <x:c r="H1055" s="16" t="n">
        <x:f>F1055*G1055</x:f>
        <x:v>0.0018</x:v>
      </x:c>
    </x:row>
    <x:row r="1056" ht="34" customHeight="1">
      <x:c r="A1056" s="12" t="str">
        <x:v>DP5-B</x:v>
      </x:c>
      <x:c r="B1056" s="12" t="str">
        <x:v>U23</x:v>
      </x:c>
      <x:c r="C1056" s="12" t="str">
        <x:v>relation_prior</x:v>
      </x:c>
      <x:c r="D1056" s="12" t="str">
        <x:v>preparation</x:v>
      </x:c>
      <x:c r="E1056" s="12" t="str">
        <x:v>text_output</x:v>
      </x:c>
      <x:c r="F1056" s="15" t="n">
        <x:v>120</x:v>
      </x:c>
      <x:c r="G1056" s="17" t="n">
        <x:v>0.000004</x:v>
      </x:c>
      <x:c r="H1056" s="15" t="n">
        <x:f>F1056*G1056</x:f>
        <x:v>0.00047999999999999996</x:v>
      </x:c>
    </x:row>
    <x:row r="1057" ht="34" customHeight="1">
      <x:c r="A1057" s="7" t="str">
        <x:v>DP5-B</x:v>
      </x:c>
      <x:c r="B1057" s="7" t="str">
        <x:v>U23</x:v>
      </x:c>
      <x:c r="C1057" s="7" t="str">
        <x:v>relation_unused</x:v>
      </x:c>
      <x:c r="D1057" s="7" t="str">
        <x:v>preparation</x:v>
      </x:c>
      <x:c r="E1057" s="7" t="str">
        <x:v>text_input</x:v>
      </x:c>
      <x:c r="F1057" s="16" t="n">
        <x:v>1800</x:v>
      </x:c>
      <x:c r="G1057" s="18" t="n">
        <x:v>0.000001</x:v>
      </x:c>
      <x:c r="H1057" s="16" t="n">
        <x:f>F1057*G1057</x:f>
        <x:v>0.0018</x:v>
      </x:c>
    </x:row>
    <x:row r="1058" ht="34" customHeight="1">
      <x:c r="A1058" s="12" t="str">
        <x:v>DP5-B</x:v>
      </x:c>
      <x:c r="B1058" s="12" t="str">
        <x:v>U23</x:v>
      </x:c>
      <x:c r="C1058" s="12" t="str">
        <x:v>relation_unused</x:v>
      </x:c>
      <x:c r="D1058" s="12" t="str">
        <x:v>preparation</x:v>
      </x:c>
      <x:c r="E1058" s="12" t="str">
        <x:v>text_output</x:v>
      </x:c>
      <x:c r="F1058" s="15" t="n">
        <x:v>120</x:v>
      </x:c>
      <x:c r="G1058" s="17" t="n">
        <x:v>0.000004</x:v>
      </x:c>
      <x:c r="H1058" s="15" t="n">
        <x:f>F1058*G1058</x:f>
        <x:v>0.00047999999999999996</x:v>
      </x:c>
    </x:row>
    <x:row r="1059" ht="34" customHeight="1">
      <x:c r="A1059" s="7" t="str">
        <x:v>DP5-B</x:v>
      </x:c>
      <x:c r="B1059" s="7" t="str">
        <x:v>U23</x:v>
      </x:c>
      <x:c r="C1059" s="7" t="str">
        <x:v>meaning</x:v>
      </x:c>
      <x:c r="D1059" s="7" t="str">
        <x:v>request</x:v>
      </x:c>
      <x:c r="E1059" s="7" t="str">
        <x:v>text_input</x:v>
      </x:c>
      <x:c r="F1059" s="16" t="n">
        <x:v>960</x:v>
      </x:c>
      <x:c r="G1059" s="18" t="n">
        <x:v>0.000001</x:v>
      </x:c>
      <x:c r="H1059" s="16" t="n">
        <x:f>F1059*G1059</x:f>
        <x:v>0.0009599999999999999</x:v>
      </x:c>
    </x:row>
    <x:row r="1060" ht="34" customHeight="1">
      <x:c r="A1060" s="12" t="str">
        <x:v>DP5-B</x:v>
      </x:c>
      <x:c r="B1060" s="12" t="str">
        <x:v>U23</x:v>
      </x:c>
      <x:c r="C1060" s="12" t="str">
        <x:v>meaning</x:v>
      </x:c>
      <x:c r="D1060" s="12" t="str">
        <x:v>request</x:v>
      </x:c>
      <x:c r="E1060" s="12" t="str">
        <x:v>text_output</x:v>
      </x:c>
      <x:c r="F1060" s="15" t="n">
        <x:v>64</x:v>
      </x:c>
      <x:c r="G1060" s="17" t="n">
        <x:v>0.000004</x:v>
      </x:c>
      <x:c r="H1060" s="15" t="n">
        <x:f>F1060*G1060</x:f>
        <x:v>0.000256</x:v>
      </x:c>
    </x:row>
    <x:row r="1061" ht="34" customHeight="1">
      <x:c r="A1061" s="7" t="str">
        <x:v>DP5-B</x:v>
      </x:c>
      <x:c r="B1061" s="7" t="str">
        <x:v>U23</x:v>
      </x:c>
      <x:c r="C1061" s="7" t="str">
        <x:v>question_audio</x:v>
      </x:c>
      <x:c r="D1061" s="7" t="str">
        <x:v>preparation</x:v>
      </x:c>
      <x:c r="E1061" s="7" t="str">
        <x:v>text_input</x:v>
      </x:c>
      <x:c r="F1061" s="16" t="n">
        <x:v>48</x:v>
      </x:c>
      <x:c r="G1061" s="18" t="n">
        <x:v>0.000001</x:v>
      </x:c>
      <x:c r="H1061" s="16" t="n">
        <x:f>F1061*G1061</x:f>
        <x:v>0.000048</x:v>
      </x:c>
    </x:row>
    <x:row r="1062" ht="34" customHeight="1">
      <x:c r="A1062" s="12" t="str">
        <x:v>DP5-B</x:v>
      </x:c>
      <x:c r="B1062" s="12" t="str">
        <x:v>U23</x:v>
      </x:c>
      <x:c r="C1062" s="12" t="str">
        <x:v>question_audio</x:v>
      </x:c>
      <x:c r="D1062" s="12" t="str">
        <x:v>preparation</x:v>
      </x:c>
      <x:c r="E1062" s="12" t="str">
        <x:v>audio_output</x:v>
      </x:c>
      <x:c r="F1062" s="15" t="n">
        <x:v>6</x:v>
      </x:c>
      <x:c r="G1062" s="17" t="n">
        <x:v>0.002</x:v>
      </x:c>
      <x:c r="H1062" s="15" t="n">
        <x:f>F1062*G1062</x:f>
        <x:v>0.012</x:v>
      </x:c>
    </x:row>
    <x:row r="1063" ht="34" customHeight="1">
      <x:c r="A1063" s="7" t="str">
        <x:v>DP5-B</x:v>
      </x:c>
      <x:c r="B1063" s="7" t="str">
        <x:v>U23</x:v>
      </x:c>
      <x:c r="C1063" s="7" t="str">
        <x:v>final_result_audio</x:v>
      </x:c>
      <x:c r="D1063" s="7" t="str">
        <x:v>request</x:v>
      </x:c>
      <x:c r="E1063" s="7" t="str">
        <x:v>text_input</x:v>
      </x:c>
      <x:c r="F1063" s="16" t="n">
        <x:v>48</x:v>
      </x:c>
      <x:c r="G1063" s="18" t="n">
        <x:v>0.000001</x:v>
      </x:c>
      <x:c r="H1063" s="16" t="n">
        <x:f>F1063*G1063</x:f>
        <x:v>0.000048</x:v>
      </x:c>
    </x:row>
    <x:row r="1064" ht="34" customHeight="1">
      <x:c r="A1064" s="12" t="str">
        <x:v>DP5-B</x:v>
      </x:c>
      <x:c r="B1064" s="12" t="str">
        <x:v>U23</x:v>
      </x:c>
      <x:c r="C1064" s="12" t="str">
        <x:v>final_result_audio</x:v>
      </x:c>
      <x:c r="D1064" s="12" t="str">
        <x:v>request</x:v>
      </x:c>
      <x:c r="E1064" s="12" t="str">
        <x:v>audio_output</x:v>
      </x:c>
      <x:c r="F1064" s="15" t="n">
        <x:v>6</x:v>
      </x:c>
      <x:c r="G1064" s="17" t="n">
        <x:v>0.002</x:v>
      </x:c>
      <x:c r="H1064" s="15" t="n">
        <x:f>F1064*G1064</x:f>
        <x:v>0.012</x:v>
      </x:c>
    </x:row>
    <x:row r="1065" ht="34" customHeight="1">
      <x:c r="A1065" s="7" t="str">
        <x:v>DP5-B</x:v>
      </x:c>
      <x:c r="B1065" s="7" t="str">
        <x:v>U24</x:v>
      </x:c>
      <x:c r="C1065" s="7" t="str">
        <x:v>bg1</x:v>
      </x:c>
      <x:c r="D1065" s="7" t="str">
        <x:v>background</x:v>
      </x:c>
      <x:c r="E1065" s="7" t="str">
        <x:v>text_input</x:v>
      </x:c>
      <x:c r="F1065" s="16" t="n">
        <x:v>1200</x:v>
      </x:c>
      <x:c r="G1065" s="18" t="n">
        <x:v>0.000001</x:v>
      </x:c>
      <x:c r="H1065" s="16" t="n">
        <x:f>F1065*G1065</x:f>
        <x:v>0.0012</x:v>
      </x:c>
    </x:row>
    <x:row r="1066" ht="34" customHeight="1">
      <x:c r="A1066" s="12" t="str">
        <x:v>DP5-B</x:v>
      </x:c>
      <x:c r="B1066" s="12" t="str">
        <x:v>U24</x:v>
      </x:c>
      <x:c r="C1066" s="12" t="str">
        <x:v>bg1</x:v>
      </x:c>
      <x:c r="D1066" s="12" t="str">
        <x:v>background</x:v>
      </x:c>
      <x:c r="E1066" s="12" t="str">
        <x:v>text_output</x:v>
      </x:c>
      <x:c r="F1066" s="15" t="n">
        <x:v>240</x:v>
      </x:c>
      <x:c r="G1066" s="17" t="n">
        <x:v>0.000004</x:v>
      </x:c>
      <x:c r="H1066" s="15" t="n">
        <x:f>F1066*G1066</x:f>
        <x:v>0.0009599999999999999</x:v>
      </x:c>
    </x:row>
    <x:row r="1067" ht="34" customHeight="1">
      <x:c r="A1067" s="7" t="str">
        <x:v>DP5-B</x:v>
      </x:c>
      <x:c r="B1067" s="7" t="str">
        <x:v>U24</x:v>
      </x:c>
      <x:c r="C1067" s="7" t="str">
        <x:v>relation_prior</x:v>
      </x:c>
      <x:c r="D1067" s="7" t="str">
        <x:v>preparation</x:v>
      </x:c>
      <x:c r="E1067" s="7" t="str">
        <x:v>text_input</x:v>
      </x:c>
      <x:c r="F1067" s="16" t="n">
        <x:v>1800</x:v>
      </x:c>
      <x:c r="G1067" s="18" t="n">
        <x:v>0.000001</x:v>
      </x:c>
      <x:c r="H1067" s="16" t="n">
        <x:f>F1067*G1067</x:f>
        <x:v>0.0018</x:v>
      </x:c>
    </x:row>
    <x:row r="1068" ht="34" customHeight="1">
      <x:c r="A1068" s="12" t="str">
        <x:v>DP5-B</x:v>
      </x:c>
      <x:c r="B1068" s="12" t="str">
        <x:v>U24</x:v>
      </x:c>
      <x:c r="C1068" s="12" t="str">
        <x:v>relation_prior</x:v>
      </x:c>
      <x:c r="D1068" s="12" t="str">
        <x:v>preparation</x:v>
      </x:c>
      <x:c r="E1068" s="12" t="str">
        <x:v>text_output</x:v>
      </x:c>
      <x:c r="F1068" s="15" t="n">
        <x:v>120</x:v>
      </x:c>
      <x:c r="G1068" s="17" t="n">
        <x:v>0.000004</x:v>
      </x:c>
      <x:c r="H1068" s="15" t="n">
        <x:f>F1068*G1068</x:f>
        <x:v>0.00047999999999999996</x:v>
      </x:c>
    </x:row>
    <x:row r="1069" ht="34" customHeight="1">
      <x:c r="A1069" s="7" t="str">
        <x:v>DP5-B</x:v>
      </x:c>
      <x:c r="B1069" s="7" t="str">
        <x:v>U24</x:v>
      </x:c>
      <x:c r="C1069" s="7" t="str">
        <x:v>relation_unused</x:v>
      </x:c>
      <x:c r="D1069" s="7" t="str">
        <x:v>preparation</x:v>
      </x:c>
      <x:c r="E1069" s="7" t="str">
        <x:v>text_input</x:v>
      </x:c>
      <x:c r="F1069" s="16" t="n">
        <x:v>1800</x:v>
      </x:c>
      <x:c r="G1069" s="18" t="n">
        <x:v>0.000001</x:v>
      </x:c>
      <x:c r="H1069" s="16" t="n">
        <x:f>F1069*G1069</x:f>
        <x:v>0.0018</x:v>
      </x:c>
    </x:row>
    <x:row r="1070" ht="34" customHeight="1">
      <x:c r="A1070" s="12" t="str">
        <x:v>DP5-B</x:v>
      </x:c>
      <x:c r="B1070" s="12" t="str">
        <x:v>U24</x:v>
      </x:c>
      <x:c r="C1070" s="12" t="str">
        <x:v>relation_unused</x:v>
      </x:c>
      <x:c r="D1070" s="12" t="str">
        <x:v>preparation</x:v>
      </x:c>
      <x:c r="E1070" s="12" t="str">
        <x:v>text_output</x:v>
      </x:c>
      <x:c r="F1070" s="15" t="n">
        <x:v>120</x:v>
      </x:c>
      <x:c r="G1070" s="17" t="n">
        <x:v>0.000004</x:v>
      </x:c>
      <x:c r="H1070" s="15" t="n">
        <x:f>F1070*G1070</x:f>
        <x:v>0.00047999999999999996</x:v>
      </x:c>
    </x:row>
    <x:row r="1071" ht="34" customHeight="1">
      <x:c r="A1071" s="7" t="str">
        <x:v>DP5-B</x:v>
      </x:c>
      <x:c r="B1071" s="7" t="str">
        <x:v>U24</x:v>
      </x:c>
      <x:c r="C1071" s="7" t="str">
        <x:v>relation_update</x:v>
      </x:c>
      <x:c r="D1071" s="7" t="str">
        <x:v>preparation</x:v>
      </x:c>
      <x:c r="E1071" s="7" t="str">
        <x:v>text_input</x:v>
      </x:c>
      <x:c r="F1071" s="16" t="n">
        <x:v>1800</x:v>
      </x:c>
      <x:c r="G1071" s="18" t="n">
        <x:v>0.000001</x:v>
      </x:c>
      <x:c r="H1071" s="16" t="n">
        <x:f>F1071*G1071</x:f>
        <x:v>0.0018</x:v>
      </x:c>
    </x:row>
    <x:row r="1072" ht="34" customHeight="1">
      <x:c r="A1072" s="12" t="str">
        <x:v>DP5-B</x:v>
      </x:c>
      <x:c r="B1072" s="12" t="str">
        <x:v>U24</x:v>
      </x:c>
      <x:c r="C1072" s="12" t="str">
        <x:v>relation_update</x:v>
      </x:c>
      <x:c r="D1072" s="12" t="str">
        <x:v>preparation</x:v>
      </x:c>
      <x:c r="E1072" s="12" t="str">
        <x:v>text_output</x:v>
      </x:c>
      <x:c r="F1072" s="15" t="n">
        <x:v>120</x:v>
      </x:c>
      <x:c r="G1072" s="17" t="n">
        <x:v>0.000004</x:v>
      </x:c>
      <x:c r="H1072" s="15" t="n">
        <x:f>F1072*G1072</x:f>
        <x:v>0.00047999999999999996</x:v>
      </x:c>
    </x:row>
    <x:row r="1073" ht="34" customHeight="1">
      <x:c r="A1073" s="7" t="str">
        <x:v>DP5-B</x:v>
      </x:c>
      <x:c r="B1073" s="7" t="str">
        <x:v>U24</x:v>
      </x:c>
      <x:c r="C1073" s="7" t="str">
        <x:v>meaning</x:v>
      </x:c>
      <x:c r="D1073" s="7" t="str">
        <x:v>request</x:v>
      </x:c>
      <x:c r="E1073" s="7" t="str">
        <x:v>text_input</x:v>
      </x:c>
      <x:c r="F1073" s="16" t="n">
        <x:v>6600</x:v>
      </x:c>
      <x:c r="G1073" s="18" t="n">
        <x:v>0.000001</x:v>
      </x:c>
      <x:c r="H1073" s="16" t="n">
        <x:f>F1073*G1073</x:f>
        <x:v>0.0066</x:v>
      </x:c>
    </x:row>
    <x:row r="1074" ht="34" customHeight="1">
      <x:c r="A1074" s="12" t="str">
        <x:v>DP5-B</x:v>
      </x:c>
      <x:c r="B1074" s="12" t="str">
        <x:v>U24</x:v>
      </x:c>
      <x:c r="C1074" s="12" t="str">
        <x:v>meaning</x:v>
      </x:c>
      <x:c r="D1074" s="12" t="str">
        <x:v>request</x:v>
      </x:c>
      <x:c r="E1074" s="12" t="str">
        <x:v>text_output</x:v>
      </x:c>
      <x:c r="F1074" s="15" t="n">
        <x:v>64</x:v>
      </x:c>
      <x:c r="G1074" s="17" t="n">
        <x:v>0.000004</x:v>
      </x:c>
      <x:c r="H1074" s="15" t="n">
        <x:f>F1074*G1074</x:f>
        <x:v>0.000256</x:v>
      </x:c>
    </x:row>
    <x:row r="1075" ht="34" customHeight="1">
      <x:c r="A1075" s="7" t="str">
        <x:v>DP5-B</x:v>
      </x:c>
      <x:c r="B1075" s="7" t="str">
        <x:v>U24</x:v>
      </x:c>
      <x:c r="C1075" s="7" t="str">
        <x:v>response_audio</x:v>
      </x:c>
      <x:c r="D1075" s="7" t="str">
        <x:v>request</x:v>
      </x:c>
      <x:c r="E1075" s="7" t="str">
        <x:v>text_input</x:v>
      </x:c>
      <x:c r="F1075" s="16" t="n">
        <x:v>48</x:v>
      </x:c>
      <x:c r="G1075" s="18" t="n">
        <x:v>0.000001</x:v>
      </x:c>
      <x:c r="H1075" s="16" t="n">
        <x:f>F1075*G1075</x:f>
        <x:v>0.000048</x:v>
      </x:c>
    </x:row>
    <x:row r="1076" ht="34" customHeight="1">
      <x:c r="A1076" s="12" t="str">
        <x:v>DP5-B</x:v>
      </x:c>
      <x:c r="B1076" s="12" t="str">
        <x:v>U24</x:v>
      </x:c>
      <x:c r="C1076" s="12" t="str">
        <x:v>response_audio</x:v>
      </x:c>
      <x:c r="D1076" s="12" t="str">
        <x:v>request</x:v>
      </x:c>
      <x:c r="E1076" s="12" t="str">
        <x:v>audio_output</x:v>
      </x:c>
      <x:c r="F1076" s="15" t="n">
        <x:v>6</x:v>
      </x:c>
      <x:c r="G1076" s="17" t="n">
        <x:v>0.002</x:v>
      </x:c>
      <x:c r="H1076" s="15" t="n">
        <x:f>F1076*G1076</x:f>
        <x:v>0.012</x:v>
      </x:c>
    </x:row>
    <x:row r="1077" ht="34" customHeight="1">
      <x:c r="A1077" s="7" t="str">
        <x:v>DP5-B</x:v>
      </x:c>
      <x:c r="B1077" s="7" t="str">
        <x:v>U24</x:v>
      </x:c>
      <x:c r="C1077" s="7" t="str">
        <x:v>intent_audio</x:v>
      </x:c>
      <x:c r="D1077" s="7" t="str">
        <x:v>request</x:v>
      </x:c>
      <x:c r="E1077" s="7" t="str">
        <x:v>text_input</x:v>
      </x:c>
      <x:c r="F1077" s="16" t="n">
        <x:v>24</x:v>
      </x:c>
      <x:c r="G1077" s="18" t="n">
        <x:v>0.000001</x:v>
      </x:c>
      <x:c r="H1077" s="16" t="n">
        <x:f>F1077*G1077</x:f>
        <x:v>0.000024</x:v>
      </x:c>
    </x:row>
    <x:row r="1078" ht="34" customHeight="1">
      <x:c r="A1078" s="12" t="str">
        <x:v>DP5-B</x:v>
      </x:c>
      <x:c r="B1078" s="12" t="str">
        <x:v>U24</x:v>
      </x:c>
      <x:c r="C1078" s="12" t="str">
        <x:v>intent_audio</x:v>
      </x:c>
      <x:c r="D1078" s="12" t="str">
        <x:v>request</x:v>
      </x:c>
      <x:c r="E1078" s="12" t="str">
        <x:v>audio_output</x:v>
      </x:c>
      <x:c r="F1078" s="15" t="n">
        <x:v>3</x:v>
      </x:c>
      <x:c r="G1078" s="17" t="n">
        <x:v>0.002</x:v>
      </x:c>
      <x:c r="H1078" s="15" t="n">
        <x:f>F1078*G1078</x:f>
        <x:v>0.006</x:v>
      </x:c>
    </x:row>
    <x:row r="1079" ht="34" customHeight="1">
      <x:c r="A1079" s="7" t="str">
        <x:v>DP5-B</x:v>
      </x:c>
      <x:c r="B1079" s="7" t="str">
        <x:v>U24</x:v>
      </x:c>
      <x:c r="C1079" s="7" t="str">
        <x:v>input_end</x:v>
      </x:c>
      <x:c r="D1079" s="7" t="str">
        <x:v>input</x:v>
      </x:c>
      <x:c r="E1079" s="7" t="str">
        <x:v>audio_input</x:v>
      </x:c>
      <x:c r="F1079" s="16" t="n">
        <x:v>3</x:v>
      </x:c>
      <x:c r="G1079" s="18" t="n">
        <x:v>0.001</x:v>
      </x:c>
      <x:c r="H1079" s="16" t="n">
        <x:f>F1079*G1079</x:f>
        <x:v>0.003</x:v>
      </x:c>
    </x:row>
    <x:row r="1080" ht="34" customHeight="1">
      <x:c r="A1080" s="12" t="str">
        <x:v>DP44-B</x:v>
      </x:c>
      <x:c r="B1080" s="12" t="str">
        <x:v>U01</x:v>
      </x:c>
      <x:c r="C1080" s="12" t="str">
        <x:v>meaning</x:v>
      </x:c>
      <x:c r="D1080" s="12" t="str">
        <x:v>request</x:v>
      </x:c>
      <x:c r="E1080" s="12" t="str">
        <x:v>text_input</x:v>
      </x:c>
      <x:c r="F1080" s="15" t="n">
        <x:v>600</x:v>
      </x:c>
      <x:c r="G1080" s="17" t="n">
        <x:v>0.000001</x:v>
      </x:c>
      <x:c r="H1080" s="15" t="n">
        <x:f>F1080*G1080</x:f>
        <x:v>0.0006</x:v>
      </x:c>
    </x:row>
    <x:row r="1081" ht="34" customHeight="1">
      <x:c r="A1081" s="7" t="str">
        <x:v>DP44-B</x:v>
      </x:c>
      <x:c r="B1081" s="7" t="str">
        <x:v>U01</x:v>
      </x:c>
      <x:c r="C1081" s="7" t="str">
        <x:v>meaning</x:v>
      </x:c>
      <x:c r="D1081" s="7" t="str">
        <x:v>request</x:v>
      </x:c>
      <x:c r="E1081" s="7" t="str">
        <x:v>text_output</x:v>
      </x:c>
      <x:c r="F1081" s="16" t="n">
        <x:v>64</x:v>
      </x:c>
      <x:c r="G1081" s="18" t="n">
        <x:v>0.000004</x:v>
      </x:c>
      <x:c r="H1081" s="16" t="n">
        <x:f>F1081*G1081</x:f>
        <x:v>0.000256</x:v>
      </x:c>
    </x:row>
    <x:row r="1082" ht="34" customHeight="1">
      <x:c r="A1082" s="12" t="str">
        <x:v>DP44-B</x:v>
      </x:c>
      <x:c r="B1082" s="12" t="str">
        <x:v>U01</x:v>
      </x:c>
      <x:c r="C1082" s="12" t="str">
        <x:v>response_audio</x:v>
      </x:c>
      <x:c r="D1082" s="12" t="str">
        <x:v>request</x:v>
      </x:c>
      <x:c r="E1082" s="12" t="str">
        <x:v>text_input</x:v>
      </x:c>
      <x:c r="F1082" s="15" t="n">
        <x:v>48</x:v>
      </x:c>
      <x:c r="G1082" s="17" t="n">
        <x:v>0.000001</x:v>
      </x:c>
      <x:c r="H1082" s="15" t="n">
        <x:f>F1082*G1082</x:f>
        <x:v>0.000048</x:v>
      </x:c>
    </x:row>
    <x:row r="1083" ht="34" customHeight="1">
      <x:c r="A1083" s="7" t="str">
        <x:v>DP44-B</x:v>
      </x:c>
      <x:c r="B1083" s="7" t="str">
        <x:v>U01</x:v>
      </x:c>
      <x:c r="C1083" s="7" t="str">
        <x:v>response_audio</x:v>
      </x:c>
      <x:c r="D1083" s="7" t="str">
        <x:v>request</x:v>
      </x:c>
      <x:c r="E1083" s="7" t="str">
        <x:v>audio_output</x:v>
      </x:c>
      <x:c r="F1083" s="16" t="n">
        <x:v>6</x:v>
      </x:c>
      <x:c r="G1083" s="18" t="n">
        <x:v>0.002</x:v>
      </x:c>
      <x:c r="H1083" s="16" t="n">
        <x:f>F1083*G1083</x:f>
        <x:v>0.012</x:v>
      </x:c>
    </x:row>
    <x:row r="1084" ht="34" customHeight="1">
      <x:c r="A1084" s="12" t="str">
        <x:v>DP44-B</x:v>
      </x:c>
      <x:c r="B1084" s="12" t="str">
        <x:v>U02</x:v>
      </x:c>
      <x:c r="C1084" s="12" t="str">
        <x:v>meaning</x:v>
      </x:c>
      <x:c r="D1084" s="12" t="str">
        <x:v>request</x:v>
      </x:c>
      <x:c r="E1084" s="12" t="str">
        <x:v>text_input</x:v>
      </x:c>
      <x:c r="F1084" s="15" t="n">
        <x:v>600</x:v>
      </x:c>
      <x:c r="G1084" s="17" t="n">
        <x:v>0.000001</x:v>
      </x:c>
      <x:c r="H1084" s="15" t="n">
        <x:f>F1084*G1084</x:f>
        <x:v>0.0006</x:v>
      </x:c>
    </x:row>
    <x:row r="1085" ht="34" customHeight="1">
      <x:c r="A1085" s="7" t="str">
        <x:v>DP44-B</x:v>
      </x:c>
      <x:c r="B1085" s="7" t="str">
        <x:v>U02</x:v>
      </x:c>
      <x:c r="C1085" s="7" t="str">
        <x:v>meaning</x:v>
      </x:c>
      <x:c r="D1085" s="7" t="str">
        <x:v>request</x:v>
      </x:c>
      <x:c r="E1085" s="7" t="str">
        <x:v>text_output</x:v>
      </x:c>
      <x:c r="F1085" s="16" t="n">
        <x:v>64</x:v>
      </x:c>
      <x:c r="G1085" s="18" t="n">
        <x:v>0.000004</x:v>
      </x:c>
      <x:c r="H1085" s="16" t="n">
        <x:f>F1085*G1085</x:f>
        <x:v>0.000256</x:v>
      </x:c>
    </x:row>
    <x:row r="1086" ht="34" customHeight="1">
      <x:c r="A1086" s="12" t="str">
        <x:v>DP44-B</x:v>
      </x:c>
      <x:c r="B1086" s="12" t="str">
        <x:v>U02</x:v>
      </x:c>
      <x:c r="C1086" s="12" t="str">
        <x:v>response_audio</x:v>
      </x:c>
      <x:c r="D1086" s="12" t="str">
        <x:v>request</x:v>
      </x:c>
      <x:c r="E1086" s="12" t="str">
        <x:v>text_input</x:v>
      </x:c>
      <x:c r="F1086" s="15" t="n">
        <x:v>24</x:v>
      </x:c>
      <x:c r="G1086" s="17" t="n">
        <x:v>0.000001</x:v>
      </x:c>
      <x:c r="H1086" s="15" t="n">
        <x:f>F1086*G1086</x:f>
        <x:v>0.000024</x:v>
      </x:c>
    </x:row>
    <x:row r="1087" ht="34" customHeight="1">
      <x:c r="A1087" s="7" t="str">
        <x:v>DP44-B</x:v>
      </x:c>
      <x:c r="B1087" s="7" t="str">
        <x:v>U02</x:v>
      </x:c>
      <x:c r="C1087" s="7" t="str">
        <x:v>response_audio</x:v>
      </x:c>
      <x:c r="D1087" s="7" t="str">
        <x:v>request</x:v>
      </x:c>
      <x:c r="E1087" s="7" t="str">
        <x:v>audio_output</x:v>
      </x:c>
      <x:c r="F1087" s="16" t="n">
        <x:v>3</x:v>
      </x:c>
      <x:c r="G1087" s="18" t="n">
        <x:v>0.002</x:v>
      </x:c>
      <x:c r="H1087" s="16" t="n">
        <x:f>F1087*G1087</x:f>
        <x:v>0.006</x:v>
      </x:c>
    </x:row>
    <x:row r="1088" ht="34" customHeight="1">
      <x:c r="A1088" s="12" t="str">
        <x:v>DP44-B</x:v>
      </x:c>
      <x:c r="B1088" s="12" t="str">
        <x:v>U02</x:v>
      </x:c>
      <x:c r="C1088" s="12" t="str">
        <x:v>input_end</x:v>
      </x:c>
      <x:c r="D1088" s="12" t="str">
        <x:v>input</x:v>
      </x:c>
      <x:c r="E1088" s="12" t="str">
        <x:v>audio_input</x:v>
      </x:c>
      <x:c r="F1088" s="15" t="n">
        <x:v>3</x:v>
      </x:c>
      <x:c r="G1088" s="17" t="n">
        <x:v>0.001</x:v>
      </x:c>
      <x:c r="H1088" s="15" t="n">
        <x:f>F1088*G1088</x:f>
        <x:v>0.003</x:v>
      </x:c>
    </x:row>
    <x:row r="1089" ht="34" customHeight="1">
      <x:c r="A1089" s="7" t="str">
        <x:v>DP44-B</x:v>
      </x:c>
      <x:c r="B1089" s="7" t="str">
        <x:v>U03</x:v>
      </x:c>
      <x:c r="C1089" s="7" t="str">
        <x:v>meaning</x:v>
      </x:c>
      <x:c r="D1089" s="7" t="str">
        <x:v>request</x:v>
      </x:c>
      <x:c r="E1089" s="7" t="str">
        <x:v>text_input</x:v>
      </x:c>
      <x:c r="F1089" s="16" t="n">
        <x:v>600</x:v>
      </x:c>
      <x:c r="G1089" s="18" t="n">
        <x:v>0.000001</x:v>
      </x:c>
      <x:c r="H1089" s="16" t="n">
        <x:f>F1089*G1089</x:f>
        <x:v>0.0006</x:v>
      </x:c>
    </x:row>
    <x:row r="1090" ht="34" customHeight="1">
      <x:c r="A1090" s="12" t="str">
        <x:v>DP44-B</x:v>
      </x:c>
      <x:c r="B1090" s="12" t="str">
        <x:v>U03</x:v>
      </x:c>
      <x:c r="C1090" s="12" t="str">
        <x:v>meaning</x:v>
      </x:c>
      <x:c r="D1090" s="12" t="str">
        <x:v>request</x:v>
      </x:c>
      <x:c r="E1090" s="12" t="str">
        <x:v>text_output</x:v>
      </x:c>
      <x:c r="F1090" s="15" t="n">
        <x:v>64</x:v>
      </x:c>
      <x:c r="G1090" s="17" t="n">
        <x:v>0.000004</x:v>
      </x:c>
      <x:c r="H1090" s="15" t="n">
        <x:f>F1090*G1090</x:f>
        <x:v>0.000256</x:v>
      </x:c>
    </x:row>
    <x:row r="1091" ht="34" customHeight="1">
      <x:c r="A1091" s="7" t="str">
        <x:v>DP44-B</x:v>
      </x:c>
      <x:c r="B1091" s="7" t="str">
        <x:v>U03</x:v>
      </x:c>
      <x:c r="C1091" s="7" t="str">
        <x:v>long_work</x:v>
      </x:c>
      <x:c r="D1091" s="7" t="str">
        <x:v>request</x:v>
      </x:c>
      <x:c r="E1091" s="7" t="str">
        <x:v>text_input</x:v>
      </x:c>
      <x:c r="F1091" s="16" t="n">
        <x:v>1200</x:v>
      </x:c>
      <x:c r="G1091" s="18" t="n">
        <x:v>0.000001</x:v>
      </x:c>
      <x:c r="H1091" s="16" t="n">
        <x:f>F1091*G1091</x:f>
        <x:v>0.0012</x:v>
      </x:c>
    </x:row>
    <x:row r="1092" ht="34" customHeight="1">
      <x:c r="A1092" s="12" t="str">
        <x:v>DP44-B</x:v>
      </x:c>
      <x:c r="B1092" s="12" t="str">
        <x:v>U03</x:v>
      </x:c>
      <x:c r="C1092" s="12" t="str">
        <x:v>long_work</x:v>
      </x:c>
      <x:c r="D1092" s="12" t="str">
        <x:v>request</x:v>
      </x:c>
      <x:c r="E1092" s="12" t="str">
        <x:v>text_output</x:v>
      </x:c>
      <x:c r="F1092" s="15" t="n">
        <x:v>96</x:v>
      </x:c>
      <x:c r="G1092" s="17" t="n">
        <x:v>0.000004</x:v>
      </x:c>
      <x:c r="H1092" s="15" t="n">
        <x:f>F1092*G1092</x:f>
        <x:v>0.000384</x:v>
      </x:c>
    </x:row>
    <x:row r="1093" ht="34" customHeight="1">
      <x:c r="A1093" s="7" t="str">
        <x:v>DP44-B</x:v>
      </x:c>
      <x:c r="B1093" s="7" t="str">
        <x:v>U03</x:v>
      </x:c>
      <x:c r="C1093" s="7" t="str">
        <x:v>response_audio</x:v>
      </x:c>
      <x:c r="D1093" s="7" t="str">
        <x:v>request</x:v>
      </x:c>
      <x:c r="E1093" s="7" t="str">
        <x:v>text_input</x:v>
      </x:c>
      <x:c r="F1093" s="16" t="n">
        <x:v>48</x:v>
      </x:c>
      <x:c r="G1093" s="18" t="n">
        <x:v>0.000001</x:v>
      </x:c>
      <x:c r="H1093" s="16" t="n">
        <x:f>F1093*G1093</x:f>
        <x:v>0.000048</x:v>
      </x:c>
    </x:row>
    <x:row r="1094" ht="34" customHeight="1">
      <x:c r="A1094" s="12" t="str">
        <x:v>DP44-B</x:v>
      </x:c>
      <x:c r="B1094" s="12" t="str">
        <x:v>U03</x:v>
      </x:c>
      <x:c r="C1094" s="12" t="str">
        <x:v>response_audio</x:v>
      </x:c>
      <x:c r="D1094" s="12" t="str">
        <x:v>request</x:v>
      </x:c>
      <x:c r="E1094" s="12" t="str">
        <x:v>audio_output</x:v>
      </x:c>
      <x:c r="F1094" s="15" t="n">
        <x:v>6</x:v>
      </x:c>
      <x:c r="G1094" s="17" t="n">
        <x:v>0.002</x:v>
      </x:c>
      <x:c r="H1094" s="15" t="n">
        <x:f>F1094*G1094</x:f>
        <x:v>0.012</x:v>
      </x:c>
    </x:row>
    <x:row r="1095" ht="34" customHeight="1">
      <x:c r="A1095" s="7" t="str">
        <x:v>DP44-B</x:v>
      </x:c>
      <x:c r="B1095" s="7" t="str">
        <x:v>U03</x:v>
      </x:c>
      <x:c r="C1095" s="7" t="str">
        <x:v>intent_audio</x:v>
      </x:c>
      <x:c r="D1095" s="7" t="str">
        <x:v>request</x:v>
      </x:c>
      <x:c r="E1095" s="7" t="str">
        <x:v>text_input</x:v>
      </x:c>
      <x:c r="F1095" s="16" t="n">
        <x:v>24</x:v>
      </x:c>
      <x:c r="G1095" s="18" t="n">
        <x:v>0.000001</x:v>
      </x:c>
      <x:c r="H1095" s="16" t="n">
        <x:f>F1095*G1095</x:f>
        <x:v>0.000024</x:v>
      </x:c>
    </x:row>
    <x:row r="1096" ht="34" customHeight="1">
      <x:c r="A1096" s="12" t="str">
        <x:v>DP44-B</x:v>
      </x:c>
      <x:c r="B1096" s="12" t="str">
        <x:v>U03</x:v>
      </x:c>
      <x:c r="C1096" s="12" t="str">
        <x:v>intent_audio</x:v>
      </x:c>
      <x:c r="D1096" s="12" t="str">
        <x:v>request</x:v>
      </x:c>
      <x:c r="E1096" s="12" t="str">
        <x:v>audio_output</x:v>
      </x:c>
      <x:c r="F1096" s="15" t="n">
        <x:v>3</x:v>
      </x:c>
      <x:c r="G1096" s="17" t="n">
        <x:v>0.002</x:v>
      </x:c>
      <x:c r="H1096" s="15" t="n">
        <x:f>F1096*G1096</x:f>
        <x:v>0.006</x:v>
      </x:c>
    </x:row>
    <x:row r="1097" ht="34" customHeight="1">
      <x:c r="A1097" s="7" t="str">
        <x:v>DP44-B</x:v>
      </x:c>
      <x:c r="B1097" s="7" t="str">
        <x:v>U04</x:v>
      </x:c>
      <x:c r="C1097" s="7" t="str">
        <x:v>meaning</x:v>
      </x:c>
      <x:c r="D1097" s="7" t="str">
        <x:v>request</x:v>
      </x:c>
      <x:c r="E1097" s="7" t="str">
        <x:v>text_input</x:v>
      </x:c>
      <x:c r="F1097" s="16" t="n">
        <x:v>600</x:v>
      </x:c>
      <x:c r="G1097" s="18" t="n">
        <x:v>0.000001</x:v>
      </x:c>
      <x:c r="H1097" s="16" t="n">
        <x:f>F1097*G1097</x:f>
        <x:v>0.0006</x:v>
      </x:c>
    </x:row>
    <x:row r="1098" ht="34" customHeight="1">
      <x:c r="A1098" s="12" t="str">
        <x:v>DP44-B</x:v>
      </x:c>
      <x:c r="B1098" s="12" t="str">
        <x:v>U04</x:v>
      </x:c>
      <x:c r="C1098" s="12" t="str">
        <x:v>meaning</x:v>
      </x:c>
      <x:c r="D1098" s="12" t="str">
        <x:v>request</x:v>
      </x:c>
      <x:c r="E1098" s="12" t="str">
        <x:v>text_output</x:v>
      </x:c>
      <x:c r="F1098" s="15" t="n">
        <x:v>64</x:v>
      </x:c>
      <x:c r="G1098" s="17" t="n">
        <x:v>0.000004</x:v>
      </x:c>
      <x:c r="H1098" s="15" t="n">
        <x:f>F1098*G1098</x:f>
        <x:v>0.000256</x:v>
      </x:c>
    </x:row>
    <x:row r="1099" ht="34" customHeight="1">
      <x:c r="A1099" s="7" t="str">
        <x:v>DP44-B</x:v>
      </x:c>
      <x:c r="B1099" s="7" t="str">
        <x:v>U04</x:v>
      </x:c>
      <x:c r="C1099" s="7" t="str">
        <x:v>response_audio</x:v>
      </x:c>
      <x:c r="D1099" s="7" t="str">
        <x:v>request</x:v>
      </x:c>
      <x:c r="E1099" s="7" t="str">
        <x:v>text_input</x:v>
      </x:c>
      <x:c r="F1099" s="16" t="n">
        <x:v>48</x:v>
      </x:c>
      <x:c r="G1099" s="18" t="n">
        <x:v>0.000001</x:v>
      </x:c>
      <x:c r="H1099" s="16" t="n">
        <x:f>F1099*G1099</x:f>
        <x:v>0.000048</x:v>
      </x:c>
    </x:row>
    <x:row r="1100" ht="34" customHeight="1">
      <x:c r="A1100" s="12" t="str">
        <x:v>DP44-B</x:v>
      </x:c>
      <x:c r="B1100" s="12" t="str">
        <x:v>U04</x:v>
      </x:c>
      <x:c r="C1100" s="12" t="str">
        <x:v>response_audio</x:v>
      </x:c>
      <x:c r="D1100" s="12" t="str">
        <x:v>request</x:v>
      </x:c>
      <x:c r="E1100" s="12" t="str">
        <x:v>audio_output</x:v>
      </x:c>
      <x:c r="F1100" s="15" t="n">
        <x:v>6</x:v>
      </x:c>
      <x:c r="G1100" s="17" t="n">
        <x:v>0.002</x:v>
      </x:c>
      <x:c r="H1100" s="15" t="n">
        <x:f>F1100*G1100</x:f>
        <x:v>0.012</x:v>
      </x:c>
    </x:row>
    <x:row r="1101" ht="34" customHeight="1">
      <x:c r="A1101" s="7" t="str">
        <x:v>DP44-B</x:v>
      </x:c>
      <x:c r="B1101" s="7" t="str">
        <x:v>U04</x:v>
      </x:c>
      <x:c r="C1101" s="7" t="str">
        <x:v>input_end</x:v>
      </x:c>
      <x:c r="D1101" s="7" t="str">
        <x:v>input</x:v>
      </x:c>
      <x:c r="E1101" s="7" t="str">
        <x:v>audio_input</x:v>
      </x:c>
      <x:c r="F1101" s="16" t="n">
        <x:v>3</x:v>
      </x:c>
      <x:c r="G1101" s="18" t="n">
        <x:v>0.001</x:v>
      </x:c>
      <x:c r="H1101" s="16" t="n">
        <x:f>F1101*G1101</x:f>
        <x:v>0.003</x:v>
      </x:c>
    </x:row>
    <x:row r="1102" ht="34" customHeight="1">
      <x:c r="A1102" s="12" t="str">
        <x:v>DP44-B</x:v>
      </x:c>
      <x:c r="B1102" s="12" t="str">
        <x:v>U05</x:v>
      </x:c>
      <x:c r="C1102" s="12" t="str">
        <x:v>bg1</x:v>
      </x:c>
      <x:c r="D1102" s="12" t="str">
        <x:v>background</x:v>
      </x:c>
      <x:c r="E1102" s="12" t="str">
        <x:v>text_input</x:v>
      </x:c>
      <x:c r="F1102" s="15" t="n">
        <x:v>1200</x:v>
      </x:c>
      <x:c r="G1102" s="17" t="n">
        <x:v>0.000001</x:v>
      </x:c>
      <x:c r="H1102" s="15" t="n">
        <x:f>F1102*G1102</x:f>
        <x:v>0.0012</x:v>
      </x:c>
    </x:row>
    <x:row r="1103" ht="34" customHeight="1">
      <x:c r="A1103" s="7" t="str">
        <x:v>DP44-B</x:v>
      </x:c>
      <x:c r="B1103" s="7" t="str">
        <x:v>U05</x:v>
      </x:c>
      <x:c r="C1103" s="7" t="str">
        <x:v>bg1</x:v>
      </x:c>
      <x:c r="D1103" s="7" t="str">
        <x:v>background</x:v>
      </x:c>
      <x:c r="E1103" s="7" t="str">
        <x:v>text_output</x:v>
      </x:c>
      <x:c r="F1103" s="16" t="n">
        <x:v>240</x:v>
      </x:c>
      <x:c r="G1103" s="18" t="n">
        <x:v>0.000004</x:v>
      </x:c>
      <x:c r="H1103" s="16" t="n">
        <x:f>F1103*G1103</x:f>
        <x:v>0.0009599999999999999</x:v>
      </x:c>
    </x:row>
    <x:row r="1104" ht="34" customHeight="1">
      <x:c r="A1104" s="12" t="str">
        <x:v>DP44-B</x:v>
      </x:c>
      <x:c r="B1104" s="12" t="str">
        <x:v>U05</x:v>
      </x:c>
      <x:c r="C1104" s="12" t="str">
        <x:v>meaning</x:v>
      </x:c>
      <x:c r="D1104" s="12" t="str">
        <x:v>request</x:v>
      </x:c>
      <x:c r="E1104" s="12" t="str">
        <x:v>text_input</x:v>
      </x:c>
      <x:c r="F1104" s="15" t="n">
        <x:v>600</x:v>
      </x:c>
      <x:c r="G1104" s="17" t="n">
        <x:v>0.000001</x:v>
      </x:c>
      <x:c r="H1104" s="15" t="n">
        <x:f>F1104*G1104</x:f>
        <x:v>0.0006</x:v>
      </x:c>
    </x:row>
    <x:row r="1105" ht="34" customHeight="1">
      <x:c r="A1105" s="7" t="str">
        <x:v>DP44-B</x:v>
      </x:c>
      <x:c r="B1105" s="7" t="str">
        <x:v>U05</x:v>
      </x:c>
      <x:c r="C1105" s="7" t="str">
        <x:v>meaning</x:v>
      </x:c>
      <x:c r="D1105" s="7" t="str">
        <x:v>request</x:v>
      </x:c>
      <x:c r="E1105" s="7" t="str">
        <x:v>text_output</x:v>
      </x:c>
      <x:c r="F1105" s="16" t="n">
        <x:v>64</x:v>
      </x:c>
      <x:c r="G1105" s="18" t="n">
        <x:v>0.000004</x:v>
      </x:c>
      <x:c r="H1105" s="16" t="n">
        <x:f>F1105*G1105</x:f>
        <x:v>0.000256</x:v>
      </x:c>
    </x:row>
    <x:row r="1106" ht="34" customHeight="1">
      <x:c r="A1106" s="12" t="str">
        <x:v>DP44-B</x:v>
      </x:c>
      <x:c r="B1106" s="12" t="str">
        <x:v>U05</x:v>
      </x:c>
      <x:c r="C1106" s="12" t="str">
        <x:v>response_audio</x:v>
      </x:c>
      <x:c r="D1106" s="12" t="str">
        <x:v>request</x:v>
      </x:c>
      <x:c r="E1106" s="12" t="str">
        <x:v>text_input</x:v>
      </x:c>
      <x:c r="F1106" s="15" t="n">
        <x:v>48</x:v>
      </x:c>
      <x:c r="G1106" s="17" t="n">
        <x:v>0.000001</x:v>
      </x:c>
      <x:c r="H1106" s="15" t="n">
        <x:f>F1106*G1106</x:f>
        <x:v>0.000048</x:v>
      </x:c>
    </x:row>
    <x:row r="1107" ht="34" customHeight="1">
      <x:c r="A1107" s="7" t="str">
        <x:v>DP44-B</x:v>
      </x:c>
      <x:c r="B1107" s="7" t="str">
        <x:v>U05</x:v>
      </x:c>
      <x:c r="C1107" s="7" t="str">
        <x:v>response_audio</x:v>
      </x:c>
      <x:c r="D1107" s="7" t="str">
        <x:v>request</x:v>
      </x:c>
      <x:c r="E1107" s="7" t="str">
        <x:v>audio_output</x:v>
      </x:c>
      <x:c r="F1107" s="16" t="n">
        <x:v>6</x:v>
      </x:c>
      <x:c r="G1107" s="18" t="n">
        <x:v>0.002</x:v>
      </x:c>
      <x:c r="H1107" s="16" t="n">
        <x:f>F1107*G1107</x:f>
        <x:v>0.012</x:v>
      </x:c>
    </x:row>
    <x:row r="1108" ht="34" customHeight="1">
      <x:c r="A1108" s="12" t="str">
        <x:v>DP44-B</x:v>
      </x:c>
      <x:c r="B1108" s="12" t="str">
        <x:v>U05</x:v>
      </x:c>
      <x:c r="C1108" s="12" t="str">
        <x:v>input_end</x:v>
      </x:c>
      <x:c r="D1108" s="12" t="str">
        <x:v>input</x:v>
      </x:c>
      <x:c r="E1108" s="12" t="str">
        <x:v>audio_input</x:v>
      </x:c>
      <x:c r="F1108" s="15" t="n">
        <x:v>3</x:v>
      </x:c>
      <x:c r="G1108" s="17" t="n">
        <x:v>0.001</x:v>
      </x:c>
      <x:c r="H1108" s="15" t="n">
        <x:f>F1108*G1108</x:f>
        <x:v>0.003</x:v>
      </x:c>
    </x:row>
    <x:row r="1109" ht="34" customHeight="1">
      <x:c r="A1109" s="7" t="str">
        <x:v>DP44-B</x:v>
      </x:c>
      <x:c r="B1109" s="7" t="str">
        <x:v>U06</x:v>
      </x:c>
      <x:c r="C1109" s="7" t="str">
        <x:v>bg1</x:v>
      </x:c>
      <x:c r="D1109" s="7" t="str">
        <x:v>background</x:v>
      </x:c>
      <x:c r="E1109" s="7" t="str">
        <x:v>text_input</x:v>
      </x:c>
      <x:c r="F1109" s="16" t="n">
        <x:v>1200</x:v>
      </x:c>
      <x:c r="G1109" s="18" t="n">
        <x:v>0.000001</x:v>
      </x:c>
      <x:c r="H1109" s="16" t="n">
        <x:f>F1109*G1109</x:f>
        <x:v>0.0012</x:v>
      </x:c>
    </x:row>
    <x:row r="1110" ht="34" customHeight="1">
      <x:c r="A1110" s="12" t="str">
        <x:v>DP44-B</x:v>
      </x:c>
      <x:c r="B1110" s="12" t="str">
        <x:v>U06</x:v>
      </x:c>
      <x:c r="C1110" s="12" t="str">
        <x:v>bg1</x:v>
      </x:c>
      <x:c r="D1110" s="12" t="str">
        <x:v>background</x:v>
      </x:c>
      <x:c r="E1110" s="12" t="str">
        <x:v>text_output</x:v>
      </x:c>
      <x:c r="F1110" s="15" t="n">
        <x:v>240</x:v>
      </x:c>
      <x:c r="G1110" s="17" t="n">
        <x:v>0.000004</x:v>
      </x:c>
      <x:c r="H1110" s="15" t="n">
        <x:f>F1110*G1110</x:f>
        <x:v>0.0009599999999999999</x:v>
      </x:c>
    </x:row>
    <x:row r="1111" ht="34" customHeight="1">
      <x:c r="A1111" s="7" t="str">
        <x:v>DP44-B</x:v>
      </x:c>
      <x:c r="B1111" s="7" t="str">
        <x:v>U06</x:v>
      </x:c>
      <x:c r="C1111" s="7" t="str">
        <x:v>meaning</x:v>
      </x:c>
      <x:c r="D1111" s="7" t="str">
        <x:v>request</x:v>
      </x:c>
      <x:c r="E1111" s="7" t="str">
        <x:v>text_input</x:v>
      </x:c>
      <x:c r="F1111" s="16" t="n">
        <x:v>600</x:v>
      </x:c>
      <x:c r="G1111" s="18" t="n">
        <x:v>0.000001</x:v>
      </x:c>
      <x:c r="H1111" s="16" t="n">
        <x:f>F1111*G1111</x:f>
        <x:v>0.0006</x:v>
      </x:c>
    </x:row>
    <x:row r="1112" ht="34" customHeight="1">
      <x:c r="A1112" s="12" t="str">
        <x:v>DP44-B</x:v>
      </x:c>
      <x:c r="B1112" s="12" t="str">
        <x:v>U06</x:v>
      </x:c>
      <x:c r="C1112" s="12" t="str">
        <x:v>meaning</x:v>
      </x:c>
      <x:c r="D1112" s="12" t="str">
        <x:v>request</x:v>
      </x:c>
      <x:c r="E1112" s="12" t="str">
        <x:v>text_output</x:v>
      </x:c>
      <x:c r="F1112" s="15" t="n">
        <x:v>64</x:v>
      </x:c>
      <x:c r="G1112" s="17" t="n">
        <x:v>0.000004</x:v>
      </x:c>
      <x:c r="H1112" s="15" t="n">
        <x:f>F1112*G1112</x:f>
        <x:v>0.000256</x:v>
      </x:c>
    </x:row>
    <x:row r="1113" ht="34" customHeight="1">
      <x:c r="A1113" s="7" t="str">
        <x:v>DP44-B</x:v>
      </x:c>
      <x:c r="B1113" s="7" t="str">
        <x:v>U06</x:v>
      </x:c>
      <x:c r="C1113" s="7" t="str">
        <x:v>long_work</x:v>
      </x:c>
      <x:c r="D1113" s="7" t="str">
        <x:v>request</x:v>
      </x:c>
      <x:c r="E1113" s="7" t="str">
        <x:v>text_input</x:v>
      </x:c>
      <x:c r="F1113" s="16" t="n">
        <x:v>1200</x:v>
      </x:c>
      <x:c r="G1113" s="18" t="n">
        <x:v>0.000001</x:v>
      </x:c>
      <x:c r="H1113" s="16" t="n">
        <x:f>F1113*G1113</x:f>
        <x:v>0.0012</x:v>
      </x:c>
    </x:row>
    <x:row r="1114" ht="34" customHeight="1">
      <x:c r="A1114" s="12" t="str">
        <x:v>DP44-B</x:v>
      </x:c>
      <x:c r="B1114" s="12" t="str">
        <x:v>U06</x:v>
      </x:c>
      <x:c r="C1114" s="12" t="str">
        <x:v>long_work</x:v>
      </x:c>
      <x:c r="D1114" s="12" t="str">
        <x:v>request</x:v>
      </x:c>
      <x:c r="E1114" s="12" t="str">
        <x:v>text_output</x:v>
      </x:c>
      <x:c r="F1114" s="15" t="n">
        <x:v>96</x:v>
      </x:c>
      <x:c r="G1114" s="17" t="n">
        <x:v>0.000004</x:v>
      </x:c>
      <x:c r="H1114" s="15" t="n">
        <x:f>F1114*G1114</x:f>
        <x:v>0.000384</x:v>
      </x:c>
    </x:row>
    <x:row r="1115" ht="34" customHeight="1">
      <x:c r="A1115" s="7" t="str">
        <x:v>DP44-B</x:v>
      </x:c>
      <x:c r="B1115" s="7" t="str">
        <x:v>U06</x:v>
      </x:c>
      <x:c r="C1115" s="7" t="str">
        <x:v>response_audio</x:v>
      </x:c>
      <x:c r="D1115" s="7" t="str">
        <x:v>request</x:v>
      </x:c>
      <x:c r="E1115" s="7" t="str">
        <x:v>text_input</x:v>
      </x:c>
      <x:c r="F1115" s="16" t="n">
        <x:v>48</x:v>
      </x:c>
      <x:c r="G1115" s="18" t="n">
        <x:v>0.000001</x:v>
      </x:c>
      <x:c r="H1115" s="16" t="n">
        <x:f>F1115*G1115</x:f>
        <x:v>0.000048</x:v>
      </x:c>
    </x:row>
    <x:row r="1116" ht="34" customHeight="1">
      <x:c r="A1116" s="12" t="str">
        <x:v>DP44-B</x:v>
      </x:c>
      <x:c r="B1116" s="12" t="str">
        <x:v>U06</x:v>
      </x:c>
      <x:c r="C1116" s="12" t="str">
        <x:v>response_audio</x:v>
      </x:c>
      <x:c r="D1116" s="12" t="str">
        <x:v>request</x:v>
      </x:c>
      <x:c r="E1116" s="12" t="str">
        <x:v>audio_output</x:v>
      </x:c>
      <x:c r="F1116" s="15" t="n">
        <x:v>6</x:v>
      </x:c>
      <x:c r="G1116" s="17" t="n">
        <x:v>0.002</x:v>
      </x:c>
      <x:c r="H1116" s="15" t="n">
        <x:f>F1116*G1116</x:f>
        <x:v>0.012</x:v>
      </x:c>
    </x:row>
    <x:row r="1117" ht="34" customHeight="1">
      <x:c r="A1117" s="7" t="str">
        <x:v>DP44-B</x:v>
      </x:c>
      <x:c r="B1117" s="7" t="str">
        <x:v>U06</x:v>
      </x:c>
      <x:c r="C1117" s="7" t="str">
        <x:v>intent_audio</x:v>
      </x:c>
      <x:c r="D1117" s="7" t="str">
        <x:v>request</x:v>
      </x:c>
      <x:c r="E1117" s="7" t="str">
        <x:v>text_input</x:v>
      </x:c>
      <x:c r="F1117" s="16" t="n">
        <x:v>24</x:v>
      </x:c>
      <x:c r="G1117" s="18" t="n">
        <x:v>0.000001</x:v>
      </x:c>
      <x:c r="H1117" s="16" t="n">
        <x:f>F1117*G1117</x:f>
        <x:v>0.000024</x:v>
      </x:c>
    </x:row>
    <x:row r="1118" ht="34" customHeight="1">
      <x:c r="A1118" s="12" t="str">
        <x:v>DP44-B</x:v>
      </x:c>
      <x:c r="B1118" s="12" t="str">
        <x:v>U06</x:v>
      </x:c>
      <x:c r="C1118" s="12" t="str">
        <x:v>intent_audio</x:v>
      </x:c>
      <x:c r="D1118" s="12" t="str">
        <x:v>request</x:v>
      </x:c>
      <x:c r="E1118" s="12" t="str">
        <x:v>audio_output</x:v>
      </x:c>
      <x:c r="F1118" s="15" t="n">
        <x:v>3</x:v>
      </x:c>
      <x:c r="G1118" s="17" t="n">
        <x:v>0.002</x:v>
      </x:c>
      <x:c r="H1118" s="15" t="n">
        <x:f>F1118*G1118</x:f>
        <x:v>0.006</x:v>
      </x:c>
    </x:row>
    <x:row r="1119" ht="34" customHeight="1">
      <x:c r="A1119" s="7" t="str">
        <x:v>DP44-B</x:v>
      </x:c>
      <x:c r="B1119" s="7" t="str">
        <x:v>U07</x:v>
      </x:c>
      <x:c r="C1119" s="7" t="str">
        <x:v>bg1</x:v>
      </x:c>
      <x:c r="D1119" s="7" t="str">
        <x:v>background</x:v>
      </x:c>
      <x:c r="E1119" s="7" t="str">
        <x:v>text_input</x:v>
      </x:c>
      <x:c r="F1119" s="16" t="n">
        <x:v>1200</x:v>
      </x:c>
      <x:c r="G1119" s="18" t="n">
        <x:v>0.000001</x:v>
      </x:c>
      <x:c r="H1119" s="16" t="n">
        <x:f>F1119*G1119</x:f>
        <x:v>0.0012</x:v>
      </x:c>
    </x:row>
    <x:row r="1120" ht="34" customHeight="1">
      <x:c r="A1120" s="12" t="str">
        <x:v>DP44-B</x:v>
      </x:c>
      <x:c r="B1120" s="12" t="str">
        <x:v>U07</x:v>
      </x:c>
      <x:c r="C1120" s="12" t="str">
        <x:v>bg1</x:v>
      </x:c>
      <x:c r="D1120" s="12" t="str">
        <x:v>background</x:v>
      </x:c>
      <x:c r="E1120" s="12" t="str">
        <x:v>text_output</x:v>
      </x:c>
      <x:c r="F1120" s="15" t="n">
        <x:v>240</x:v>
      </x:c>
      <x:c r="G1120" s="17" t="n">
        <x:v>0.000004</x:v>
      </x:c>
      <x:c r="H1120" s="15" t="n">
        <x:f>F1120*G1120</x:f>
        <x:v>0.0009599999999999999</x:v>
      </x:c>
    </x:row>
    <x:row r="1121" ht="34" customHeight="1">
      <x:c r="A1121" s="7" t="str">
        <x:v>DP44-B</x:v>
      </x:c>
      <x:c r="B1121" s="7" t="str">
        <x:v>U07</x:v>
      </x:c>
      <x:c r="C1121" s="7" t="str">
        <x:v>bg2</x:v>
      </x:c>
      <x:c r="D1121" s="7" t="str">
        <x:v>background</x:v>
      </x:c>
      <x:c r="E1121" s="7" t="str">
        <x:v>text_input</x:v>
      </x:c>
      <x:c r="F1121" s="16" t="n">
        <x:v>1200</x:v>
      </x:c>
      <x:c r="G1121" s="18" t="n">
        <x:v>0.000001</x:v>
      </x:c>
      <x:c r="H1121" s="16" t="n">
        <x:f>F1121*G1121</x:f>
        <x:v>0.0012</x:v>
      </x:c>
    </x:row>
    <x:row r="1122" ht="34" customHeight="1">
      <x:c r="A1122" s="12" t="str">
        <x:v>DP44-B</x:v>
      </x:c>
      <x:c r="B1122" s="12" t="str">
        <x:v>U07</x:v>
      </x:c>
      <x:c r="C1122" s="12" t="str">
        <x:v>bg2</x:v>
      </x:c>
      <x:c r="D1122" s="12" t="str">
        <x:v>background</x:v>
      </x:c>
      <x:c r="E1122" s="12" t="str">
        <x:v>text_output</x:v>
      </x:c>
      <x:c r="F1122" s="15" t="n">
        <x:v>240</x:v>
      </x:c>
      <x:c r="G1122" s="17" t="n">
        <x:v>0.000004</x:v>
      </x:c>
      <x:c r="H1122" s="15" t="n">
        <x:f>F1122*G1122</x:f>
        <x:v>0.0009599999999999999</x:v>
      </x:c>
    </x:row>
    <x:row r="1123" ht="34" customHeight="1">
      <x:c r="A1123" s="7" t="str">
        <x:v>DP44-B</x:v>
      </x:c>
      <x:c r="B1123" s="7" t="str">
        <x:v>U07</x:v>
      </x:c>
      <x:c r="C1123" s="7" t="str">
        <x:v>meaning</x:v>
      </x:c>
      <x:c r="D1123" s="7" t="str">
        <x:v>request</x:v>
      </x:c>
      <x:c r="E1123" s="7" t="str">
        <x:v>text_input</x:v>
      </x:c>
      <x:c r="F1123" s="16" t="n">
        <x:v>600</x:v>
      </x:c>
      <x:c r="G1123" s="18" t="n">
        <x:v>0.000001</x:v>
      </x:c>
      <x:c r="H1123" s="16" t="n">
        <x:f>F1123*G1123</x:f>
        <x:v>0.0006</x:v>
      </x:c>
    </x:row>
    <x:row r="1124" ht="34" customHeight="1">
      <x:c r="A1124" s="12" t="str">
        <x:v>DP44-B</x:v>
      </x:c>
      <x:c r="B1124" s="12" t="str">
        <x:v>U07</x:v>
      </x:c>
      <x:c r="C1124" s="12" t="str">
        <x:v>meaning</x:v>
      </x:c>
      <x:c r="D1124" s="12" t="str">
        <x:v>request</x:v>
      </x:c>
      <x:c r="E1124" s="12" t="str">
        <x:v>text_output</x:v>
      </x:c>
      <x:c r="F1124" s="15" t="n">
        <x:v>64</x:v>
      </x:c>
      <x:c r="G1124" s="17" t="n">
        <x:v>0.000004</x:v>
      </x:c>
      <x:c r="H1124" s="15" t="n">
        <x:f>F1124*G1124</x:f>
        <x:v>0.000256</x:v>
      </x:c>
    </x:row>
    <x:row r="1125" ht="34" customHeight="1">
      <x:c r="A1125" s="7" t="str">
        <x:v>DP44-B</x:v>
      </x:c>
      <x:c r="B1125" s="7" t="str">
        <x:v>U07</x:v>
      </x:c>
      <x:c r="C1125" s="7" t="str">
        <x:v>long_work</x:v>
      </x:c>
      <x:c r="D1125" s="7" t="str">
        <x:v>request</x:v>
      </x:c>
      <x:c r="E1125" s="7" t="str">
        <x:v>text_input</x:v>
      </x:c>
      <x:c r="F1125" s="16" t="n">
        <x:v>1200</x:v>
      </x:c>
      <x:c r="G1125" s="18" t="n">
        <x:v>0.000001</x:v>
      </x:c>
      <x:c r="H1125" s="16" t="n">
        <x:f>F1125*G1125</x:f>
        <x:v>0.0012</x:v>
      </x:c>
    </x:row>
    <x:row r="1126" ht="34" customHeight="1">
      <x:c r="A1126" s="12" t="str">
        <x:v>DP44-B</x:v>
      </x:c>
      <x:c r="B1126" s="12" t="str">
        <x:v>U07</x:v>
      </x:c>
      <x:c r="C1126" s="12" t="str">
        <x:v>long_work</x:v>
      </x:c>
      <x:c r="D1126" s="12" t="str">
        <x:v>request</x:v>
      </x:c>
      <x:c r="E1126" s="12" t="str">
        <x:v>text_output</x:v>
      </x:c>
      <x:c r="F1126" s="15" t="n">
        <x:v>96</x:v>
      </x:c>
      <x:c r="G1126" s="17" t="n">
        <x:v>0.000004</x:v>
      </x:c>
      <x:c r="H1126" s="15" t="n">
        <x:f>F1126*G1126</x:f>
        <x:v>0.000384</x:v>
      </x:c>
    </x:row>
    <x:row r="1127" ht="34" customHeight="1">
      <x:c r="A1127" s="7" t="str">
        <x:v>DP44-B</x:v>
      </x:c>
      <x:c r="B1127" s="7" t="str">
        <x:v>U07</x:v>
      </x:c>
      <x:c r="C1127" s="7" t="str">
        <x:v>response_audio</x:v>
      </x:c>
      <x:c r="D1127" s="7" t="str">
        <x:v>request</x:v>
      </x:c>
      <x:c r="E1127" s="7" t="str">
        <x:v>text_input</x:v>
      </x:c>
      <x:c r="F1127" s="16" t="n">
        <x:v>48</x:v>
      </x:c>
      <x:c r="G1127" s="18" t="n">
        <x:v>0.000001</x:v>
      </x:c>
      <x:c r="H1127" s="16" t="n">
        <x:f>F1127*G1127</x:f>
        <x:v>0.000048</x:v>
      </x:c>
    </x:row>
    <x:row r="1128" ht="34" customHeight="1">
      <x:c r="A1128" s="12" t="str">
        <x:v>DP44-B</x:v>
      </x:c>
      <x:c r="B1128" s="12" t="str">
        <x:v>U07</x:v>
      </x:c>
      <x:c r="C1128" s="12" t="str">
        <x:v>response_audio</x:v>
      </x:c>
      <x:c r="D1128" s="12" t="str">
        <x:v>request</x:v>
      </x:c>
      <x:c r="E1128" s="12" t="str">
        <x:v>audio_output</x:v>
      </x:c>
      <x:c r="F1128" s="15" t="n">
        <x:v>6</x:v>
      </x:c>
      <x:c r="G1128" s="17" t="n">
        <x:v>0.002</x:v>
      </x:c>
      <x:c r="H1128" s="15" t="n">
        <x:f>F1128*G1128</x:f>
        <x:v>0.012</x:v>
      </x:c>
    </x:row>
    <x:row r="1129" ht="34" customHeight="1">
      <x:c r="A1129" s="7" t="str">
        <x:v>DP44-B</x:v>
      </x:c>
      <x:c r="B1129" s="7" t="str">
        <x:v>U07</x:v>
      </x:c>
      <x:c r="C1129" s="7" t="str">
        <x:v>intent_audio</x:v>
      </x:c>
      <x:c r="D1129" s="7" t="str">
        <x:v>request</x:v>
      </x:c>
      <x:c r="E1129" s="7" t="str">
        <x:v>text_input</x:v>
      </x:c>
      <x:c r="F1129" s="16" t="n">
        <x:v>24</x:v>
      </x:c>
      <x:c r="G1129" s="18" t="n">
        <x:v>0.000001</x:v>
      </x:c>
      <x:c r="H1129" s="16" t="n">
        <x:f>F1129*G1129</x:f>
        <x:v>0.000024</x:v>
      </x:c>
    </x:row>
    <x:row r="1130" ht="34" customHeight="1">
      <x:c r="A1130" s="12" t="str">
        <x:v>DP44-B</x:v>
      </x:c>
      <x:c r="B1130" s="12" t="str">
        <x:v>U07</x:v>
      </x:c>
      <x:c r="C1130" s="12" t="str">
        <x:v>intent_audio</x:v>
      </x:c>
      <x:c r="D1130" s="12" t="str">
        <x:v>request</x:v>
      </x:c>
      <x:c r="E1130" s="12" t="str">
        <x:v>audio_output</x:v>
      </x:c>
      <x:c r="F1130" s="15" t="n">
        <x:v>3</x:v>
      </x:c>
      <x:c r="G1130" s="17" t="n">
        <x:v>0.002</x:v>
      </x:c>
      <x:c r="H1130" s="15" t="n">
        <x:f>F1130*G1130</x:f>
        <x:v>0.006</x:v>
      </x:c>
    </x:row>
    <x:row r="1131" ht="34" customHeight="1">
      <x:c r="A1131" s="7" t="str">
        <x:v>DP44-B</x:v>
      </x:c>
      <x:c r="B1131" s="7" t="str">
        <x:v>U07</x:v>
      </x:c>
      <x:c r="C1131" s="7" t="str">
        <x:v>input_end</x:v>
      </x:c>
      <x:c r="D1131" s="7" t="str">
        <x:v>input</x:v>
      </x:c>
      <x:c r="E1131" s="7" t="str">
        <x:v>audio_input</x:v>
      </x:c>
      <x:c r="F1131" s="16" t="n">
        <x:v>3</x:v>
      </x:c>
      <x:c r="G1131" s="18" t="n">
        <x:v>0.001</x:v>
      </x:c>
      <x:c r="H1131" s="16" t="n">
        <x:f>F1131*G1131</x:f>
        <x:v>0.003</x:v>
      </x:c>
    </x:row>
    <x:row r="1132" ht="34" customHeight="1">
      <x:c r="A1132" s="12" t="str">
        <x:v>DP44-B</x:v>
      </x:c>
      <x:c r="B1132" s="12" t="str">
        <x:v>U08</x:v>
      </x:c>
      <x:c r="C1132" s="12" t="str">
        <x:v>bg1</x:v>
      </x:c>
      <x:c r="D1132" s="12" t="str">
        <x:v>background</x:v>
      </x:c>
      <x:c r="E1132" s="12" t="str">
        <x:v>text_input</x:v>
      </x:c>
      <x:c r="F1132" s="15" t="n">
        <x:v>1200</x:v>
      </x:c>
      <x:c r="G1132" s="17" t="n">
        <x:v>0.000001</x:v>
      </x:c>
      <x:c r="H1132" s="15" t="n">
        <x:f>F1132*G1132</x:f>
        <x:v>0.0012</x:v>
      </x:c>
    </x:row>
    <x:row r="1133" ht="34" customHeight="1">
      <x:c r="A1133" s="7" t="str">
        <x:v>DP44-B</x:v>
      </x:c>
      <x:c r="B1133" s="7" t="str">
        <x:v>U08</x:v>
      </x:c>
      <x:c r="C1133" s="7" t="str">
        <x:v>bg1</x:v>
      </x:c>
      <x:c r="D1133" s="7" t="str">
        <x:v>background</x:v>
      </x:c>
      <x:c r="E1133" s="7" t="str">
        <x:v>text_output</x:v>
      </x:c>
      <x:c r="F1133" s="16" t="n">
        <x:v>240</x:v>
      </x:c>
      <x:c r="G1133" s="18" t="n">
        <x:v>0.000004</x:v>
      </x:c>
      <x:c r="H1133" s="16" t="n">
        <x:f>F1133*G1133</x:f>
        <x:v>0.0009599999999999999</x:v>
      </x:c>
    </x:row>
    <x:row r="1134" ht="34" customHeight="1">
      <x:c r="A1134" s="12" t="str">
        <x:v>DP44-B</x:v>
      </x:c>
      <x:c r="B1134" s="12" t="str">
        <x:v>U08</x:v>
      </x:c>
      <x:c r="C1134" s="12" t="str">
        <x:v>meaning</x:v>
      </x:c>
      <x:c r="D1134" s="12" t="str">
        <x:v>request</x:v>
      </x:c>
      <x:c r="E1134" s="12" t="str">
        <x:v>text_input</x:v>
      </x:c>
      <x:c r="F1134" s="15" t="n">
        <x:v>600</x:v>
      </x:c>
      <x:c r="G1134" s="17" t="n">
        <x:v>0.000001</x:v>
      </x:c>
      <x:c r="H1134" s="15" t="n">
        <x:f>F1134*G1134</x:f>
        <x:v>0.0006</x:v>
      </x:c>
    </x:row>
    <x:row r="1135" ht="34" customHeight="1">
      <x:c r="A1135" s="7" t="str">
        <x:v>DP44-B</x:v>
      </x:c>
      <x:c r="B1135" s="7" t="str">
        <x:v>U08</x:v>
      </x:c>
      <x:c r="C1135" s="7" t="str">
        <x:v>meaning</x:v>
      </x:c>
      <x:c r="D1135" s="7" t="str">
        <x:v>request</x:v>
      </x:c>
      <x:c r="E1135" s="7" t="str">
        <x:v>text_output</x:v>
      </x:c>
      <x:c r="F1135" s="16" t="n">
        <x:v>64</x:v>
      </x:c>
      <x:c r="G1135" s="18" t="n">
        <x:v>0.000004</x:v>
      </x:c>
      <x:c r="H1135" s="16" t="n">
        <x:f>F1135*G1135</x:f>
        <x:v>0.000256</x:v>
      </x:c>
    </x:row>
    <x:row r="1136" ht="34" customHeight="1">
      <x:c r="A1136" s="12" t="str">
        <x:v>DP44-B</x:v>
      </x:c>
      <x:c r="B1136" s="12" t="str">
        <x:v>U08</x:v>
      </x:c>
      <x:c r="C1136" s="12" t="str">
        <x:v>long_work</x:v>
      </x:c>
      <x:c r="D1136" s="12" t="str">
        <x:v>request</x:v>
      </x:c>
      <x:c r="E1136" s="12" t="str">
        <x:v>text_input</x:v>
      </x:c>
      <x:c r="F1136" s="15" t="n">
        <x:v>1200</x:v>
      </x:c>
      <x:c r="G1136" s="17" t="n">
        <x:v>0.000001</x:v>
      </x:c>
      <x:c r="H1136" s="15" t="n">
        <x:f>F1136*G1136</x:f>
        <x:v>0.0012</x:v>
      </x:c>
    </x:row>
    <x:row r="1137" ht="34" customHeight="1">
      <x:c r="A1137" s="7" t="str">
        <x:v>DP44-B</x:v>
      </x:c>
      <x:c r="B1137" s="7" t="str">
        <x:v>U08</x:v>
      </x:c>
      <x:c r="C1137" s="7" t="str">
        <x:v>long_work</x:v>
      </x:c>
      <x:c r="D1137" s="7" t="str">
        <x:v>request</x:v>
      </x:c>
      <x:c r="E1137" s="7" t="str">
        <x:v>text_output</x:v>
      </x:c>
      <x:c r="F1137" s="16" t="n">
        <x:v>96</x:v>
      </x:c>
      <x:c r="G1137" s="18" t="n">
        <x:v>0.000004</x:v>
      </x:c>
      <x:c r="H1137" s="16" t="n">
        <x:f>F1137*G1137</x:f>
        <x:v>0.000384</x:v>
      </x:c>
    </x:row>
    <x:row r="1138" ht="34" customHeight="1">
      <x:c r="A1138" s="12" t="str">
        <x:v>DP44-B</x:v>
      </x:c>
      <x:c r="B1138" s="12" t="str">
        <x:v>U08</x:v>
      </x:c>
      <x:c r="C1138" s="12" t="str">
        <x:v>response_audio</x:v>
      </x:c>
      <x:c r="D1138" s="12" t="str">
        <x:v>request</x:v>
      </x:c>
      <x:c r="E1138" s="12" t="str">
        <x:v>text_input</x:v>
      </x:c>
      <x:c r="F1138" s="15" t="n">
        <x:v>48</x:v>
      </x:c>
      <x:c r="G1138" s="17" t="n">
        <x:v>0.000001</x:v>
      </x:c>
      <x:c r="H1138" s="15" t="n">
        <x:f>F1138*G1138</x:f>
        <x:v>0.000048</x:v>
      </x:c>
    </x:row>
    <x:row r="1139" ht="34" customHeight="1">
      <x:c r="A1139" s="7" t="str">
        <x:v>DP44-B</x:v>
      </x:c>
      <x:c r="B1139" s="7" t="str">
        <x:v>U08</x:v>
      </x:c>
      <x:c r="C1139" s="7" t="str">
        <x:v>response_audio</x:v>
      </x:c>
      <x:c r="D1139" s="7" t="str">
        <x:v>request</x:v>
      </x:c>
      <x:c r="E1139" s="7" t="str">
        <x:v>audio_output</x:v>
      </x:c>
      <x:c r="F1139" s="16" t="n">
        <x:v>6</x:v>
      </x:c>
      <x:c r="G1139" s="18" t="n">
        <x:v>0.002</x:v>
      </x:c>
      <x:c r="H1139" s="16" t="n">
        <x:f>F1139*G1139</x:f>
        <x:v>0.012</x:v>
      </x:c>
    </x:row>
    <x:row r="1140" ht="34" customHeight="1">
      <x:c r="A1140" s="12" t="str">
        <x:v>DP44-B</x:v>
      </x:c>
      <x:c r="B1140" s="12" t="str">
        <x:v>U08</x:v>
      </x:c>
      <x:c r="C1140" s="12" t="str">
        <x:v>intent_audio</x:v>
      </x:c>
      <x:c r="D1140" s="12" t="str">
        <x:v>request</x:v>
      </x:c>
      <x:c r="E1140" s="12" t="str">
        <x:v>text_input</x:v>
      </x:c>
      <x:c r="F1140" s="15" t="n">
        <x:v>24</x:v>
      </x:c>
      <x:c r="G1140" s="17" t="n">
        <x:v>0.000001</x:v>
      </x:c>
      <x:c r="H1140" s="15" t="n">
        <x:f>F1140*G1140</x:f>
        <x:v>0.000024</x:v>
      </x:c>
    </x:row>
    <x:row r="1141" ht="34" customHeight="1">
      <x:c r="A1141" s="7" t="str">
        <x:v>DP44-B</x:v>
      </x:c>
      <x:c r="B1141" s="7" t="str">
        <x:v>U08</x:v>
      </x:c>
      <x:c r="C1141" s="7" t="str">
        <x:v>intent_audio</x:v>
      </x:c>
      <x:c r="D1141" s="7" t="str">
        <x:v>request</x:v>
      </x:c>
      <x:c r="E1141" s="7" t="str">
        <x:v>audio_output</x:v>
      </x:c>
      <x:c r="F1141" s="16" t="n">
        <x:v>3</x:v>
      </x:c>
      <x:c r="G1141" s="18" t="n">
        <x:v>0.002</x:v>
      </x:c>
      <x:c r="H1141" s="16" t="n">
        <x:f>F1141*G1141</x:f>
        <x:v>0.006</x:v>
      </x:c>
    </x:row>
    <x:row r="1142" ht="34" customHeight="1">
      <x:c r="A1142" s="12" t="str">
        <x:v>DP44-B</x:v>
      </x:c>
      <x:c r="B1142" s="12" t="str">
        <x:v>U09</x:v>
      </x:c>
      <x:c r="C1142" s="12" t="str">
        <x:v>meaning</x:v>
      </x:c>
      <x:c r="D1142" s="12" t="str">
        <x:v>request</x:v>
      </x:c>
      <x:c r="E1142" s="12" t="str">
        <x:v>text_input</x:v>
      </x:c>
      <x:c r="F1142" s="15" t="n">
        <x:v>600</x:v>
      </x:c>
      <x:c r="G1142" s="17" t="n">
        <x:v>0.000001</x:v>
      </x:c>
      <x:c r="H1142" s="15" t="n">
        <x:f>F1142*G1142</x:f>
        <x:v>0.0006</x:v>
      </x:c>
    </x:row>
    <x:row r="1143" ht="34" customHeight="1">
      <x:c r="A1143" s="7" t="str">
        <x:v>DP44-B</x:v>
      </x:c>
      <x:c r="B1143" s="7" t="str">
        <x:v>U09</x:v>
      </x:c>
      <x:c r="C1143" s="7" t="str">
        <x:v>meaning</x:v>
      </x:c>
      <x:c r="D1143" s="7" t="str">
        <x:v>request</x:v>
      </x:c>
      <x:c r="E1143" s="7" t="str">
        <x:v>text_output</x:v>
      </x:c>
      <x:c r="F1143" s="16" t="n">
        <x:v>64</x:v>
      </x:c>
      <x:c r="G1143" s="18" t="n">
        <x:v>0.000004</x:v>
      </x:c>
      <x:c r="H1143" s="16" t="n">
        <x:f>F1143*G1143</x:f>
        <x:v>0.000256</x:v>
      </x:c>
    </x:row>
    <x:row r="1144" ht="34" customHeight="1">
      <x:c r="A1144" s="12" t="str">
        <x:v>DP44-B</x:v>
      </x:c>
      <x:c r="B1144" s="12" t="str">
        <x:v>U09</x:v>
      </x:c>
      <x:c r="C1144" s="12" t="str">
        <x:v>response_audio</x:v>
      </x:c>
      <x:c r="D1144" s="12" t="str">
        <x:v>request</x:v>
      </x:c>
      <x:c r="E1144" s="12" t="str">
        <x:v>text_input</x:v>
      </x:c>
      <x:c r="F1144" s="15" t="n">
        <x:v>48</x:v>
      </x:c>
      <x:c r="G1144" s="17" t="n">
        <x:v>0.000001</x:v>
      </x:c>
      <x:c r="H1144" s="15" t="n">
        <x:f>F1144*G1144</x:f>
        <x:v>0.000048</x:v>
      </x:c>
    </x:row>
    <x:row r="1145" ht="34" customHeight="1">
      <x:c r="A1145" s="7" t="str">
        <x:v>DP44-B</x:v>
      </x:c>
      <x:c r="B1145" s="7" t="str">
        <x:v>U09</x:v>
      </x:c>
      <x:c r="C1145" s="7" t="str">
        <x:v>response_audio</x:v>
      </x:c>
      <x:c r="D1145" s="7" t="str">
        <x:v>request</x:v>
      </x:c>
      <x:c r="E1145" s="7" t="str">
        <x:v>audio_output</x:v>
      </x:c>
      <x:c r="F1145" s="16" t="n">
        <x:v>6</x:v>
      </x:c>
      <x:c r="G1145" s="18" t="n">
        <x:v>0.002</x:v>
      </x:c>
      <x:c r="H1145" s="16" t="n">
        <x:f>F1145*G1145</x:f>
        <x:v>0.012</x:v>
      </x:c>
    </x:row>
    <x:row r="1146" ht="34" customHeight="1">
      <x:c r="A1146" s="12" t="str">
        <x:v>DP44-B</x:v>
      </x:c>
      <x:c r="B1146" s="12" t="str">
        <x:v>U09</x:v>
      </x:c>
      <x:c r="C1146" s="12" t="str">
        <x:v>intent_audio</x:v>
      </x:c>
      <x:c r="D1146" s="12" t="str">
        <x:v>request</x:v>
      </x:c>
      <x:c r="E1146" s="12" t="str">
        <x:v>text_input</x:v>
      </x:c>
      <x:c r="F1146" s="15" t="n">
        <x:v>24</x:v>
      </x:c>
      <x:c r="G1146" s="17" t="n">
        <x:v>0.000001</x:v>
      </x:c>
      <x:c r="H1146" s="15" t="n">
        <x:f>F1146*G1146</x:f>
        <x:v>0.000024</x:v>
      </x:c>
    </x:row>
    <x:row r="1147" ht="34" customHeight="1">
      <x:c r="A1147" s="7" t="str">
        <x:v>DP44-B</x:v>
      </x:c>
      <x:c r="B1147" s="7" t="str">
        <x:v>U09</x:v>
      </x:c>
      <x:c r="C1147" s="7" t="str">
        <x:v>intent_audio</x:v>
      </x:c>
      <x:c r="D1147" s="7" t="str">
        <x:v>request</x:v>
      </x:c>
      <x:c r="E1147" s="7" t="str">
        <x:v>audio_output</x:v>
      </x:c>
      <x:c r="F1147" s="16" t="n">
        <x:v>3</x:v>
      </x:c>
      <x:c r="G1147" s="18" t="n">
        <x:v>0.002</x:v>
      </x:c>
      <x:c r="H1147" s="16" t="n">
        <x:f>F1147*G1147</x:f>
        <x:v>0.006</x:v>
      </x:c>
    </x:row>
    <x:row r="1148" ht="34" customHeight="1">
      <x:c r="A1148" s="12" t="str">
        <x:v>DP44-B</x:v>
      </x:c>
      <x:c r="B1148" s="12" t="str">
        <x:v>U09</x:v>
      </x:c>
      <x:c r="C1148" s="12" t="str">
        <x:v>input_end</x:v>
      </x:c>
      <x:c r="D1148" s="12" t="str">
        <x:v>input</x:v>
      </x:c>
      <x:c r="E1148" s="12" t="str">
        <x:v>audio_input</x:v>
      </x:c>
      <x:c r="F1148" s="15" t="n">
        <x:v>3</x:v>
      </x:c>
      <x:c r="G1148" s="17" t="n">
        <x:v>0.001</x:v>
      </x:c>
      <x:c r="H1148" s="15" t="n">
        <x:f>F1148*G1148</x:f>
        <x:v>0.003</x:v>
      </x:c>
    </x:row>
    <x:row r="1149" ht="34" customHeight="1">
      <x:c r="A1149" s="7" t="str">
        <x:v>DP44-B</x:v>
      </x:c>
      <x:c r="B1149" s="7" t="str">
        <x:v>U10</x:v>
      </x:c>
      <x:c r="C1149" s="7" t="str">
        <x:v>meaning</x:v>
      </x:c>
      <x:c r="D1149" s="7" t="str">
        <x:v>request</x:v>
      </x:c>
      <x:c r="E1149" s="7" t="str">
        <x:v>text_input</x:v>
      </x:c>
      <x:c r="F1149" s="16" t="n">
        <x:v>2400</x:v>
      </x:c>
      <x:c r="G1149" s="18" t="n">
        <x:v>0.000001</x:v>
      </x:c>
      <x:c r="H1149" s="16" t="n">
        <x:f>F1149*G1149</x:f>
        <x:v>0.0024</x:v>
      </x:c>
    </x:row>
    <x:row r="1150" ht="34" customHeight="1">
      <x:c r="A1150" s="12" t="str">
        <x:v>DP44-B</x:v>
      </x:c>
      <x:c r="B1150" s="12" t="str">
        <x:v>U10</x:v>
      </x:c>
      <x:c r="C1150" s="12" t="str">
        <x:v>meaning</x:v>
      </x:c>
      <x:c r="D1150" s="12" t="str">
        <x:v>request</x:v>
      </x:c>
      <x:c r="E1150" s="12" t="str">
        <x:v>text_output</x:v>
      </x:c>
      <x:c r="F1150" s="15" t="n">
        <x:v>64</x:v>
      </x:c>
      <x:c r="G1150" s="17" t="n">
        <x:v>0.000004</x:v>
      </x:c>
      <x:c r="H1150" s="15" t="n">
        <x:f>F1150*G1150</x:f>
        <x:v>0.000256</x:v>
      </x:c>
    </x:row>
    <x:row r="1151" ht="34" customHeight="1">
      <x:c r="A1151" s="7" t="str">
        <x:v>DP44-B</x:v>
      </x:c>
      <x:c r="B1151" s="7" t="str">
        <x:v>U10</x:v>
      </x:c>
      <x:c r="C1151" s="7" t="str">
        <x:v>response_audio</x:v>
      </x:c>
      <x:c r="D1151" s="7" t="str">
        <x:v>request</x:v>
      </x:c>
      <x:c r="E1151" s="7" t="str">
        <x:v>text_input</x:v>
      </x:c>
      <x:c r="F1151" s="16" t="n">
        <x:v>48</x:v>
      </x:c>
      <x:c r="G1151" s="18" t="n">
        <x:v>0.000001</x:v>
      </x:c>
      <x:c r="H1151" s="16" t="n">
        <x:f>F1151*G1151</x:f>
        <x:v>0.000048</x:v>
      </x:c>
    </x:row>
    <x:row r="1152" ht="34" customHeight="1">
      <x:c r="A1152" s="12" t="str">
        <x:v>DP44-B</x:v>
      </x:c>
      <x:c r="B1152" s="12" t="str">
        <x:v>U10</x:v>
      </x:c>
      <x:c r="C1152" s="12" t="str">
        <x:v>response_audio</x:v>
      </x:c>
      <x:c r="D1152" s="12" t="str">
        <x:v>request</x:v>
      </x:c>
      <x:c r="E1152" s="12" t="str">
        <x:v>audio_output</x:v>
      </x:c>
      <x:c r="F1152" s="15" t="n">
        <x:v>6</x:v>
      </x:c>
      <x:c r="G1152" s="17" t="n">
        <x:v>0.002</x:v>
      </x:c>
      <x:c r="H1152" s="15" t="n">
        <x:f>F1152*G1152</x:f>
        <x:v>0.012</x:v>
      </x:c>
    </x:row>
    <x:row r="1153" ht="34" customHeight="1">
      <x:c r="A1153" s="7" t="str">
        <x:v>DP44-B</x:v>
      </x:c>
      <x:c r="B1153" s="7" t="str">
        <x:v>U10</x:v>
      </x:c>
      <x:c r="C1153" s="7" t="str">
        <x:v>intent_audio</x:v>
      </x:c>
      <x:c r="D1153" s="7" t="str">
        <x:v>request</x:v>
      </x:c>
      <x:c r="E1153" s="7" t="str">
        <x:v>text_input</x:v>
      </x:c>
      <x:c r="F1153" s="16" t="n">
        <x:v>24</x:v>
      </x:c>
      <x:c r="G1153" s="18" t="n">
        <x:v>0.000001</x:v>
      </x:c>
      <x:c r="H1153" s="16" t="n">
        <x:f>F1153*G1153</x:f>
        <x:v>0.000024</x:v>
      </x:c>
    </x:row>
    <x:row r="1154" ht="34" customHeight="1">
      <x:c r="A1154" s="12" t="str">
        <x:v>DP44-B</x:v>
      </x:c>
      <x:c r="B1154" s="12" t="str">
        <x:v>U10</x:v>
      </x:c>
      <x:c r="C1154" s="12" t="str">
        <x:v>intent_audio</x:v>
      </x:c>
      <x:c r="D1154" s="12" t="str">
        <x:v>request</x:v>
      </x:c>
      <x:c r="E1154" s="12" t="str">
        <x:v>audio_output</x:v>
      </x:c>
      <x:c r="F1154" s="15" t="n">
        <x:v>3</x:v>
      </x:c>
      <x:c r="G1154" s="17" t="n">
        <x:v>0.002</x:v>
      </x:c>
      <x:c r="H1154" s="15" t="n">
        <x:f>F1154*G1154</x:f>
        <x:v>0.006</x:v>
      </x:c>
    </x:row>
    <x:row r="1155" ht="34" customHeight="1">
      <x:c r="A1155" s="7" t="str">
        <x:v>DP44-B</x:v>
      </x:c>
      <x:c r="B1155" s="7" t="str">
        <x:v>U10</x:v>
      </x:c>
      <x:c r="C1155" s="7" t="str">
        <x:v>input_end</x:v>
      </x:c>
      <x:c r="D1155" s="7" t="str">
        <x:v>input</x:v>
      </x:c>
      <x:c r="E1155" s="7" t="str">
        <x:v>audio_input</x:v>
      </x:c>
      <x:c r="F1155" s="16" t="n">
        <x:v>3</x:v>
      </x:c>
      <x:c r="G1155" s="18" t="n">
        <x:v>0.001</x:v>
      </x:c>
      <x:c r="H1155" s="16" t="n">
        <x:f>F1155*G1155</x:f>
        <x:v>0.003</x:v>
      </x:c>
    </x:row>
    <x:row r="1156" ht="34" customHeight="1">
      <x:c r="A1156" s="12" t="str">
        <x:v>DP44-B</x:v>
      </x:c>
      <x:c r="B1156" s="12" t="str">
        <x:v>U11</x:v>
      </x:c>
      <x:c r="C1156" s="12" t="str">
        <x:v>meaning</x:v>
      </x:c>
      <x:c r="D1156" s="12" t="str">
        <x:v>request</x:v>
      </x:c>
      <x:c r="E1156" s="12" t="str">
        <x:v>text_input</x:v>
      </x:c>
      <x:c r="F1156" s="15" t="n">
        <x:v>4200</x:v>
      </x:c>
      <x:c r="G1156" s="17" t="n">
        <x:v>0.000001</x:v>
      </x:c>
      <x:c r="H1156" s="15" t="n">
        <x:f>F1156*G1156</x:f>
        <x:v>0.0042</x:v>
      </x:c>
    </x:row>
    <x:row r="1157" ht="34" customHeight="1">
      <x:c r="A1157" s="7" t="str">
        <x:v>DP44-B</x:v>
      </x:c>
      <x:c r="B1157" s="7" t="str">
        <x:v>U11</x:v>
      </x:c>
      <x:c r="C1157" s="7" t="str">
        <x:v>meaning</x:v>
      </x:c>
      <x:c r="D1157" s="7" t="str">
        <x:v>request</x:v>
      </x:c>
      <x:c r="E1157" s="7" t="str">
        <x:v>text_output</x:v>
      </x:c>
      <x:c r="F1157" s="16" t="n">
        <x:v>64</x:v>
      </x:c>
      <x:c r="G1157" s="18" t="n">
        <x:v>0.000004</x:v>
      </x:c>
      <x:c r="H1157" s="16" t="n">
        <x:f>F1157*G1157</x:f>
        <x:v>0.000256</x:v>
      </x:c>
    </x:row>
    <x:row r="1158" ht="34" customHeight="1">
      <x:c r="A1158" s="12" t="str">
        <x:v>DP44-B</x:v>
      </x:c>
      <x:c r="B1158" s="12" t="str">
        <x:v>U11</x:v>
      </x:c>
      <x:c r="C1158" s="12" t="str">
        <x:v>response_audio</x:v>
      </x:c>
      <x:c r="D1158" s="12" t="str">
        <x:v>request</x:v>
      </x:c>
      <x:c r="E1158" s="12" t="str">
        <x:v>text_input</x:v>
      </x:c>
      <x:c r="F1158" s="15" t="n">
        <x:v>48</x:v>
      </x:c>
      <x:c r="G1158" s="17" t="n">
        <x:v>0.000001</x:v>
      </x:c>
      <x:c r="H1158" s="15" t="n">
        <x:f>F1158*G1158</x:f>
        <x:v>0.000048</x:v>
      </x:c>
    </x:row>
    <x:row r="1159" ht="34" customHeight="1">
      <x:c r="A1159" s="7" t="str">
        <x:v>DP44-B</x:v>
      </x:c>
      <x:c r="B1159" s="7" t="str">
        <x:v>U11</x:v>
      </x:c>
      <x:c r="C1159" s="7" t="str">
        <x:v>response_audio</x:v>
      </x:c>
      <x:c r="D1159" s="7" t="str">
        <x:v>request</x:v>
      </x:c>
      <x:c r="E1159" s="7" t="str">
        <x:v>audio_output</x:v>
      </x:c>
      <x:c r="F1159" s="16" t="n">
        <x:v>6</x:v>
      </x:c>
      <x:c r="G1159" s="18" t="n">
        <x:v>0.002</x:v>
      </x:c>
      <x:c r="H1159" s="16" t="n">
        <x:f>F1159*G1159</x:f>
        <x:v>0.012</x:v>
      </x:c>
    </x:row>
    <x:row r="1160" ht="34" customHeight="1">
      <x:c r="A1160" s="12" t="str">
        <x:v>DP44-B</x:v>
      </x:c>
      <x:c r="B1160" s="12" t="str">
        <x:v>U11</x:v>
      </x:c>
      <x:c r="C1160" s="12" t="str">
        <x:v>intent_audio</x:v>
      </x:c>
      <x:c r="D1160" s="12" t="str">
        <x:v>request</x:v>
      </x:c>
      <x:c r="E1160" s="12" t="str">
        <x:v>text_input</x:v>
      </x:c>
      <x:c r="F1160" s="15" t="n">
        <x:v>24</x:v>
      </x:c>
      <x:c r="G1160" s="17" t="n">
        <x:v>0.000001</x:v>
      </x:c>
      <x:c r="H1160" s="15" t="n">
        <x:f>F1160*G1160</x:f>
        <x:v>0.000024</x:v>
      </x:c>
    </x:row>
    <x:row r="1161" ht="34" customHeight="1">
      <x:c r="A1161" s="7" t="str">
        <x:v>DP44-B</x:v>
      </x:c>
      <x:c r="B1161" s="7" t="str">
        <x:v>U11</x:v>
      </x:c>
      <x:c r="C1161" s="7" t="str">
        <x:v>intent_audio</x:v>
      </x:c>
      <x:c r="D1161" s="7" t="str">
        <x:v>request</x:v>
      </x:c>
      <x:c r="E1161" s="7" t="str">
        <x:v>audio_output</x:v>
      </x:c>
      <x:c r="F1161" s="16" t="n">
        <x:v>3</x:v>
      </x:c>
      <x:c r="G1161" s="18" t="n">
        <x:v>0.002</x:v>
      </x:c>
      <x:c r="H1161" s="16" t="n">
        <x:f>F1161*G1161</x:f>
        <x:v>0.006</x:v>
      </x:c>
    </x:row>
    <x:row r="1162" ht="34" customHeight="1">
      <x:c r="A1162" s="12" t="str">
        <x:v>DP44-B</x:v>
      </x:c>
      <x:c r="B1162" s="12" t="str">
        <x:v>U11</x:v>
      </x:c>
      <x:c r="C1162" s="12" t="str">
        <x:v>input_end</x:v>
      </x:c>
      <x:c r="D1162" s="12" t="str">
        <x:v>input</x:v>
      </x:c>
      <x:c r="E1162" s="12" t="str">
        <x:v>audio_input</x:v>
      </x:c>
      <x:c r="F1162" s="15" t="n">
        <x:v>3</x:v>
      </x:c>
      <x:c r="G1162" s="17" t="n">
        <x:v>0.001</x:v>
      </x:c>
      <x:c r="H1162" s="15" t="n">
        <x:f>F1162*G1162</x:f>
        <x:v>0.003</x:v>
      </x:c>
    </x:row>
    <x:row r="1163" ht="34" customHeight="1">
      <x:c r="A1163" s="7" t="str">
        <x:v>DP44-B</x:v>
      </x:c>
      <x:c r="B1163" s="7" t="str">
        <x:v>U12</x:v>
      </x:c>
      <x:c r="C1163" s="7" t="str">
        <x:v>pre_raw</x:v>
      </x:c>
      <x:c r="D1163" s="7" t="str">
        <x:v>preparation</x:v>
      </x:c>
      <x:c r="E1163" s="7" t="str">
        <x:v>text_input</x:v>
      </x:c>
      <x:c r="F1163" s="16" t="n">
        <x:v>2400</x:v>
      </x:c>
      <x:c r="G1163" s="18" t="n">
        <x:v>0.000001</x:v>
      </x:c>
      <x:c r="H1163" s="16" t="n">
        <x:f>F1163*G1163</x:f>
        <x:v>0.0024</x:v>
      </x:c>
    </x:row>
    <x:row r="1164" ht="34" customHeight="1">
      <x:c r="A1164" s="12" t="str">
        <x:v>DP44-B</x:v>
      </x:c>
      <x:c r="B1164" s="12" t="str">
        <x:v>U12</x:v>
      </x:c>
      <x:c r="C1164" s="12" t="str">
        <x:v>pre_raw</x:v>
      </x:c>
      <x:c r="D1164" s="12" t="str">
        <x:v>preparation</x:v>
      </x:c>
      <x:c r="E1164" s="12" t="str">
        <x:v>text_output</x:v>
      </x:c>
      <x:c r="F1164" s="15" t="n">
        <x:v>64</x:v>
      </x:c>
      <x:c r="G1164" s="17" t="n">
        <x:v>0.000004</x:v>
      </x:c>
      <x:c r="H1164" s="15" t="n">
        <x:f>F1164*G1164</x:f>
        <x:v>0.000256</x:v>
      </x:c>
    </x:row>
    <x:row r="1165" ht="34" customHeight="1">
      <x:c r="A1165" s="7" t="str">
        <x:v>DP44-B</x:v>
      </x:c>
      <x:c r="B1165" s="7" t="str">
        <x:v>U12</x:v>
      </x:c>
      <x:c r="C1165" s="7" t="str">
        <x:v>meaning</x:v>
      </x:c>
      <x:c r="D1165" s="7" t="str">
        <x:v>request</x:v>
      </x:c>
      <x:c r="E1165" s="7" t="str">
        <x:v>text_input</x:v>
      </x:c>
      <x:c r="F1165" s="16" t="n">
        <x:v>600</x:v>
      </x:c>
      <x:c r="G1165" s="18" t="n">
        <x:v>0.000001</x:v>
      </x:c>
      <x:c r="H1165" s="16" t="n">
        <x:f>F1165*G1165</x:f>
        <x:v>0.0006</x:v>
      </x:c>
    </x:row>
    <x:row r="1166" ht="34" customHeight="1">
      <x:c r="A1166" s="12" t="str">
        <x:v>DP44-B</x:v>
      </x:c>
      <x:c r="B1166" s="12" t="str">
        <x:v>U12</x:v>
      </x:c>
      <x:c r="C1166" s="12" t="str">
        <x:v>meaning</x:v>
      </x:c>
      <x:c r="D1166" s="12" t="str">
        <x:v>request</x:v>
      </x:c>
      <x:c r="E1166" s="12" t="str">
        <x:v>text_output</x:v>
      </x:c>
      <x:c r="F1166" s="15" t="n">
        <x:v>64</x:v>
      </x:c>
      <x:c r="G1166" s="17" t="n">
        <x:v>0.000004</x:v>
      </x:c>
      <x:c r="H1166" s="15" t="n">
        <x:f>F1166*G1166</x:f>
        <x:v>0.000256</x:v>
      </x:c>
    </x:row>
    <x:row r="1167" ht="34" customHeight="1">
      <x:c r="A1167" s="7" t="str">
        <x:v>DP44-B</x:v>
      </x:c>
      <x:c r="B1167" s="7" t="str">
        <x:v>U12</x:v>
      </x:c>
      <x:c r="C1167" s="7" t="str">
        <x:v>response_audio</x:v>
      </x:c>
      <x:c r="D1167" s="7" t="str">
        <x:v>request</x:v>
      </x:c>
      <x:c r="E1167" s="7" t="str">
        <x:v>text_input</x:v>
      </x:c>
      <x:c r="F1167" s="16" t="n">
        <x:v>48</x:v>
      </x:c>
      <x:c r="G1167" s="18" t="n">
        <x:v>0.000001</x:v>
      </x:c>
      <x:c r="H1167" s="16" t="n">
        <x:f>F1167*G1167</x:f>
        <x:v>0.000048</x:v>
      </x:c>
    </x:row>
    <x:row r="1168" ht="34" customHeight="1">
      <x:c r="A1168" s="12" t="str">
        <x:v>DP44-B</x:v>
      </x:c>
      <x:c r="B1168" s="12" t="str">
        <x:v>U12</x:v>
      </x:c>
      <x:c r="C1168" s="12" t="str">
        <x:v>response_audio</x:v>
      </x:c>
      <x:c r="D1168" s="12" t="str">
        <x:v>request</x:v>
      </x:c>
      <x:c r="E1168" s="12" t="str">
        <x:v>audio_output</x:v>
      </x:c>
      <x:c r="F1168" s="15" t="n">
        <x:v>6</x:v>
      </x:c>
      <x:c r="G1168" s="17" t="n">
        <x:v>0.002</x:v>
      </x:c>
      <x:c r="H1168" s="15" t="n">
        <x:f>F1168*G1168</x:f>
        <x:v>0.012</x:v>
      </x:c>
    </x:row>
    <x:row r="1169" ht="34" customHeight="1">
      <x:c r="A1169" s="7" t="str">
        <x:v>DP44-B</x:v>
      </x:c>
      <x:c r="B1169" s="7" t="str">
        <x:v>U12</x:v>
      </x:c>
      <x:c r="C1169" s="7" t="str">
        <x:v>intent_audio</x:v>
      </x:c>
      <x:c r="D1169" s="7" t="str">
        <x:v>request</x:v>
      </x:c>
      <x:c r="E1169" s="7" t="str">
        <x:v>text_input</x:v>
      </x:c>
      <x:c r="F1169" s="16" t="n">
        <x:v>24</x:v>
      </x:c>
      <x:c r="G1169" s="18" t="n">
        <x:v>0.000001</x:v>
      </x:c>
      <x:c r="H1169" s="16" t="n">
        <x:f>F1169*G1169</x:f>
        <x:v>0.000024</x:v>
      </x:c>
    </x:row>
    <x:row r="1170" ht="34" customHeight="1">
      <x:c r="A1170" s="12" t="str">
        <x:v>DP44-B</x:v>
      </x:c>
      <x:c r="B1170" s="12" t="str">
        <x:v>U12</x:v>
      </x:c>
      <x:c r="C1170" s="12" t="str">
        <x:v>intent_audio</x:v>
      </x:c>
      <x:c r="D1170" s="12" t="str">
        <x:v>request</x:v>
      </x:c>
      <x:c r="E1170" s="12" t="str">
        <x:v>audio_output</x:v>
      </x:c>
      <x:c r="F1170" s="15" t="n">
        <x:v>3</x:v>
      </x:c>
      <x:c r="G1170" s="17" t="n">
        <x:v>0.002</x:v>
      </x:c>
      <x:c r="H1170" s="15" t="n">
        <x:f>F1170*G1170</x:f>
        <x:v>0.006</x:v>
      </x:c>
    </x:row>
    <x:row r="1171" ht="34" customHeight="1">
      <x:c r="A1171" s="7" t="str">
        <x:v>DP44-B</x:v>
      </x:c>
      <x:c r="B1171" s="7" t="str">
        <x:v>U12</x:v>
      </x:c>
      <x:c r="C1171" s="7" t="str">
        <x:v>input_end</x:v>
      </x:c>
      <x:c r="D1171" s="7" t="str">
        <x:v>input</x:v>
      </x:c>
      <x:c r="E1171" s="7" t="str">
        <x:v>audio_input</x:v>
      </x:c>
      <x:c r="F1171" s="16" t="n">
        <x:v>3</x:v>
      </x:c>
      <x:c r="G1171" s="18" t="n">
        <x:v>0.001</x:v>
      </x:c>
      <x:c r="H1171" s="16" t="n">
        <x:f>F1171*G1171</x:f>
        <x:v>0.003</x:v>
      </x:c>
    </x:row>
    <x:row r="1172" ht="34" customHeight="1">
      <x:c r="A1172" s="12" t="str">
        <x:v>DP44-B</x:v>
      </x:c>
      <x:c r="B1172" s="12" t="str">
        <x:v>U13</x:v>
      </x:c>
      <x:c r="C1172" s="12" t="str">
        <x:v>meaning</x:v>
      </x:c>
      <x:c r="D1172" s="12" t="str">
        <x:v>request</x:v>
      </x:c>
      <x:c r="E1172" s="12" t="str">
        <x:v>text_input</x:v>
      </x:c>
      <x:c r="F1172" s="15" t="n">
        <x:v>600</x:v>
      </x:c>
      <x:c r="G1172" s="17" t="n">
        <x:v>0.000001</x:v>
      </x:c>
      <x:c r="H1172" s="15" t="n">
        <x:f>F1172*G1172</x:f>
        <x:v>0.0006</x:v>
      </x:c>
    </x:row>
    <x:row r="1173" ht="34" customHeight="1">
      <x:c r="A1173" s="7" t="str">
        <x:v>DP44-B</x:v>
      </x:c>
      <x:c r="B1173" s="7" t="str">
        <x:v>U13</x:v>
      </x:c>
      <x:c r="C1173" s="7" t="str">
        <x:v>meaning</x:v>
      </x:c>
      <x:c r="D1173" s="7" t="str">
        <x:v>request</x:v>
      </x:c>
      <x:c r="E1173" s="7" t="str">
        <x:v>text_output</x:v>
      </x:c>
      <x:c r="F1173" s="16" t="n">
        <x:v>64</x:v>
      </x:c>
      <x:c r="G1173" s="18" t="n">
        <x:v>0.000004</x:v>
      </x:c>
      <x:c r="H1173" s="16" t="n">
        <x:f>F1173*G1173</x:f>
        <x:v>0.000256</x:v>
      </x:c>
    </x:row>
    <x:row r="1174" ht="34" customHeight="1">
      <x:c r="A1174" s="12" t="str">
        <x:v>DP44-B</x:v>
      </x:c>
      <x:c r="B1174" s="12" t="str">
        <x:v>U13</x:v>
      </x:c>
      <x:c r="C1174" s="12" t="str">
        <x:v>response_audio</x:v>
      </x:c>
      <x:c r="D1174" s="12" t="str">
        <x:v>request</x:v>
      </x:c>
      <x:c r="E1174" s="12" t="str">
        <x:v>text_input</x:v>
      </x:c>
      <x:c r="F1174" s="15" t="n">
        <x:v>48</x:v>
      </x:c>
      <x:c r="G1174" s="17" t="n">
        <x:v>0.000001</x:v>
      </x:c>
      <x:c r="H1174" s="15" t="n">
        <x:f>F1174*G1174</x:f>
        <x:v>0.000048</x:v>
      </x:c>
    </x:row>
    <x:row r="1175" ht="34" customHeight="1">
      <x:c r="A1175" s="7" t="str">
        <x:v>DP44-B</x:v>
      </x:c>
      <x:c r="B1175" s="7" t="str">
        <x:v>U13</x:v>
      </x:c>
      <x:c r="C1175" s="7" t="str">
        <x:v>response_audio</x:v>
      </x:c>
      <x:c r="D1175" s="7" t="str">
        <x:v>request</x:v>
      </x:c>
      <x:c r="E1175" s="7" t="str">
        <x:v>audio_output</x:v>
      </x:c>
      <x:c r="F1175" s="16" t="n">
        <x:v>6</x:v>
      </x:c>
      <x:c r="G1175" s="18" t="n">
        <x:v>0.002</x:v>
      </x:c>
      <x:c r="H1175" s="16" t="n">
        <x:f>F1175*G1175</x:f>
        <x:v>0.012</x:v>
      </x:c>
    </x:row>
    <x:row r="1176" ht="34" customHeight="1">
      <x:c r="A1176" s="12" t="str">
        <x:v>DP44-B</x:v>
      </x:c>
      <x:c r="B1176" s="12" t="str">
        <x:v>U13</x:v>
      </x:c>
      <x:c r="C1176" s="12" t="str">
        <x:v>intent_audio</x:v>
      </x:c>
      <x:c r="D1176" s="12" t="str">
        <x:v>request</x:v>
      </x:c>
      <x:c r="E1176" s="12" t="str">
        <x:v>text_input</x:v>
      </x:c>
      <x:c r="F1176" s="15" t="n">
        <x:v>24</x:v>
      </x:c>
      <x:c r="G1176" s="17" t="n">
        <x:v>0.000001</x:v>
      </x:c>
      <x:c r="H1176" s="15" t="n">
        <x:f>F1176*G1176</x:f>
        <x:v>0.000024</x:v>
      </x:c>
    </x:row>
    <x:row r="1177" ht="34" customHeight="1">
      <x:c r="A1177" s="7" t="str">
        <x:v>DP44-B</x:v>
      </x:c>
      <x:c r="B1177" s="7" t="str">
        <x:v>U13</x:v>
      </x:c>
      <x:c r="C1177" s="7" t="str">
        <x:v>intent_audio</x:v>
      </x:c>
      <x:c r="D1177" s="7" t="str">
        <x:v>request</x:v>
      </x:c>
      <x:c r="E1177" s="7" t="str">
        <x:v>audio_output</x:v>
      </x:c>
      <x:c r="F1177" s="16" t="n">
        <x:v>3</x:v>
      </x:c>
      <x:c r="G1177" s="18" t="n">
        <x:v>0.002</x:v>
      </x:c>
      <x:c r="H1177" s="16" t="n">
        <x:f>F1177*G1177</x:f>
        <x:v>0.006</x:v>
      </x:c>
    </x:row>
    <x:row r="1178" ht="34" customHeight="1">
      <x:c r="A1178" s="12" t="str">
        <x:v>DP44-B</x:v>
      </x:c>
      <x:c r="B1178" s="12" t="str">
        <x:v>U14</x:v>
      </x:c>
      <x:c r="C1178" s="12" t="str">
        <x:v>meaning</x:v>
      </x:c>
      <x:c r="D1178" s="12" t="str">
        <x:v>request</x:v>
      </x:c>
      <x:c r="E1178" s="12" t="str">
        <x:v>text_input</x:v>
      </x:c>
      <x:c r="F1178" s="15" t="n">
        <x:v>3000</x:v>
      </x:c>
      <x:c r="G1178" s="17" t="n">
        <x:v>0.000001</x:v>
      </x:c>
      <x:c r="H1178" s="15" t="n">
        <x:f>F1178*G1178</x:f>
        <x:v>0.003</x:v>
      </x:c>
    </x:row>
    <x:row r="1179" ht="34" customHeight="1">
      <x:c r="A1179" s="7" t="str">
        <x:v>DP44-B</x:v>
      </x:c>
      <x:c r="B1179" s="7" t="str">
        <x:v>U14</x:v>
      </x:c>
      <x:c r="C1179" s="7" t="str">
        <x:v>meaning</x:v>
      </x:c>
      <x:c r="D1179" s="7" t="str">
        <x:v>request</x:v>
      </x:c>
      <x:c r="E1179" s="7" t="str">
        <x:v>text_output</x:v>
      </x:c>
      <x:c r="F1179" s="16" t="n">
        <x:v>64</x:v>
      </x:c>
      <x:c r="G1179" s="18" t="n">
        <x:v>0.000004</x:v>
      </x:c>
      <x:c r="H1179" s="16" t="n">
        <x:f>F1179*G1179</x:f>
        <x:v>0.000256</x:v>
      </x:c>
    </x:row>
    <x:row r="1180" ht="34" customHeight="1">
      <x:c r="A1180" s="12" t="str">
        <x:v>DP44-B</x:v>
      </x:c>
      <x:c r="B1180" s="12" t="str">
        <x:v>U14</x:v>
      </x:c>
      <x:c r="C1180" s="12" t="str">
        <x:v>response_audio</x:v>
      </x:c>
      <x:c r="D1180" s="12" t="str">
        <x:v>request</x:v>
      </x:c>
      <x:c r="E1180" s="12" t="str">
        <x:v>text_input</x:v>
      </x:c>
      <x:c r="F1180" s="15" t="n">
        <x:v>48</x:v>
      </x:c>
      <x:c r="G1180" s="17" t="n">
        <x:v>0.000001</x:v>
      </x:c>
      <x:c r="H1180" s="15" t="n">
        <x:f>F1180*G1180</x:f>
        <x:v>0.000048</x:v>
      </x:c>
    </x:row>
    <x:row r="1181" ht="34" customHeight="1">
      <x:c r="A1181" s="7" t="str">
        <x:v>DP44-B</x:v>
      </x:c>
      <x:c r="B1181" s="7" t="str">
        <x:v>U14</x:v>
      </x:c>
      <x:c r="C1181" s="7" t="str">
        <x:v>response_audio</x:v>
      </x:c>
      <x:c r="D1181" s="7" t="str">
        <x:v>request</x:v>
      </x:c>
      <x:c r="E1181" s="7" t="str">
        <x:v>audio_output</x:v>
      </x:c>
      <x:c r="F1181" s="16" t="n">
        <x:v>6</x:v>
      </x:c>
      <x:c r="G1181" s="18" t="n">
        <x:v>0.002</x:v>
      </x:c>
      <x:c r="H1181" s="16" t="n">
        <x:f>F1181*G1181</x:f>
        <x:v>0.012</x:v>
      </x:c>
    </x:row>
    <x:row r="1182" ht="34" customHeight="1">
      <x:c r="A1182" s="12" t="str">
        <x:v>DP44-B</x:v>
      </x:c>
      <x:c r="B1182" s="12" t="str">
        <x:v>U14</x:v>
      </x:c>
      <x:c r="C1182" s="12" t="str">
        <x:v>intent_audio</x:v>
      </x:c>
      <x:c r="D1182" s="12" t="str">
        <x:v>request</x:v>
      </x:c>
      <x:c r="E1182" s="12" t="str">
        <x:v>text_input</x:v>
      </x:c>
      <x:c r="F1182" s="15" t="n">
        <x:v>24</x:v>
      </x:c>
      <x:c r="G1182" s="17" t="n">
        <x:v>0.000001</x:v>
      </x:c>
      <x:c r="H1182" s="15" t="n">
        <x:f>F1182*G1182</x:f>
        <x:v>0.000024</x:v>
      </x:c>
    </x:row>
    <x:row r="1183" ht="34" customHeight="1">
      <x:c r="A1183" s="7" t="str">
        <x:v>DP44-B</x:v>
      </x:c>
      <x:c r="B1183" s="7" t="str">
        <x:v>U14</x:v>
      </x:c>
      <x:c r="C1183" s="7" t="str">
        <x:v>intent_audio</x:v>
      </x:c>
      <x:c r="D1183" s="7" t="str">
        <x:v>request</x:v>
      </x:c>
      <x:c r="E1183" s="7" t="str">
        <x:v>audio_output</x:v>
      </x:c>
      <x:c r="F1183" s="16" t="n">
        <x:v>3</x:v>
      </x:c>
      <x:c r="G1183" s="18" t="n">
        <x:v>0.002</x:v>
      </x:c>
      <x:c r="H1183" s="16" t="n">
        <x:f>F1183*G1183</x:f>
        <x:v>0.006</x:v>
      </x:c>
    </x:row>
    <x:row r="1184" ht="34" customHeight="1">
      <x:c r="A1184" s="12" t="str">
        <x:v>DP44-B</x:v>
      </x:c>
      <x:c r="B1184" s="12" t="str">
        <x:v>U14</x:v>
      </x:c>
      <x:c r="C1184" s="12" t="str">
        <x:v>input_end</x:v>
      </x:c>
      <x:c r="D1184" s="12" t="str">
        <x:v>input</x:v>
      </x:c>
      <x:c r="E1184" s="12" t="str">
        <x:v>audio_input</x:v>
      </x:c>
      <x:c r="F1184" s="15" t="n">
        <x:v>3</x:v>
      </x:c>
      <x:c r="G1184" s="17" t="n">
        <x:v>0.001</x:v>
      </x:c>
      <x:c r="H1184" s="15" t="n">
        <x:f>F1184*G1184</x:f>
        <x:v>0.003</x:v>
      </x:c>
    </x:row>
    <x:row r="1185" ht="34" customHeight="1">
      <x:c r="A1185" s="7" t="str">
        <x:v>DP44-B</x:v>
      </x:c>
      <x:c r="B1185" s="7" t="str">
        <x:v>U15</x:v>
      </x:c>
      <x:c r="C1185" s="7" t="str">
        <x:v>meaning</x:v>
      </x:c>
      <x:c r="D1185" s="7" t="str">
        <x:v>request</x:v>
      </x:c>
      <x:c r="E1185" s="7" t="str">
        <x:v>text_input</x:v>
      </x:c>
      <x:c r="F1185" s="16" t="n">
        <x:v>600</x:v>
      </x:c>
      <x:c r="G1185" s="18" t="n">
        <x:v>0.000001</x:v>
      </x:c>
      <x:c r="H1185" s="16" t="n">
        <x:f>F1185*G1185</x:f>
        <x:v>0.0006</x:v>
      </x:c>
    </x:row>
    <x:row r="1186" ht="34" customHeight="1">
      <x:c r="A1186" s="12" t="str">
        <x:v>DP44-B</x:v>
      </x:c>
      <x:c r="B1186" s="12" t="str">
        <x:v>U15</x:v>
      </x:c>
      <x:c r="C1186" s="12" t="str">
        <x:v>meaning</x:v>
      </x:c>
      <x:c r="D1186" s="12" t="str">
        <x:v>request</x:v>
      </x:c>
      <x:c r="E1186" s="12" t="str">
        <x:v>text_output</x:v>
      </x:c>
      <x:c r="F1186" s="15" t="n">
        <x:v>64</x:v>
      </x:c>
      <x:c r="G1186" s="17" t="n">
        <x:v>0.000004</x:v>
      </x:c>
      <x:c r="H1186" s="15" t="n">
        <x:f>F1186*G1186</x:f>
        <x:v>0.000256</x:v>
      </x:c>
    </x:row>
    <x:row r="1187" ht="34" customHeight="1">
      <x:c r="A1187" s="7" t="str">
        <x:v>DP44-B</x:v>
      </x:c>
      <x:c r="B1187" s="7" t="str">
        <x:v>U15</x:v>
      </x:c>
      <x:c r="C1187" s="7" t="str">
        <x:v>response_audio</x:v>
      </x:c>
      <x:c r="D1187" s="7" t="str">
        <x:v>request</x:v>
      </x:c>
      <x:c r="E1187" s="7" t="str">
        <x:v>text_input</x:v>
      </x:c>
      <x:c r="F1187" s="16" t="n">
        <x:v>48</x:v>
      </x:c>
      <x:c r="G1187" s="18" t="n">
        <x:v>0.000001</x:v>
      </x:c>
      <x:c r="H1187" s="16" t="n">
        <x:f>F1187*G1187</x:f>
        <x:v>0.000048</x:v>
      </x:c>
    </x:row>
    <x:row r="1188" ht="34" customHeight="1">
      <x:c r="A1188" s="12" t="str">
        <x:v>DP44-B</x:v>
      </x:c>
      <x:c r="B1188" s="12" t="str">
        <x:v>U15</x:v>
      </x:c>
      <x:c r="C1188" s="12" t="str">
        <x:v>response_audio</x:v>
      </x:c>
      <x:c r="D1188" s="12" t="str">
        <x:v>request</x:v>
      </x:c>
      <x:c r="E1188" s="12" t="str">
        <x:v>audio_output</x:v>
      </x:c>
      <x:c r="F1188" s="15" t="n">
        <x:v>6</x:v>
      </x:c>
      <x:c r="G1188" s="17" t="n">
        <x:v>0.002</x:v>
      </x:c>
      <x:c r="H1188" s="15" t="n">
        <x:f>F1188*G1188</x:f>
        <x:v>0.012</x:v>
      </x:c>
    </x:row>
    <x:row r="1189" ht="34" customHeight="1">
      <x:c r="A1189" s="7" t="str">
        <x:v>DP44-B</x:v>
      </x:c>
      <x:c r="B1189" s="7" t="str">
        <x:v>U15</x:v>
      </x:c>
      <x:c r="C1189" s="7" t="str">
        <x:v>intent_audio</x:v>
      </x:c>
      <x:c r="D1189" s="7" t="str">
        <x:v>request</x:v>
      </x:c>
      <x:c r="E1189" s="7" t="str">
        <x:v>text_input</x:v>
      </x:c>
      <x:c r="F1189" s="16" t="n">
        <x:v>24</x:v>
      </x:c>
      <x:c r="G1189" s="18" t="n">
        <x:v>0.000001</x:v>
      </x:c>
      <x:c r="H1189" s="16" t="n">
        <x:f>F1189*G1189</x:f>
        <x:v>0.000024</x:v>
      </x:c>
    </x:row>
    <x:row r="1190" ht="34" customHeight="1">
      <x:c r="A1190" s="12" t="str">
        <x:v>DP44-B</x:v>
      </x:c>
      <x:c r="B1190" s="12" t="str">
        <x:v>U15</x:v>
      </x:c>
      <x:c r="C1190" s="12" t="str">
        <x:v>intent_audio</x:v>
      </x:c>
      <x:c r="D1190" s="12" t="str">
        <x:v>request</x:v>
      </x:c>
      <x:c r="E1190" s="12" t="str">
        <x:v>audio_output</x:v>
      </x:c>
      <x:c r="F1190" s="15" t="n">
        <x:v>3</x:v>
      </x:c>
      <x:c r="G1190" s="17" t="n">
        <x:v>0.002</x:v>
      </x:c>
      <x:c r="H1190" s="15" t="n">
        <x:f>F1190*G1190</x:f>
        <x:v>0.006</x:v>
      </x:c>
    </x:row>
    <x:row r="1191" ht="34" customHeight="1">
      <x:c r="A1191" s="7" t="str">
        <x:v>DP44-B</x:v>
      </x:c>
      <x:c r="B1191" s="7" t="str">
        <x:v>U16</x:v>
      </x:c>
      <x:c r="C1191" s="7" t="str">
        <x:v>meaning</x:v>
      </x:c>
      <x:c r="D1191" s="7" t="str">
        <x:v>request</x:v>
      </x:c>
      <x:c r="E1191" s="7" t="str">
        <x:v>text_input</x:v>
      </x:c>
      <x:c r="F1191" s="16" t="n">
        <x:v>3000</x:v>
      </x:c>
      <x:c r="G1191" s="18" t="n">
        <x:v>0.000001</x:v>
      </x:c>
      <x:c r="H1191" s="16" t="n">
        <x:f>F1191*G1191</x:f>
        <x:v>0.003</x:v>
      </x:c>
    </x:row>
    <x:row r="1192" ht="34" customHeight="1">
      <x:c r="A1192" s="12" t="str">
        <x:v>DP44-B</x:v>
      </x:c>
      <x:c r="B1192" s="12" t="str">
        <x:v>U16</x:v>
      </x:c>
      <x:c r="C1192" s="12" t="str">
        <x:v>meaning</x:v>
      </x:c>
      <x:c r="D1192" s="12" t="str">
        <x:v>request</x:v>
      </x:c>
      <x:c r="E1192" s="12" t="str">
        <x:v>text_output</x:v>
      </x:c>
      <x:c r="F1192" s="15" t="n">
        <x:v>64</x:v>
      </x:c>
      <x:c r="G1192" s="17" t="n">
        <x:v>0.000004</x:v>
      </x:c>
      <x:c r="H1192" s="15" t="n">
        <x:f>F1192*G1192</x:f>
        <x:v>0.000256</x:v>
      </x:c>
    </x:row>
    <x:row r="1193" ht="34" customHeight="1">
      <x:c r="A1193" s="7" t="str">
        <x:v>DP44-B</x:v>
      </x:c>
      <x:c r="B1193" s="7" t="str">
        <x:v>U16</x:v>
      </x:c>
      <x:c r="C1193" s="7" t="str">
        <x:v>response_audio</x:v>
      </x:c>
      <x:c r="D1193" s="7" t="str">
        <x:v>request</x:v>
      </x:c>
      <x:c r="E1193" s="7" t="str">
        <x:v>text_input</x:v>
      </x:c>
      <x:c r="F1193" s="16" t="n">
        <x:v>48</x:v>
      </x:c>
      <x:c r="G1193" s="18" t="n">
        <x:v>0.000001</x:v>
      </x:c>
      <x:c r="H1193" s="16" t="n">
        <x:f>F1193*G1193</x:f>
        <x:v>0.000048</x:v>
      </x:c>
    </x:row>
    <x:row r="1194" ht="34" customHeight="1">
      <x:c r="A1194" s="12" t="str">
        <x:v>DP44-B</x:v>
      </x:c>
      <x:c r="B1194" s="12" t="str">
        <x:v>U16</x:v>
      </x:c>
      <x:c r="C1194" s="12" t="str">
        <x:v>response_audio</x:v>
      </x:c>
      <x:c r="D1194" s="12" t="str">
        <x:v>request</x:v>
      </x:c>
      <x:c r="E1194" s="12" t="str">
        <x:v>audio_output</x:v>
      </x:c>
      <x:c r="F1194" s="15" t="n">
        <x:v>6</x:v>
      </x:c>
      <x:c r="G1194" s="17" t="n">
        <x:v>0.002</x:v>
      </x:c>
      <x:c r="H1194" s="15" t="n">
        <x:f>F1194*G1194</x:f>
        <x:v>0.012</x:v>
      </x:c>
    </x:row>
    <x:row r="1195" ht="34" customHeight="1">
      <x:c r="A1195" s="7" t="str">
        <x:v>DP44-B</x:v>
      </x:c>
      <x:c r="B1195" s="7" t="str">
        <x:v>U16</x:v>
      </x:c>
      <x:c r="C1195" s="7" t="str">
        <x:v>intent_audio</x:v>
      </x:c>
      <x:c r="D1195" s="7" t="str">
        <x:v>request</x:v>
      </x:c>
      <x:c r="E1195" s="7" t="str">
        <x:v>text_input</x:v>
      </x:c>
      <x:c r="F1195" s="16" t="n">
        <x:v>24</x:v>
      </x:c>
      <x:c r="G1195" s="18" t="n">
        <x:v>0.000001</x:v>
      </x:c>
      <x:c r="H1195" s="16" t="n">
        <x:f>F1195*G1195</x:f>
        <x:v>0.000024</x:v>
      </x:c>
    </x:row>
    <x:row r="1196" ht="34" customHeight="1">
      <x:c r="A1196" s="12" t="str">
        <x:v>DP44-B</x:v>
      </x:c>
      <x:c r="B1196" s="12" t="str">
        <x:v>U16</x:v>
      </x:c>
      <x:c r="C1196" s="12" t="str">
        <x:v>intent_audio</x:v>
      </x:c>
      <x:c r="D1196" s="12" t="str">
        <x:v>request</x:v>
      </x:c>
      <x:c r="E1196" s="12" t="str">
        <x:v>audio_output</x:v>
      </x:c>
      <x:c r="F1196" s="15" t="n">
        <x:v>3</x:v>
      </x:c>
      <x:c r="G1196" s="17" t="n">
        <x:v>0.002</x:v>
      </x:c>
      <x:c r="H1196" s="15" t="n">
        <x:f>F1196*G1196</x:f>
        <x:v>0.006</x:v>
      </x:c>
    </x:row>
    <x:row r="1197" ht="34" customHeight="1">
      <x:c r="A1197" s="7" t="str">
        <x:v>DP44-B</x:v>
      </x:c>
      <x:c r="B1197" s="7" t="str">
        <x:v>U16</x:v>
      </x:c>
      <x:c r="C1197" s="7" t="str">
        <x:v>input_end</x:v>
      </x:c>
      <x:c r="D1197" s="7" t="str">
        <x:v>input</x:v>
      </x:c>
      <x:c r="E1197" s="7" t="str">
        <x:v>audio_input</x:v>
      </x:c>
      <x:c r="F1197" s="16" t="n">
        <x:v>3</x:v>
      </x:c>
      <x:c r="G1197" s="18" t="n">
        <x:v>0.001</x:v>
      </x:c>
      <x:c r="H1197" s="16" t="n">
        <x:f>F1197*G1197</x:f>
        <x:v>0.003</x:v>
      </x:c>
    </x:row>
    <x:row r="1198" ht="34" customHeight="1">
      <x:c r="A1198" s="12" t="str">
        <x:v>DP44-B</x:v>
      </x:c>
      <x:c r="B1198" s="12" t="str">
        <x:v>U17</x:v>
      </x:c>
      <x:c r="C1198" s="12" t="str">
        <x:v>meaning</x:v>
      </x:c>
      <x:c r="D1198" s="12" t="str">
        <x:v>request</x:v>
      </x:c>
      <x:c r="E1198" s="12" t="str">
        <x:v>text_input</x:v>
      </x:c>
      <x:c r="F1198" s="15" t="n">
        <x:v>600</x:v>
      </x:c>
      <x:c r="G1198" s="17" t="n">
        <x:v>0.000001</x:v>
      </x:c>
      <x:c r="H1198" s="15" t="n">
        <x:f>F1198*G1198</x:f>
        <x:v>0.0006</x:v>
      </x:c>
    </x:row>
    <x:row r="1199" ht="34" customHeight="1">
      <x:c r="A1199" s="7" t="str">
        <x:v>DP44-B</x:v>
      </x:c>
      <x:c r="B1199" s="7" t="str">
        <x:v>U17</x:v>
      </x:c>
      <x:c r="C1199" s="7" t="str">
        <x:v>meaning</x:v>
      </x:c>
      <x:c r="D1199" s="7" t="str">
        <x:v>request</x:v>
      </x:c>
      <x:c r="E1199" s="7" t="str">
        <x:v>text_output</x:v>
      </x:c>
      <x:c r="F1199" s="16" t="n">
        <x:v>64</x:v>
      </x:c>
      <x:c r="G1199" s="18" t="n">
        <x:v>0.000004</x:v>
      </x:c>
      <x:c r="H1199" s="16" t="n">
        <x:f>F1199*G1199</x:f>
        <x:v>0.000256</x:v>
      </x:c>
    </x:row>
    <x:row r="1200" ht="34" customHeight="1">
      <x:c r="A1200" s="12" t="str">
        <x:v>DP44-B</x:v>
      </x:c>
      <x:c r="B1200" s="12" t="str">
        <x:v>U17</x:v>
      </x:c>
      <x:c r="C1200" s="12" t="str">
        <x:v>question_audio</x:v>
      </x:c>
      <x:c r="D1200" s="12" t="str">
        <x:v>request</x:v>
      </x:c>
      <x:c r="E1200" s="12" t="str">
        <x:v>text_input</x:v>
      </x:c>
      <x:c r="F1200" s="15" t="n">
        <x:v>64</x:v>
      </x:c>
      <x:c r="G1200" s="17" t="n">
        <x:v>0.000001</x:v>
      </x:c>
      <x:c r="H1200" s="15" t="n">
        <x:f>F1200*G1200</x:f>
        <x:v>0.000064</x:v>
      </x:c>
    </x:row>
    <x:row r="1201" ht="34" customHeight="1">
      <x:c r="A1201" s="7" t="str">
        <x:v>DP44-B</x:v>
      </x:c>
      <x:c r="B1201" s="7" t="str">
        <x:v>U17</x:v>
      </x:c>
      <x:c r="C1201" s="7" t="str">
        <x:v>question_audio</x:v>
      </x:c>
      <x:c r="D1201" s="7" t="str">
        <x:v>request</x:v>
      </x:c>
      <x:c r="E1201" s="7" t="str">
        <x:v>audio_output</x:v>
      </x:c>
      <x:c r="F1201" s="16" t="n">
        <x:v>8</x:v>
      </x:c>
      <x:c r="G1201" s="18" t="n">
        <x:v>0.002</x:v>
      </x:c>
      <x:c r="H1201" s="16" t="n">
        <x:f>F1201*G1201</x:f>
        <x:v>0.016</x:v>
      </x:c>
    </x:row>
    <x:row r="1202" ht="34" customHeight="1">
      <x:c r="A1202" s="12" t="str">
        <x:v>DP44-B</x:v>
      </x:c>
      <x:c r="B1202" s="12" t="str">
        <x:v>U17</x:v>
      </x:c>
      <x:c r="C1202" s="12" t="str">
        <x:v>input_end</x:v>
      </x:c>
      <x:c r="D1202" s="12" t="str">
        <x:v>input</x:v>
      </x:c>
      <x:c r="E1202" s="12" t="str">
        <x:v>audio_input</x:v>
      </x:c>
      <x:c r="F1202" s="15" t="n">
        <x:v>3</x:v>
      </x:c>
      <x:c r="G1202" s="17" t="n">
        <x:v>0.001</x:v>
      </x:c>
      <x:c r="H1202" s="15" t="n">
        <x:f>F1202*G1202</x:f>
        <x:v>0.003</x:v>
      </x:c>
    </x:row>
    <x:row r="1203" ht="34" customHeight="1">
      <x:c r="A1203" s="7" t="str">
        <x:v>DP44-B</x:v>
      </x:c>
      <x:c r="B1203" s="7" t="str">
        <x:v>U18</x:v>
      </x:c>
      <x:c r="C1203" s="7" t="str">
        <x:v>meaning</x:v>
      </x:c>
      <x:c r="D1203" s="7" t="str">
        <x:v>request</x:v>
      </x:c>
      <x:c r="E1203" s="7" t="str">
        <x:v>text_input</x:v>
      </x:c>
      <x:c r="F1203" s="16" t="n">
        <x:v>600</x:v>
      </x:c>
      <x:c r="G1203" s="18" t="n">
        <x:v>0.000001</x:v>
      </x:c>
      <x:c r="H1203" s="16" t="n">
        <x:f>F1203*G1203</x:f>
        <x:v>0.0006</x:v>
      </x:c>
    </x:row>
    <x:row r="1204" ht="34" customHeight="1">
      <x:c r="A1204" s="12" t="str">
        <x:v>DP44-B</x:v>
      </x:c>
      <x:c r="B1204" s="12" t="str">
        <x:v>U18</x:v>
      </x:c>
      <x:c r="C1204" s="12" t="str">
        <x:v>meaning</x:v>
      </x:c>
      <x:c r="D1204" s="12" t="str">
        <x:v>request</x:v>
      </x:c>
      <x:c r="E1204" s="12" t="str">
        <x:v>text_output</x:v>
      </x:c>
      <x:c r="F1204" s="15" t="n">
        <x:v>64</x:v>
      </x:c>
      <x:c r="G1204" s="17" t="n">
        <x:v>0.000004</x:v>
      </x:c>
      <x:c r="H1204" s="15" t="n">
        <x:f>F1204*G1204</x:f>
        <x:v>0.000256</x:v>
      </x:c>
    </x:row>
    <x:row r="1205" ht="34" customHeight="1">
      <x:c r="A1205" s="7" t="str">
        <x:v>DP44-B</x:v>
      </x:c>
      <x:c r="B1205" s="7" t="str">
        <x:v>U18</x:v>
      </x:c>
      <x:c r="C1205" s="7" t="str">
        <x:v>question_audio</x:v>
      </x:c>
      <x:c r="D1205" s="7" t="str">
        <x:v>request</x:v>
      </x:c>
      <x:c r="E1205" s="7" t="str">
        <x:v>text_input</x:v>
      </x:c>
      <x:c r="F1205" s="16" t="n">
        <x:v>64</x:v>
      </x:c>
      <x:c r="G1205" s="18" t="n">
        <x:v>0.000001</x:v>
      </x:c>
      <x:c r="H1205" s="16" t="n">
        <x:f>F1205*G1205</x:f>
        <x:v>0.000064</x:v>
      </x:c>
    </x:row>
    <x:row r="1206" ht="34" customHeight="1">
      <x:c r="A1206" s="12" t="str">
        <x:v>DP44-B</x:v>
      </x:c>
      <x:c r="B1206" s="12" t="str">
        <x:v>U18</x:v>
      </x:c>
      <x:c r="C1206" s="12" t="str">
        <x:v>question_audio</x:v>
      </x:c>
      <x:c r="D1206" s="12" t="str">
        <x:v>request</x:v>
      </x:c>
      <x:c r="E1206" s="12" t="str">
        <x:v>audio_output</x:v>
      </x:c>
      <x:c r="F1206" s="15" t="n">
        <x:v>8</x:v>
      </x:c>
      <x:c r="G1206" s="17" t="n">
        <x:v>0.002</x:v>
      </x:c>
      <x:c r="H1206" s="15" t="n">
        <x:f>F1206*G1206</x:f>
        <x:v>0.016</x:v>
      </x:c>
    </x:row>
    <x:row r="1207" ht="34" customHeight="1">
      <x:c r="A1207" s="7" t="str">
        <x:v>DP44-B</x:v>
      </x:c>
      <x:c r="B1207" s="7" t="str">
        <x:v>U18</x:v>
      </x:c>
      <x:c r="C1207" s="7" t="str">
        <x:v>input_end</x:v>
      </x:c>
      <x:c r="D1207" s="7" t="str">
        <x:v>input</x:v>
      </x:c>
      <x:c r="E1207" s="7" t="str">
        <x:v>audio_input</x:v>
      </x:c>
      <x:c r="F1207" s="16" t="n">
        <x:v>3</x:v>
      </x:c>
      <x:c r="G1207" s="18" t="n">
        <x:v>0.001</x:v>
      </x:c>
      <x:c r="H1207" s="16" t="n">
        <x:f>F1207*G1207</x:f>
        <x:v>0.003</x:v>
      </x:c>
    </x:row>
    <x:row r="1208" ht="34" customHeight="1">
      <x:c r="A1208" s="12" t="str">
        <x:v>DP44-B</x:v>
      </x:c>
      <x:c r="B1208" s="12" t="str">
        <x:v>U19</x:v>
      </x:c>
      <x:c r="C1208" s="12" t="str">
        <x:v>meaning</x:v>
      </x:c>
      <x:c r="D1208" s="12" t="str">
        <x:v>request</x:v>
      </x:c>
      <x:c r="E1208" s="12" t="str">
        <x:v>text_input</x:v>
      </x:c>
      <x:c r="F1208" s="15" t="n">
        <x:v>600</x:v>
      </x:c>
      <x:c r="G1208" s="17" t="n">
        <x:v>0.000001</x:v>
      </x:c>
      <x:c r="H1208" s="15" t="n">
        <x:f>F1208*G1208</x:f>
        <x:v>0.0006</x:v>
      </x:c>
    </x:row>
    <x:row r="1209" ht="34" customHeight="1">
      <x:c r="A1209" s="7" t="str">
        <x:v>DP44-B</x:v>
      </x:c>
      <x:c r="B1209" s="7" t="str">
        <x:v>U19</x:v>
      </x:c>
      <x:c r="C1209" s="7" t="str">
        <x:v>meaning</x:v>
      </x:c>
      <x:c r="D1209" s="7" t="str">
        <x:v>request</x:v>
      </x:c>
      <x:c r="E1209" s="7" t="str">
        <x:v>text_output</x:v>
      </x:c>
      <x:c r="F1209" s="16" t="n">
        <x:v>64</x:v>
      </x:c>
      <x:c r="G1209" s="18" t="n">
        <x:v>0.000004</x:v>
      </x:c>
      <x:c r="H1209" s="16" t="n">
        <x:f>F1209*G1209</x:f>
        <x:v>0.000256</x:v>
      </x:c>
    </x:row>
    <x:row r="1210" ht="34" customHeight="1">
      <x:c r="A1210" s="12" t="str">
        <x:v>DP44-B</x:v>
      </x:c>
      <x:c r="B1210" s="12" t="str">
        <x:v>U19</x:v>
      </x:c>
      <x:c r="C1210" s="12" t="str">
        <x:v>question_audio</x:v>
      </x:c>
      <x:c r="D1210" s="12" t="str">
        <x:v>request</x:v>
      </x:c>
      <x:c r="E1210" s="12" t="str">
        <x:v>text_input</x:v>
      </x:c>
      <x:c r="F1210" s="15" t="n">
        <x:v>48</x:v>
      </x:c>
      <x:c r="G1210" s="17" t="n">
        <x:v>0.000001</x:v>
      </x:c>
      <x:c r="H1210" s="15" t="n">
        <x:f>F1210*G1210</x:f>
        <x:v>0.000048</x:v>
      </x:c>
    </x:row>
    <x:row r="1211" ht="34" customHeight="1">
      <x:c r="A1211" s="7" t="str">
        <x:v>DP44-B</x:v>
      </x:c>
      <x:c r="B1211" s="7" t="str">
        <x:v>U19</x:v>
      </x:c>
      <x:c r="C1211" s="7" t="str">
        <x:v>question_audio</x:v>
      </x:c>
      <x:c r="D1211" s="7" t="str">
        <x:v>request</x:v>
      </x:c>
      <x:c r="E1211" s="7" t="str">
        <x:v>audio_output</x:v>
      </x:c>
      <x:c r="F1211" s="16" t="n">
        <x:v>6</x:v>
      </x:c>
      <x:c r="G1211" s="18" t="n">
        <x:v>0.002</x:v>
      </x:c>
      <x:c r="H1211" s="16" t="n">
        <x:f>F1211*G1211</x:f>
        <x:v>0.012</x:v>
      </x:c>
    </x:row>
    <x:row r="1212" ht="34" customHeight="1">
      <x:c r="A1212" s="12" t="str">
        <x:v>DP44-B</x:v>
      </x:c>
      <x:c r="B1212" s="12" t="str">
        <x:v>U19</x:v>
      </x:c>
      <x:c r="C1212" s="12" t="str">
        <x:v>old_audio</x:v>
      </x:c>
      <x:c r="D1212" s="12" t="str">
        <x:v>preparation</x:v>
      </x:c>
      <x:c r="E1212" s="12" t="str">
        <x:v>text_input</x:v>
      </x:c>
      <x:c r="F1212" s="15" t="n">
        <x:v>288</x:v>
      </x:c>
      <x:c r="G1212" s="17" t="n">
        <x:v>0.000001</x:v>
      </x:c>
      <x:c r="H1212" s="15" t="n">
        <x:f>F1212*G1212</x:f>
        <x:v>0.000288</x:v>
      </x:c>
    </x:row>
    <x:row r="1213" ht="34" customHeight="1">
      <x:c r="A1213" s="7" t="str">
        <x:v>DP44-B</x:v>
      </x:c>
      <x:c r="B1213" s="7" t="str">
        <x:v>U19</x:v>
      </x:c>
      <x:c r="C1213" s="7" t="str">
        <x:v>old_audio</x:v>
      </x:c>
      <x:c r="D1213" s="7" t="str">
        <x:v>preparation</x:v>
      </x:c>
      <x:c r="E1213" s="7" t="str">
        <x:v>audio_output</x:v>
      </x:c>
      <x:c r="F1213" s="16" t="n">
        <x:v>12.728000000000002</x:v>
      </x:c>
      <x:c r="G1213" s="18" t="n">
        <x:v>0.002</x:v>
      </x:c>
      <x:c r="H1213" s="16" t="n">
        <x:f>F1213*G1213</x:f>
        <x:v>0.025456000000000003</x:v>
      </x:c>
    </x:row>
    <x:row r="1214" ht="34" customHeight="1">
      <x:c r="A1214" s="12" t="str">
        <x:v>DP44-B</x:v>
      </x:c>
      <x:c r="B1214" s="12" t="str">
        <x:v>U19</x:v>
      </x:c>
      <x:c r="C1214" s="12" t="str">
        <x:v>resume_tail</x:v>
      </x:c>
      <x:c r="D1214" s="12" t="str">
        <x:v>request</x:v>
      </x:c>
      <x:c r="E1214" s="12" t="str">
        <x:v>text_input</x:v>
      </x:c>
      <x:c r="F1214" s="15" t="n">
        <x:v>306.176</x:v>
      </x:c>
      <x:c r="G1214" s="17" t="n">
        <x:v>0.000001</x:v>
      </x:c>
      <x:c r="H1214" s="15" t="n">
        <x:f>F1214*G1214</x:f>
        <x:v>0.00030617599999999996</x:v>
      </x:c>
    </x:row>
    <x:row r="1215" ht="34" customHeight="1">
      <x:c r="A1215" s="7" t="str">
        <x:v>DP44-B</x:v>
      </x:c>
      <x:c r="B1215" s="7" t="str">
        <x:v>U19</x:v>
      </x:c>
      <x:c r="C1215" s="7" t="str">
        <x:v>resume_tail</x:v>
      </x:c>
      <x:c r="D1215" s="7" t="str">
        <x:v>request</x:v>
      </x:c>
      <x:c r="E1215" s="7" t="str">
        <x:v>audio_output</x:v>
      </x:c>
      <x:c r="F1215" s="16" t="n">
        <x:v>23.272</x:v>
      </x:c>
      <x:c r="G1215" s="18" t="n">
        <x:v>0.002</x:v>
      </x:c>
      <x:c r="H1215" s="16" t="n">
        <x:f>F1215*G1215</x:f>
        <x:v>0.046543999999999995</x:v>
      </x:c>
    </x:row>
    <x:row r="1216" ht="34" customHeight="1">
      <x:c r="A1216" s="12" t="str">
        <x:v>DP44-B</x:v>
      </x:c>
      <x:c r="B1216" s="12" t="str">
        <x:v>U19</x:v>
      </x:c>
      <x:c r="C1216" s="12" t="str">
        <x:v>input_end</x:v>
      </x:c>
      <x:c r="D1216" s="12" t="str">
        <x:v>input</x:v>
      </x:c>
      <x:c r="E1216" s="12" t="str">
        <x:v>audio_input</x:v>
      </x:c>
      <x:c r="F1216" s="15" t="n">
        <x:v>3</x:v>
      </x:c>
      <x:c r="G1216" s="17" t="n">
        <x:v>0.001</x:v>
      </x:c>
      <x:c r="H1216" s="15" t="n">
        <x:f>F1216*G1216</x:f>
        <x:v>0.003</x:v>
      </x:c>
    </x:row>
    <x:row r="1217" ht="34" customHeight="1">
      <x:c r="A1217" s="7" t="str">
        <x:v>DP44-B</x:v>
      </x:c>
      <x:c r="B1217" s="7" t="str">
        <x:v>U20</x:v>
      </x:c>
      <x:c r="C1217" s="7" t="str">
        <x:v>meaning</x:v>
      </x:c>
      <x:c r="D1217" s="7" t="str">
        <x:v>request</x:v>
      </x:c>
      <x:c r="E1217" s="7" t="str">
        <x:v>text_input</x:v>
      </x:c>
      <x:c r="F1217" s="16" t="n">
        <x:v>600</x:v>
      </x:c>
      <x:c r="G1217" s="18" t="n">
        <x:v>0.000001</x:v>
      </x:c>
      <x:c r="H1217" s="16" t="n">
        <x:f>F1217*G1217</x:f>
        <x:v>0.0006</x:v>
      </x:c>
    </x:row>
    <x:row r="1218" ht="34" customHeight="1">
      <x:c r="A1218" s="12" t="str">
        <x:v>DP44-B</x:v>
      </x:c>
      <x:c r="B1218" s="12" t="str">
        <x:v>U20</x:v>
      </x:c>
      <x:c r="C1218" s="12" t="str">
        <x:v>meaning</x:v>
      </x:c>
      <x:c r="D1218" s="12" t="str">
        <x:v>request</x:v>
      </x:c>
      <x:c r="E1218" s="12" t="str">
        <x:v>text_output</x:v>
      </x:c>
      <x:c r="F1218" s="15" t="n">
        <x:v>64</x:v>
      </x:c>
      <x:c r="G1218" s="17" t="n">
        <x:v>0.000004</x:v>
      </x:c>
      <x:c r="H1218" s="15" t="n">
        <x:f>F1218*G1218</x:f>
        <x:v>0.000256</x:v>
      </x:c>
    </x:row>
    <x:row r="1219" ht="34" customHeight="1">
      <x:c r="A1219" s="7" t="str">
        <x:v>DP44-B</x:v>
      </x:c>
      <x:c r="B1219" s="7" t="str">
        <x:v>U20</x:v>
      </x:c>
      <x:c r="C1219" s="7" t="str">
        <x:v>input_end</x:v>
      </x:c>
      <x:c r="D1219" s="7" t="str">
        <x:v>input</x:v>
      </x:c>
      <x:c r="E1219" s="7" t="str">
        <x:v>audio_input</x:v>
      </x:c>
      <x:c r="F1219" s="16" t="n">
        <x:v>3</x:v>
      </x:c>
      <x:c r="G1219" s="18" t="n">
        <x:v>0.001</x:v>
      </x:c>
      <x:c r="H1219" s="16" t="n">
        <x:f>F1219*G1219</x:f>
        <x:v>0.003</x:v>
      </x:c>
    </x:row>
    <x:row r="1220" ht="34" customHeight="1">
      <x:c r="A1220" s="12" t="str">
        <x:v>DP44-B</x:v>
      </x:c>
      <x:c r="B1220" s="12" t="str">
        <x:v>U21</x:v>
      </x:c>
      <x:c r="C1220" s="12" t="str">
        <x:v>bg1</x:v>
      </x:c>
      <x:c r="D1220" s="12" t="str">
        <x:v>background</x:v>
      </x:c>
      <x:c r="E1220" s="12" t="str">
        <x:v>text_input</x:v>
      </x:c>
      <x:c r="F1220" s="15" t="n">
        <x:v>1200</x:v>
      </x:c>
      <x:c r="G1220" s="17" t="n">
        <x:v>0.000001</x:v>
      </x:c>
      <x:c r="H1220" s="15" t="n">
        <x:f>F1220*G1220</x:f>
        <x:v>0.0012</x:v>
      </x:c>
    </x:row>
    <x:row r="1221" ht="34" customHeight="1">
      <x:c r="A1221" s="7" t="str">
        <x:v>DP44-B</x:v>
      </x:c>
      <x:c r="B1221" s="7" t="str">
        <x:v>U21</x:v>
      </x:c>
      <x:c r="C1221" s="7" t="str">
        <x:v>bg1</x:v>
      </x:c>
      <x:c r="D1221" s="7" t="str">
        <x:v>background</x:v>
      </x:c>
      <x:c r="E1221" s="7" t="str">
        <x:v>text_output</x:v>
      </x:c>
      <x:c r="F1221" s="16" t="n">
        <x:v>240</x:v>
      </x:c>
      <x:c r="G1221" s="18" t="n">
        <x:v>0.000004</x:v>
      </x:c>
      <x:c r="H1221" s="16" t="n">
        <x:f>F1221*G1221</x:f>
        <x:v>0.0009599999999999999</x:v>
      </x:c>
    </x:row>
    <x:row r="1222" ht="34" customHeight="1">
      <x:c r="A1222" s="12" t="str">
        <x:v>DP44-B</x:v>
      </x:c>
      <x:c r="B1222" s="12" t="str">
        <x:v>U21</x:v>
      </x:c>
      <x:c r="C1222" s="12" t="str">
        <x:v>meaning</x:v>
      </x:c>
      <x:c r="D1222" s="12" t="str">
        <x:v>request</x:v>
      </x:c>
      <x:c r="E1222" s="12" t="str">
        <x:v>text_input</x:v>
      </x:c>
      <x:c r="F1222" s="15" t="n">
        <x:v>4800</x:v>
      </x:c>
      <x:c r="G1222" s="17" t="n">
        <x:v>0.000001</x:v>
      </x:c>
      <x:c r="H1222" s="15" t="n">
        <x:f>F1222*G1222</x:f>
        <x:v>0.0048</x:v>
      </x:c>
    </x:row>
    <x:row r="1223" ht="34" customHeight="1">
      <x:c r="A1223" s="7" t="str">
        <x:v>DP44-B</x:v>
      </x:c>
      <x:c r="B1223" s="7" t="str">
        <x:v>U21</x:v>
      </x:c>
      <x:c r="C1223" s="7" t="str">
        <x:v>meaning</x:v>
      </x:c>
      <x:c r="D1223" s="7" t="str">
        <x:v>request</x:v>
      </x:c>
      <x:c r="E1223" s="7" t="str">
        <x:v>text_output</x:v>
      </x:c>
      <x:c r="F1223" s="16" t="n">
        <x:v>64</x:v>
      </x:c>
      <x:c r="G1223" s="18" t="n">
        <x:v>0.000004</x:v>
      </x:c>
      <x:c r="H1223" s="16" t="n">
        <x:f>F1223*G1223</x:f>
        <x:v>0.000256</x:v>
      </x:c>
    </x:row>
    <x:row r="1224" ht="34" customHeight="1">
      <x:c r="A1224" s="12" t="str">
        <x:v>DP44-B</x:v>
      </x:c>
      <x:c r="B1224" s="12" t="str">
        <x:v>U21</x:v>
      </x:c>
      <x:c r="C1224" s="12" t="str">
        <x:v>response_audio</x:v>
      </x:c>
      <x:c r="D1224" s="12" t="str">
        <x:v>request</x:v>
      </x:c>
      <x:c r="E1224" s="12" t="str">
        <x:v>text_input</x:v>
      </x:c>
      <x:c r="F1224" s="15" t="n">
        <x:v>48</x:v>
      </x:c>
      <x:c r="G1224" s="17" t="n">
        <x:v>0.000001</x:v>
      </x:c>
      <x:c r="H1224" s="15" t="n">
        <x:f>F1224*G1224</x:f>
        <x:v>0.000048</x:v>
      </x:c>
    </x:row>
    <x:row r="1225" ht="34" customHeight="1">
      <x:c r="A1225" s="7" t="str">
        <x:v>DP44-B</x:v>
      </x:c>
      <x:c r="B1225" s="7" t="str">
        <x:v>U21</x:v>
      </x:c>
      <x:c r="C1225" s="7" t="str">
        <x:v>response_audio</x:v>
      </x:c>
      <x:c r="D1225" s="7" t="str">
        <x:v>request</x:v>
      </x:c>
      <x:c r="E1225" s="7" t="str">
        <x:v>audio_output</x:v>
      </x:c>
      <x:c r="F1225" s="16" t="n">
        <x:v>6</x:v>
      </x:c>
      <x:c r="G1225" s="18" t="n">
        <x:v>0.002</x:v>
      </x:c>
      <x:c r="H1225" s="16" t="n">
        <x:f>F1225*G1225</x:f>
        <x:v>0.012</x:v>
      </x:c>
    </x:row>
    <x:row r="1226" ht="34" customHeight="1">
      <x:c r="A1226" s="12" t="str">
        <x:v>DP44-B</x:v>
      </x:c>
      <x:c r="B1226" s="12" t="str">
        <x:v>U21</x:v>
      </x:c>
      <x:c r="C1226" s="12" t="str">
        <x:v>intent_audio</x:v>
      </x:c>
      <x:c r="D1226" s="12" t="str">
        <x:v>request</x:v>
      </x:c>
      <x:c r="E1226" s="12" t="str">
        <x:v>text_input</x:v>
      </x:c>
      <x:c r="F1226" s="15" t="n">
        <x:v>24</x:v>
      </x:c>
      <x:c r="G1226" s="17" t="n">
        <x:v>0.000001</x:v>
      </x:c>
      <x:c r="H1226" s="15" t="n">
        <x:f>F1226*G1226</x:f>
        <x:v>0.000024</x:v>
      </x:c>
    </x:row>
    <x:row r="1227" ht="34" customHeight="1">
      <x:c r="A1227" s="7" t="str">
        <x:v>DP44-B</x:v>
      </x:c>
      <x:c r="B1227" s="7" t="str">
        <x:v>U21</x:v>
      </x:c>
      <x:c r="C1227" s="7" t="str">
        <x:v>intent_audio</x:v>
      </x:c>
      <x:c r="D1227" s="7" t="str">
        <x:v>request</x:v>
      </x:c>
      <x:c r="E1227" s="7" t="str">
        <x:v>audio_output</x:v>
      </x:c>
      <x:c r="F1227" s="16" t="n">
        <x:v>3</x:v>
      </x:c>
      <x:c r="G1227" s="18" t="n">
        <x:v>0.002</x:v>
      </x:c>
      <x:c r="H1227" s="16" t="n">
        <x:f>F1227*G1227</x:f>
        <x:v>0.006</x:v>
      </x:c>
    </x:row>
    <x:row r="1228" ht="34" customHeight="1">
      <x:c r="A1228" s="12" t="str">
        <x:v>DP44-B</x:v>
      </x:c>
      <x:c r="B1228" s="12" t="str">
        <x:v>U21</x:v>
      </x:c>
      <x:c r="C1228" s="12" t="str">
        <x:v>input_end</x:v>
      </x:c>
      <x:c r="D1228" s="12" t="str">
        <x:v>input</x:v>
      </x:c>
      <x:c r="E1228" s="12" t="str">
        <x:v>audio_input</x:v>
      </x:c>
      <x:c r="F1228" s="15" t="n">
        <x:v>3</x:v>
      </x:c>
      <x:c r="G1228" s="17" t="n">
        <x:v>0.001</x:v>
      </x:c>
      <x:c r="H1228" s="15" t="n">
        <x:f>F1228*G1228</x:f>
        <x:v>0.003</x:v>
      </x:c>
    </x:row>
    <x:row r="1229" ht="34" customHeight="1">
      <x:c r="A1229" s="7" t="str">
        <x:v>DP44-B</x:v>
      </x:c>
      <x:c r="B1229" s="7" t="str">
        <x:v>U22</x:v>
      </x:c>
      <x:c r="C1229" s="7" t="str">
        <x:v>pre_raw</x:v>
      </x:c>
      <x:c r="D1229" s="7" t="str">
        <x:v>preparation</x:v>
      </x:c>
      <x:c r="E1229" s="7" t="str">
        <x:v>text_input</x:v>
      </x:c>
      <x:c r="F1229" s="16" t="n">
        <x:v>2400</x:v>
      </x:c>
      <x:c r="G1229" s="18" t="n">
        <x:v>0.000001</x:v>
      </x:c>
      <x:c r="H1229" s="16" t="n">
        <x:f>F1229*G1229</x:f>
        <x:v>0.0024</x:v>
      </x:c>
    </x:row>
    <x:row r="1230" ht="34" customHeight="1">
      <x:c r="A1230" s="12" t="str">
        <x:v>DP44-B</x:v>
      </x:c>
      <x:c r="B1230" s="12" t="str">
        <x:v>U22</x:v>
      </x:c>
      <x:c r="C1230" s="12" t="str">
        <x:v>pre_raw</x:v>
      </x:c>
      <x:c r="D1230" s="12" t="str">
        <x:v>preparation</x:v>
      </x:c>
      <x:c r="E1230" s="12" t="str">
        <x:v>text_output</x:v>
      </x:c>
      <x:c r="F1230" s="15" t="n">
        <x:v>64</x:v>
      </x:c>
      <x:c r="G1230" s="17" t="n">
        <x:v>0.000004</x:v>
      </x:c>
      <x:c r="H1230" s="15" t="n">
        <x:f>F1230*G1230</x:f>
        <x:v>0.000256</x:v>
      </x:c>
    </x:row>
    <x:row r="1231" ht="34" customHeight="1">
      <x:c r="A1231" s="7" t="str">
        <x:v>DP44-B</x:v>
      </x:c>
      <x:c r="B1231" s="7" t="str">
        <x:v>U22</x:v>
      </x:c>
      <x:c r="C1231" s="7" t="str">
        <x:v>meaning</x:v>
      </x:c>
      <x:c r="D1231" s="7" t="str">
        <x:v>request</x:v>
      </x:c>
      <x:c r="E1231" s="7" t="str">
        <x:v>text_input</x:v>
      </x:c>
      <x:c r="F1231" s="16" t="n">
        <x:v>2400</x:v>
      </x:c>
      <x:c r="G1231" s="18" t="n">
        <x:v>0.000001</x:v>
      </x:c>
      <x:c r="H1231" s="16" t="n">
        <x:f>F1231*G1231</x:f>
        <x:v>0.0024</x:v>
      </x:c>
    </x:row>
    <x:row r="1232" ht="34" customHeight="1">
      <x:c r="A1232" s="12" t="str">
        <x:v>DP44-B</x:v>
      </x:c>
      <x:c r="B1232" s="12" t="str">
        <x:v>U22</x:v>
      </x:c>
      <x:c r="C1232" s="12" t="str">
        <x:v>meaning</x:v>
      </x:c>
      <x:c r="D1232" s="12" t="str">
        <x:v>request</x:v>
      </x:c>
      <x:c r="E1232" s="12" t="str">
        <x:v>text_output</x:v>
      </x:c>
      <x:c r="F1232" s="15" t="n">
        <x:v>64</x:v>
      </x:c>
      <x:c r="G1232" s="17" t="n">
        <x:v>0.000004</x:v>
      </x:c>
      <x:c r="H1232" s="15" t="n">
        <x:f>F1232*G1232</x:f>
        <x:v>0.000256</x:v>
      </x:c>
    </x:row>
    <x:row r="1233" ht="34" customHeight="1">
      <x:c r="A1233" s="7" t="str">
        <x:v>DP44-B</x:v>
      </x:c>
      <x:c r="B1233" s="7" t="str">
        <x:v>U22</x:v>
      </x:c>
      <x:c r="C1233" s="7" t="str">
        <x:v>question_audio</x:v>
      </x:c>
      <x:c r="D1233" s="7" t="str">
        <x:v>request</x:v>
      </x:c>
      <x:c r="E1233" s="7" t="str">
        <x:v>text_input</x:v>
      </x:c>
      <x:c r="F1233" s="16" t="n">
        <x:v>48</x:v>
      </x:c>
      <x:c r="G1233" s="18" t="n">
        <x:v>0.000001</x:v>
      </x:c>
      <x:c r="H1233" s="16" t="n">
        <x:f>F1233*G1233</x:f>
        <x:v>0.000048</x:v>
      </x:c>
    </x:row>
    <x:row r="1234" ht="34" customHeight="1">
      <x:c r="A1234" s="12" t="str">
        <x:v>DP44-B</x:v>
      </x:c>
      <x:c r="B1234" s="12" t="str">
        <x:v>U22</x:v>
      </x:c>
      <x:c r="C1234" s="12" t="str">
        <x:v>question_audio</x:v>
      </x:c>
      <x:c r="D1234" s="12" t="str">
        <x:v>request</x:v>
      </x:c>
      <x:c r="E1234" s="12" t="str">
        <x:v>audio_output</x:v>
      </x:c>
      <x:c r="F1234" s="15" t="n">
        <x:v>6</x:v>
      </x:c>
      <x:c r="G1234" s="17" t="n">
        <x:v>0.002</x:v>
      </x:c>
      <x:c r="H1234" s="15" t="n">
        <x:f>F1234*G1234</x:f>
        <x:v>0.012</x:v>
      </x:c>
    </x:row>
    <x:row r="1235" ht="34" customHeight="1">
      <x:c r="A1235" s="7" t="str">
        <x:v>DP44-B</x:v>
      </x:c>
      <x:c r="B1235" s="7" t="str">
        <x:v>U22</x:v>
      </x:c>
      <x:c r="C1235" s="7" t="str">
        <x:v>final_result_audio</x:v>
      </x:c>
      <x:c r="D1235" s="7" t="str">
        <x:v>request</x:v>
      </x:c>
      <x:c r="E1235" s="7" t="str">
        <x:v>text_input</x:v>
      </x:c>
      <x:c r="F1235" s="16" t="n">
        <x:v>48</x:v>
      </x:c>
      <x:c r="G1235" s="18" t="n">
        <x:v>0.000001</x:v>
      </x:c>
      <x:c r="H1235" s="16" t="n">
        <x:f>F1235*G1235</x:f>
        <x:v>0.000048</x:v>
      </x:c>
    </x:row>
    <x:row r="1236" ht="34" customHeight="1">
      <x:c r="A1236" s="12" t="str">
        <x:v>DP44-B</x:v>
      </x:c>
      <x:c r="B1236" s="12" t="str">
        <x:v>U22</x:v>
      </x:c>
      <x:c r="C1236" s="12" t="str">
        <x:v>final_result_audio</x:v>
      </x:c>
      <x:c r="D1236" s="12" t="str">
        <x:v>request</x:v>
      </x:c>
      <x:c r="E1236" s="12" t="str">
        <x:v>audio_output</x:v>
      </x:c>
      <x:c r="F1236" s="15" t="n">
        <x:v>6</x:v>
      </x:c>
      <x:c r="G1236" s="17" t="n">
        <x:v>0.002</x:v>
      </x:c>
      <x:c r="H1236" s="15" t="n">
        <x:f>F1236*G1236</x:f>
        <x:v>0.012</x:v>
      </x:c>
    </x:row>
    <x:row r="1237" ht="34" customHeight="1">
      <x:c r="A1237" s="7" t="str">
        <x:v>DP44-B</x:v>
      </x:c>
      <x:c r="B1237" s="7" t="str">
        <x:v>U22</x:v>
      </x:c>
      <x:c r="C1237" s="7" t="str">
        <x:v>input_end</x:v>
      </x:c>
      <x:c r="D1237" s="7" t="str">
        <x:v>input</x:v>
      </x:c>
      <x:c r="E1237" s="7" t="str">
        <x:v>audio_input</x:v>
      </x:c>
      <x:c r="F1237" s="16" t="n">
        <x:v>3</x:v>
      </x:c>
      <x:c r="G1237" s="18" t="n">
        <x:v>0.001</x:v>
      </x:c>
      <x:c r="H1237" s="16" t="n">
        <x:f>F1237*G1237</x:f>
        <x:v>0.003</x:v>
      </x:c>
    </x:row>
    <x:row r="1238" ht="34" customHeight="1">
      <x:c r="A1238" s="12" t="str">
        <x:v>DP44-B</x:v>
      </x:c>
      <x:c r="B1238" s="12" t="str">
        <x:v>U23</x:v>
      </x:c>
      <x:c r="C1238" s="12" t="str">
        <x:v>meaning</x:v>
      </x:c>
      <x:c r="D1238" s="12" t="str">
        <x:v>request</x:v>
      </x:c>
      <x:c r="E1238" s="12" t="str">
        <x:v>text_input</x:v>
      </x:c>
      <x:c r="F1238" s="15" t="n">
        <x:v>3000</x:v>
      </x:c>
      <x:c r="G1238" s="17" t="n">
        <x:v>0.000001</x:v>
      </x:c>
      <x:c r="H1238" s="15" t="n">
        <x:f>F1238*G1238</x:f>
        <x:v>0.003</x:v>
      </x:c>
    </x:row>
    <x:row r="1239" ht="34" customHeight="1">
      <x:c r="A1239" s="7" t="str">
        <x:v>DP44-B</x:v>
      </x:c>
      <x:c r="B1239" s="7" t="str">
        <x:v>U23</x:v>
      </x:c>
      <x:c r="C1239" s="7" t="str">
        <x:v>meaning</x:v>
      </x:c>
      <x:c r="D1239" s="7" t="str">
        <x:v>request</x:v>
      </x:c>
      <x:c r="E1239" s="7" t="str">
        <x:v>text_output</x:v>
      </x:c>
      <x:c r="F1239" s="16" t="n">
        <x:v>64</x:v>
      </x:c>
      <x:c r="G1239" s="18" t="n">
        <x:v>0.000004</x:v>
      </x:c>
      <x:c r="H1239" s="16" t="n">
        <x:f>F1239*G1239</x:f>
        <x:v>0.000256</x:v>
      </x:c>
    </x:row>
    <x:row r="1240" ht="34" customHeight="1">
      <x:c r="A1240" s="12" t="str">
        <x:v>DP44-B</x:v>
      </x:c>
      <x:c r="B1240" s="12" t="str">
        <x:v>U23</x:v>
      </x:c>
      <x:c r="C1240" s="12" t="str">
        <x:v>question_audio</x:v>
      </x:c>
      <x:c r="D1240" s="12" t="str">
        <x:v>request</x:v>
      </x:c>
      <x:c r="E1240" s="12" t="str">
        <x:v>text_input</x:v>
      </x:c>
      <x:c r="F1240" s="15" t="n">
        <x:v>48</x:v>
      </x:c>
      <x:c r="G1240" s="17" t="n">
        <x:v>0.000001</x:v>
      </x:c>
      <x:c r="H1240" s="15" t="n">
        <x:f>F1240*G1240</x:f>
        <x:v>0.000048</x:v>
      </x:c>
    </x:row>
    <x:row r="1241" ht="34" customHeight="1">
      <x:c r="A1241" s="7" t="str">
        <x:v>DP44-B</x:v>
      </x:c>
      <x:c r="B1241" s="7" t="str">
        <x:v>U23</x:v>
      </x:c>
      <x:c r="C1241" s="7" t="str">
        <x:v>question_audio</x:v>
      </x:c>
      <x:c r="D1241" s="7" t="str">
        <x:v>request</x:v>
      </x:c>
      <x:c r="E1241" s="7" t="str">
        <x:v>audio_output</x:v>
      </x:c>
      <x:c r="F1241" s="16" t="n">
        <x:v>6</x:v>
      </x:c>
      <x:c r="G1241" s="18" t="n">
        <x:v>0.002</x:v>
      </x:c>
      <x:c r="H1241" s="16" t="n">
        <x:f>F1241*G1241</x:f>
        <x:v>0.012</x:v>
      </x:c>
    </x:row>
    <x:row r="1242" ht="34" customHeight="1">
      <x:c r="A1242" s="12" t="str">
        <x:v>DP44-B</x:v>
      </x:c>
      <x:c r="B1242" s="12" t="str">
        <x:v>U23</x:v>
      </x:c>
      <x:c r="C1242" s="12" t="str">
        <x:v>final_result_audio</x:v>
      </x:c>
      <x:c r="D1242" s="12" t="str">
        <x:v>request</x:v>
      </x:c>
      <x:c r="E1242" s="12" t="str">
        <x:v>text_input</x:v>
      </x:c>
      <x:c r="F1242" s="15" t="n">
        <x:v>48</x:v>
      </x:c>
      <x:c r="G1242" s="17" t="n">
        <x:v>0.000001</x:v>
      </x:c>
      <x:c r="H1242" s="15" t="n">
        <x:f>F1242*G1242</x:f>
        <x:v>0.000048</x:v>
      </x:c>
    </x:row>
    <x:row r="1243" ht="34" customHeight="1">
      <x:c r="A1243" s="7" t="str">
        <x:v>DP44-B</x:v>
      </x:c>
      <x:c r="B1243" s="7" t="str">
        <x:v>U23</x:v>
      </x:c>
      <x:c r="C1243" s="7" t="str">
        <x:v>final_result_audio</x:v>
      </x:c>
      <x:c r="D1243" s="7" t="str">
        <x:v>request</x:v>
      </x:c>
      <x:c r="E1243" s="7" t="str">
        <x:v>audio_output</x:v>
      </x:c>
      <x:c r="F1243" s="16" t="n">
        <x:v>6</x:v>
      </x:c>
      <x:c r="G1243" s="18" t="n">
        <x:v>0.002</x:v>
      </x:c>
      <x:c r="H1243" s="16" t="n">
        <x:f>F1243*G1243</x:f>
        <x:v>0.012</x:v>
      </x:c>
    </x:row>
    <x:row r="1244" ht="34" customHeight="1">
      <x:c r="A1244" s="12" t="str">
        <x:v>DP44-B</x:v>
      </x:c>
      <x:c r="B1244" s="12" t="str">
        <x:v>U24</x:v>
      </x:c>
      <x:c r="C1244" s="12" t="str">
        <x:v>bg1</x:v>
      </x:c>
      <x:c r="D1244" s="12" t="str">
        <x:v>background</x:v>
      </x:c>
      <x:c r="E1244" s="12" t="str">
        <x:v>text_input</x:v>
      </x:c>
      <x:c r="F1244" s="15" t="n">
        <x:v>1200</x:v>
      </x:c>
      <x:c r="G1244" s="17" t="n">
        <x:v>0.000001</x:v>
      </x:c>
      <x:c r="H1244" s="15" t="n">
        <x:f>F1244*G1244</x:f>
        <x:v>0.0012</x:v>
      </x:c>
    </x:row>
    <x:row r="1245" ht="34" customHeight="1">
      <x:c r="A1245" s="7" t="str">
        <x:v>DP44-B</x:v>
      </x:c>
      <x:c r="B1245" s="7" t="str">
        <x:v>U24</x:v>
      </x:c>
      <x:c r="C1245" s="7" t="str">
        <x:v>bg1</x:v>
      </x:c>
      <x:c r="D1245" s="7" t="str">
        <x:v>background</x:v>
      </x:c>
      <x:c r="E1245" s="7" t="str">
        <x:v>text_output</x:v>
      </x:c>
      <x:c r="F1245" s="16" t="n">
        <x:v>240</x:v>
      </x:c>
      <x:c r="G1245" s="18" t="n">
        <x:v>0.000004</x:v>
      </x:c>
      <x:c r="H1245" s="16" t="n">
        <x:f>F1245*G1245</x:f>
        <x:v>0.0009599999999999999</x:v>
      </x:c>
    </x:row>
    <x:row r="1246" ht="34" customHeight="1">
      <x:c r="A1246" s="12" t="str">
        <x:v>DP44-B</x:v>
      </x:c>
      <x:c r="B1246" s="12" t="str">
        <x:v>U24</x:v>
      </x:c>
      <x:c r="C1246" s="12" t="str">
        <x:v>meaning</x:v>
      </x:c>
      <x:c r="D1246" s="12" t="str">
        <x:v>request</x:v>
      </x:c>
      <x:c r="E1246" s="12" t="str">
        <x:v>text_input</x:v>
      </x:c>
      <x:c r="F1246" s="15" t="n">
        <x:v>6600</x:v>
      </x:c>
      <x:c r="G1246" s="17" t="n">
        <x:v>0.000001</x:v>
      </x:c>
      <x:c r="H1246" s="15" t="n">
        <x:f>F1246*G1246</x:f>
        <x:v>0.0066</x:v>
      </x:c>
    </x:row>
    <x:row r="1247" ht="34" customHeight="1">
      <x:c r="A1247" s="7" t="str">
        <x:v>DP44-B</x:v>
      </x:c>
      <x:c r="B1247" s="7" t="str">
        <x:v>U24</x:v>
      </x:c>
      <x:c r="C1247" s="7" t="str">
        <x:v>meaning</x:v>
      </x:c>
      <x:c r="D1247" s="7" t="str">
        <x:v>request</x:v>
      </x:c>
      <x:c r="E1247" s="7" t="str">
        <x:v>text_output</x:v>
      </x:c>
      <x:c r="F1247" s="16" t="n">
        <x:v>64</x:v>
      </x:c>
      <x:c r="G1247" s="18" t="n">
        <x:v>0.000004</x:v>
      </x:c>
      <x:c r="H1247" s="16" t="n">
        <x:f>F1247*G1247</x:f>
        <x:v>0.000256</x:v>
      </x:c>
    </x:row>
    <x:row r="1248" ht="34" customHeight="1">
      <x:c r="A1248" s="12" t="str">
        <x:v>DP44-B</x:v>
      </x:c>
      <x:c r="B1248" s="12" t="str">
        <x:v>U24</x:v>
      </x:c>
      <x:c r="C1248" s="12" t="str">
        <x:v>response_audio</x:v>
      </x:c>
      <x:c r="D1248" s="12" t="str">
        <x:v>request</x:v>
      </x:c>
      <x:c r="E1248" s="12" t="str">
        <x:v>text_input</x:v>
      </x:c>
      <x:c r="F1248" s="15" t="n">
        <x:v>48</x:v>
      </x:c>
      <x:c r="G1248" s="17" t="n">
        <x:v>0.000001</x:v>
      </x:c>
      <x:c r="H1248" s="15" t="n">
        <x:f>F1248*G1248</x:f>
        <x:v>0.000048</x:v>
      </x:c>
    </x:row>
    <x:row r="1249" ht="34" customHeight="1">
      <x:c r="A1249" s="7" t="str">
        <x:v>DP44-B</x:v>
      </x:c>
      <x:c r="B1249" s="7" t="str">
        <x:v>U24</x:v>
      </x:c>
      <x:c r="C1249" s="7" t="str">
        <x:v>response_audio</x:v>
      </x:c>
      <x:c r="D1249" s="7" t="str">
        <x:v>request</x:v>
      </x:c>
      <x:c r="E1249" s="7" t="str">
        <x:v>audio_output</x:v>
      </x:c>
      <x:c r="F1249" s="16" t="n">
        <x:v>6</x:v>
      </x:c>
      <x:c r="G1249" s="18" t="n">
        <x:v>0.002</x:v>
      </x:c>
      <x:c r="H1249" s="16" t="n">
        <x:f>F1249*G1249</x:f>
        <x:v>0.012</x:v>
      </x:c>
    </x:row>
    <x:row r="1250" ht="34" customHeight="1">
      <x:c r="A1250" s="12" t="str">
        <x:v>DP44-B</x:v>
      </x:c>
      <x:c r="B1250" s="12" t="str">
        <x:v>U24</x:v>
      </x:c>
      <x:c r="C1250" s="12" t="str">
        <x:v>intent_audio</x:v>
      </x:c>
      <x:c r="D1250" s="12" t="str">
        <x:v>request</x:v>
      </x:c>
      <x:c r="E1250" s="12" t="str">
        <x:v>text_input</x:v>
      </x:c>
      <x:c r="F1250" s="15" t="n">
        <x:v>24</x:v>
      </x:c>
      <x:c r="G1250" s="17" t="n">
        <x:v>0.000001</x:v>
      </x:c>
      <x:c r="H1250" s="15" t="n">
        <x:f>F1250*G1250</x:f>
        <x:v>0.000024</x:v>
      </x:c>
    </x:row>
    <x:row r="1251" ht="34" customHeight="1">
      <x:c r="A1251" s="7" t="str">
        <x:v>DP44-B</x:v>
      </x:c>
      <x:c r="B1251" s="7" t="str">
        <x:v>U24</x:v>
      </x:c>
      <x:c r="C1251" s="7" t="str">
        <x:v>intent_audio</x:v>
      </x:c>
      <x:c r="D1251" s="7" t="str">
        <x:v>request</x:v>
      </x:c>
      <x:c r="E1251" s="7" t="str">
        <x:v>audio_output</x:v>
      </x:c>
      <x:c r="F1251" s="16" t="n">
        <x:v>3</x:v>
      </x:c>
      <x:c r="G1251" s="18" t="n">
        <x:v>0.002</x:v>
      </x:c>
      <x:c r="H1251" s="16" t="n">
        <x:f>F1251*G1251</x:f>
        <x:v>0.006</x:v>
      </x:c>
    </x:row>
    <x:row r="1252" ht="34" customHeight="1">
      <x:c r="A1252" s="12" t="str">
        <x:v>DP44-B</x:v>
      </x:c>
      <x:c r="B1252" s="12" t="str">
        <x:v>U24</x:v>
      </x:c>
      <x:c r="C1252" s="12" t="str">
        <x:v>input_end</x:v>
      </x:c>
      <x:c r="D1252" s="12" t="str">
        <x:v>input</x:v>
      </x:c>
      <x:c r="E1252" s="12" t="str">
        <x:v>audio_input</x:v>
      </x:c>
      <x:c r="F1252" s="15" t="n">
        <x:v>3</x:v>
      </x:c>
      <x:c r="G1252" s="17" t="n">
        <x:v>0.001</x:v>
      </x:c>
      <x:c r="H1252" s="15" t="n">
        <x:f>F1252*G1252</x:f>
        <x:v>0.003</x:v>
      </x:c>
    </x:row>
  </x:sheetData>
  <x:mergeCells>
    <x:mergeCell ref="A1:H1"/>
    <x:mergeCell ref="A2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16" hidden="0" customWidth="1"/>
    <x:col min="4" max="4" width="50" hidden="0" customWidth="1"/>
    <x:col min="5" max="5" width="16" hidden="0" customWidth="1"/>
  </x:cols>
  <x:sheetData>
    <x:row r="1" ht="38" customHeight="1">
      <x:c r="A1" s="6" t="str">
        <x:v>각 사례의 동시 최대 메모리 상태</x:v>
      </x:c>
      <x:c r="B1" s="6"/>
      <x:c r="C1" s="6"/>
      <x:c r="D1" s="6"/>
      <x:c r="E1" s="6"/>
    </x:row>
    <x:row r="2" ht="23" customHeight="1">
      <x:c r="A2" s="8" t="str">
        <x:v>전체 구간을 다시 계산한 최대 상태의 소유 항목 합이다. 서로 다른 시각의 최대값을 더하지 않는다. interval과 audio ramp 원본은 ledger.json에 있다.</x:v>
      </x:c>
      <x:c r="B2" s="8"/>
      <x:c r="C2" s="8"/>
      <x:c r="D2" s="8"/>
      <x:c r="E2" s="8"/>
    </x:row>
    <x:row r="3" ht="23" customHeight="1">
      <x:c r="A3" s="8"/>
      <x:c r="B3" s="8"/>
      <x:c r="C3" s="8"/>
      <x:c r="D3" s="8"/>
      <x:c r="E3" s="8"/>
    </x:row>
    <x:row r="4">
      <x:c r="A4" s="3"/>
      <x:c r="B4" s="3"/>
      <x:c r="C4" s="3"/>
      <x:c r="D4" s="3"/>
      <x:c r="E4" s="3"/>
    </x:row>
    <x:row r="5" ht="38" customHeight="1">
      <x:c r="A5" s="11" t="str">
        <x:v>구성</x:v>
      </x:c>
      <x:c r="B5" s="11" t="str">
        <x:v>사례</x:v>
      </x:c>
      <x:c r="C5" s="11" t="str">
        <x:v>peak 시각 s</x:v>
      </x:c>
      <x:c r="D5" s="11" t="str">
        <x:v>중복 없는 소유 항목</x:v>
      </x:c>
      <x:c r="E5" s="11" t="str">
        <x:v>MB</x:v>
      </x:c>
    </x:row>
    <x:row r="6" ht="34" customHeight="1">
      <x:c r="A6" s="12" t="str">
        <x:v>BASE</x:v>
      </x:c>
      <x:c r="B6" s="12" t="str">
        <x:v>U01</x:v>
      </x:c>
      <x:c r="C6" s="13" t="n">
        <x:v>0.14</x:v>
      </x:c>
      <x:c r="D6" s="12" t="str">
        <x:v>core_ui_mb</x:v>
      </x:c>
      <x:c r="E6" s="13" t="n">
        <x:v>180</x:v>
      </x:c>
    </x:row>
    <x:row r="7" ht="34" customHeight="1">
      <x:c r="A7" s="7" t="str">
        <x:v>BASE</x:v>
      </x:c>
      <x:c r="B7" s="7" t="str">
        <x:v>U01</x:v>
      </x:c>
      <x:c r="C7" s="14" t="n">
        <x:v>0.14</x:v>
      </x:c>
      <x:c r="D7" s="7" t="str">
        <x:v>asr_audio_mb</x:v>
      </x:c>
      <x:c r="E7" s="14" t="n">
        <x:v>220</x:v>
      </x:c>
    </x:row>
    <x:row r="8" ht="34" customHeight="1">
      <x:c r="A8" s="12" t="str">
        <x:v>BASE</x:v>
      </x:c>
      <x:c r="B8" s="12" t="str">
        <x:v>U01</x:v>
      </x:c>
      <x:c r="C8" s="13" t="n">
        <x:v>0.14</x:v>
      </x:c>
      <x:c r="D8" s="12" t="str">
        <x:v>source_ring_mb</x:v>
      </x:c>
      <x:c r="E8" s="13" t="n">
        <x:v>96</x:v>
      </x:c>
    </x:row>
    <x:row r="9" ht="34" customHeight="1">
      <x:c r="A9" s="7" t="str">
        <x:v>BASE</x:v>
      </x:c>
      <x:c r="B9" s="7" t="str">
        <x:v>U01</x:v>
      </x:c>
      <x:c r="C9" s="14" t="n">
        <x:v>0.14</x:v>
      </x:c>
      <x:c r="D9" s="7" t="str">
        <x:v>common_history_mb</x:v>
      </x:c>
      <x:c r="E9" s="14" t="n">
        <x:v>64</x:v>
      </x:c>
    </x:row>
    <x:row r="10" ht="34" customHeight="1">
      <x:c r="A10" s="12" t="str">
        <x:v>BASE</x:v>
      </x:c>
      <x:c r="B10" s="12" t="str">
        <x:v>U01</x:v>
      </x:c>
      <x:c r="C10" s="13" t="n">
        <x:v>0.14</x:v>
      </x:c>
      <x:c r="D10" s="12" t="str">
        <x:v>request</x:v>
      </x:c>
      <x:c r="E10" s="13" t="n">
        <x:v>11</x:v>
      </x:c>
    </x:row>
    <x:row r="11" ht="34" customHeight="1">
      <x:c r="A11" s="7" t="str">
        <x:v>BASE</x:v>
      </x:c>
      <x:c r="B11" s="7" t="str">
        <x:v>U01</x:v>
      </x:c>
      <x:c r="C11" s="14" t="n">
        <x:v>0.14</x:v>
      </x:c>
      <x:c r="D11" s="7" t="str">
        <x:v>meaning:client</x:v>
      </x:c>
      <x:c r="E11" s="14" t="n">
        <x:v>17.4</x:v>
      </x:c>
    </x:row>
    <x:row r="12" ht="34" customHeight="1">
      <x:c r="A12" s="12" t="str">
        <x:v>BASE</x:v>
      </x:c>
      <x:c r="B12" s="12" t="str">
        <x:v>U01</x:v>
      </x:c>
      <x:c r="C12" s="13" t="n">
        <x:v>0.14</x:v>
      </x:c>
      <x:c r="D12" s="12" t="str">
        <x:v>valid_audio</x:v>
      </x:c>
      <x:c r="E12" s="13" t="n">
        <x:v>0</x:v>
      </x:c>
    </x:row>
    <x:row r="13" ht="34" customHeight="1">
      <x:c r="A13" s="7" t="str">
        <x:v>BASE</x:v>
      </x:c>
      <x:c r="B13" s="7" t="str">
        <x:v>U02</x:v>
      </x:c>
      <x:c r="C13" s="14" t="n">
        <x:v>0.38</x:v>
      </x:c>
      <x:c r="D13" s="7" t="str">
        <x:v>core_ui_mb</x:v>
      </x:c>
      <x:c r="E13" s="14" t="n">
        <x:v>180</x:v>
      </x:c>
    </x:row>
    <x:row r="14" ht="34" customHeight="1">
      <x:c r="A14" s="12" t="str">
        <x:v>BASE</x:v>
      </x:c>
      <x:c r="B14" s="12" t="str">
        <x:v>U02</x:v>
      </x:c>
      <x:c r="C14" s="13" t="n">
        <x:v>0.38</x:v>
      </x:c>
      <x:c r="D14" s="12" t="str">
        <x:v>asr_audio_mb</x:v>
      </x:c>
      <x:c r="E14" s="13" t="n">
        <x:v>220</x:v>
      </x:c>
    </x:row>
    <x:row r="15" ht="34" customHeight="1">
      <x:c r="A15" s="7" t="str">
        <x:v>BASE</x:v>
      </x:c>
      <x:c r="B15" s="7" t="str">
        <x:v>U02</x:v>
      </x:c>
      <x:c r="C15" s="14" t="n">
        <x:v>0.38</x:v>
      </x:c>
      <x:c r="D15" s="7" t="str">
        <x:v>source_ring_mb</x:v>
      </x:c>
      <x:c r="E15" s="14" t="n">
        <x:v>96</x:v>
      </x:c>
    </x:row>
    <x:row r="16" ht="34" customHeight="1">
      <x:c r="A16" s="12" t="str">
        <x:v>BASE</x:v>
      </x:c>
      <x:c r="B16" s="12" t="str">
        <x:v>U02</x:v>
      </x:c>
      <x:c r="C16" s="13" t="n">
        <x:v>0.38</x:v>
      </x:c>
      <x:c r="D16" s="12" t="str">
        <x:v>common_history_mb</x:v>
      </x:c>
      <x:c r="E16" s="13" t="n">
        <x:v>64</x:v>
      </x:c>
    </x:row>
    <x:row r="17" ht="34" customHeight="1">
      <x:c r="A17" s="7" t="str">
        <x:v>BASE</x:v>
      </x:c>
      <x:c r="B17" s="7" t="str">
        <x:v>U02</x:v>
      </x:c>
      <x:c r="C17" s="14" t="n">
        <x:v>0.38</x:v>
      </x:c>
      <x:c r="D17" s="7" t="str">
        <x:v>request</x:v>
      </x:c>
      <x:c r="E17" s="14" t="n">
        <x:v>11</x:v>
      </x:c>
    </x:row>
    <x:row r="18" ht="34" customHeight="1">
      <x:c r="A18" s="12" t="str">
        <x:v>BASE</x:v>
      </x:c>
      <x:c r="B18" s="12" t="str">
        <x:v>U02</x:v>
      </x:c>
      <x:c r="C18" s="13" t="n">
        <x:v>0.38</x:v>
      </x:c>
      <x:c r="D18" s="12" t="str">
        <x:v>meaning:client</x:v>
      </x:c>
      <x:c r="E18" s="13" t="n">
        <x:v>17.4</x:v>
      </x:c>
    </x:row>
    <x:row r="19" ht="34" customHeight="1">
      <x:c r="A19" s="7" t="str">
        <x:v>BASE</x:v>
      </x:c>
      <x:c r="B19" s="7" t="str">
        <x:v>U02</x:v>
      </x:c>
      <x:c r="C19" s="14" t="n">
        <x:v>0.38</x:v>
      </x:c>
      <x:c r="D19" s="7" t="str">
        <x:v>valid_audio</x:v>
      </x:c>
      <x:c r="E19" s="14" t="n">
        <x:v>0</x:v>
      </x:c>
    </x:row>
    <x:row r="20" ht="34" customHeight="1">
      <x:c r="A20" s="12" t="str">
        <x:v>BASE</x:v>
      </x:c>
      <x:c r="B20" s="12" t="str">
        <x:v>U03</x:v>
      </x:c>
      <x:c r="C20" s="13" t="n">
        <x:v>2.404</x:v>
      </x:c>
      <x:c r="D20" s="12" t="str">
        <x:v>core_ui_mb</x:v>
      </x:c>
      <x:c r="E20" s="13" t="n">
        <x:v>180</x:v>
      </x:c>
    </x:row>
    <x:row r="21" ht="34" customHeight="1">
      <x:c r="A21" s="7" t="str">
        <x:v>BASE</x:v>
      </x:c>
      <x:c r="B21" s="7" t="str">
        <x:v>U03</x:v>
      </x:c>
      <x:c r="C21" s="14" t="n">
        <x:v>2.404</x:v>
      </x:c>
      <x:c r="D21" s="7" t="str">
        <x:v>asr_audio_mb</x:v>
      </x:c>
      <x:c r="E21" s="14" t="n">
        <x:v>220</x:v>
      </x:c>
    </x:row>
    <x:row r="22" ht="34" customHeight="1">
      <x:c r="A22" s="12" t="str">
        <x:v>BASE</x:v>
      </x:c>
      <x:c r="B22" s="12" t="str">
        <x:v>U03</x:v>
      </x:c>
      <x:c r="C22" s="13" t="n">
        <x:v>2.404</x:v>
      </x:c>
      <x:c r="D22" s="12" t="str">
        <x:v>source_ring_mb</x:v>
      </x:c>
      <x:c r="E22" s="13" t="n">
        <x:v>96</x:v>
      </x:c>
    </x:row>
    <x:row r="23" ht="34" customHeight="1">
      <x:c r="A23" s="7" t="str">
        <x:v>BASE</x:v>
      </x:c>
      <x:c r="B23" s="7" t="str">
        <x:v>U03</x:v>
      </x:c>
      <x:c r="C23" s="14" t="n">
        <x:v>2.404</x:v>
      </x:c>
      <x:c r="D23" s="7" t="str">
        <x:v>common_history_mb</x:v>
      </x:c>
      <x:c r="E23" s="14" t="n">
        <x:v>64</x:v>
      </x:c>
    </x:row>
    <x:row r="24" ht="34" customHeight="1">
      <x:c r="A24" s="12" t="str">
        <x:v>BASE</x:v>
      </x:c>
      <x:c r="B24" s="12" t="str">
        <x:v>U03</x:v>
      </x:c>
      <x:c r="C24" s="13" t="n">
        <x:v>2.404</x:v>
      </x:c>
      <x:c r="D24" s="12" t="str">
        <x:v>request</x:v>
      </x:c>
      <x:c r="E24" s="13" t="n">
        <x:v>11</x:v>
      </x:c>
    </x:row>
    <x:row r="25" ht="34" customHeight="1">
      <x:c r="A25" s="7" t="str">
        <x:v>BASE</x:v>
      </x:c>
      <x:c r="B25" s="7" t="str">
        <x:v>U03</x:v>
      </x:c>
      <x:c r="C25" s="14" t="n">
        <x:v>2.404</x:v>
      </x:c>
      <x:c r="D25" s="7" t="str">
        <x:v>long_work:client</x:v>
      </x:c>
      <x:c r="E25" s="14" t="n">
        <x:v>19.8</x:v>
      </x:c>
    </x:row>
    <x:row r="26" ht="34" customHeight="1">
      <x:c r="A26" s="12" t="str">
        <x:v>BASE</x:v>
      </x:c>
      <x:c r="B26" s="12" t="str">
        <x:v>U03</x:v>
      </x:c>
      <x:c r="C26" s="13" t="n">
        <x:v>2.404</x:v>
      </x:c>
      <x:c r="D26" s="12" t="str">
        <x:v>valid_audio</x:v>
      </x:c>
      <x:c r="E26" s="13" t="n">
        <x:v>0.14399999999999993</x:v>
      </x:c>
    </x:row>
    <x:row r="27" ht="34" customHeight="1">
      <x:c r="A27" s="7" t="str">
        <x:v>BASE</x:v>
      </x:c>
      <x:c r="B27" s="7" t="str">
        <x:v>U04</x:v>
      </x:c>
      <x:c r="C27" s="14" t="n">
        <x:v>0.38</x:v>
      </x:c>
      <x:c r="D27" s="7" t="str">
        <x:v>core_ui_mb</x:v>
      </x:c>
      <x:c r="E27" s="14" t="n">
        <x:v>180</x:v>
      </x:c>
    </x:row>
    <x:row r="28" ht="34" customHeight="1">
      <x:c r="A28" s="12" t="str">
        <x:v>BASE</x:v>
      </x:c>
      <x:c r="B28" s="12" t="str">
        <x:v>U04</x:v>
      </x:c>
      <x:c r="C28" s="13" t="n">
        <x:v>0.38</x:v>
      </x:c>
      <x:c r="D28" s="12" t="str">
        <x:v>asr_audio_mb</x:v>
      </x:c>
      <x:c r="E28" s="13" t="n">
        <x:v>220</x:v>
      </x:c>
    </x:row>
    <x:row r="29" ht="34" customHeight="1">
      <x:c r="A29" s="7" t="str">
        <x:v>BASE</x:v>
      </x:c>
      <x:c r="B29" s="7" t="str">
        <x:v>U04</x:v>
      </x:c>
      <x:c r="C29" s="14" t="n">
        <x:v>0.38</x:v>
      </x:c>
      <x:c r="D29" s="7" t="str">
        <x:v>source_ring_mb</x:v>
      </x:c>
      <x:c r="E29" s="14" t="n">
        <x:v>96</x:v>
      </x:c>
    </x:row>
    <x:row r="30" ht="34" customHeight="1">
      <x:c r="A30" s="12" t="str">
        <x:v>BASE</x:v>
      </x:c>
      <x:c r="B30" s="12" t="str">
        <x:v>U04</x:v>
      </x:c>
      <x:c r="C30" s="13" t="n">
        <x:v>0.38</x:v>
      </x:c>
      <x:c r="D30" s="12" t="str">
        <x:v>common_history_mb</x:v>
      </x:c>
      <x:c r="E30" s="13" t="n">
        <x:v>64</x:v>
      </x:c>
    </x:row>
    <x:row r="31" ht="34" customHeight="1">
      <x:c r="A31" s="7" t="str">
        <x:v>BASE</x:v>
      </x:c>
      <x:c r="B31" s="7" t="str">
        <x:v>U04</x:v>
      </x:c>
      <x:c r="C31" s="14" t="n">
        <x:v>0.38</x:v>
      </x:c>
      <x:c r="D31" s="7" t="str">
        <x:v>request</x:v>
      </x:c>
      <x:c r="E31" s="14" t="n">
        <x:v>11</x:v>
      </x:c>
    </x:row>
    <x:row r="32" ht="34" customHeight="1">
      <x:c r="A32" s="12" t="str">
        <x:v>BASE</x:v>
      </x:c>
      <x:c r="B32" s="12" t="str">
        <x:v>U04</x:v>
      </x:c>
      <x:c r="C32" s="13" t="n">
        <x:v>0.38</x:v>
      </x:c>
      <x:c r="D32" s="12" t="str">
        <x:v>meaning:client</x:v>
      </x:c>
      <x:c r="E32" s="13" t="n">
        <x:v>17.4</x:v>
      </x:c>
    </x:row>
    <x:row r="33" ht="34" customHeight="1">
      <x:c r="A33" s="7" t="str">
        <x:v>BASE</x:v>
      </x:c>
      <x:c r="B33" s="7" t="str">
        <x:v>U04</x:v>
      </x:c>
      <x:c r="C33" s="14" t="n">
        <x:v>0.38</x:v>
      </x:c>
      <x:c r="D33" s="7" t="str">
        <x:v>valid_audio</x:v>
      </x:c>
      <x:c r="E33" s="14" t="n">
        <x:v>0</x:v>
      </x:c>
    </x:row>
    <x:row r="34" ht="34" customHeight="1">
      <x:c r="A34" s="12" t="str">
        <x:v>BASE</x:v>
      </x:c>
      <x:c r="B34" s="12" t="str">
        <x:v>U05</x:v>
      </x:c>
      <x:c r="C34" s="13" t="n">
        <x:v>0</x:v>
      </x:c>
      <x:c r="D34" s="12" t="str">
        <x:v>core_ui_mb</x:v>
      </x:c>
      <x:c r="E34" s="13" t="n">
        <x:v>180</x:v>
      </x:c>
    </x:row>
    <x:row r="35" ht="34" customHeight="1">
      <x:c r="A35" s="7" t="str">
        <x:v>BASE</x:v>
      </x:c>
      <x:c r="B35" s="7" t="str">
        <x:v>U05</x:v>
      </x:c>
      <x:c r="C35" s="14" t="n">
        <x:v>0</x:v>
      </x:c>
      <x:c r="D35" s="7" t="str">
        <x:v>asr_audio_mb</x:v>
      </x:c>
      <x:c r="E35" s="14" t="n">
        <x:v>220</x:v>
      </x:c>
    </x:row>
    <x:row r="36" ht="34" customHeight="1">
      <x:c r="A36" s="12" t="str">
        <x:v>BASE</x:v>
      </x:c>
      <x:c r="B36" s="12" t="str">
        <x:v>U05</x:v>
      </x:c>
      <x:c r="C36" s="13" t="n">
        <x:v>0</x:v>
      </x:c>
      <x:c r="D36" s="12" t="str">
        <x:v>source_ring_mb</x:v>
      </x:c>
      <x:c r="E36" s="13" t="n">
        <x:v>96</x:v>
      </x:c>
    </x:row>
    <x:row r="37" ht="34" customHeight="1">
      <x:c r="A37" s="7" t="str">
        <x:v>BASE</x:v>
      </x:c>
      <x:c r="B37" s="7" t="str">
        <x:v>U05</x:v>
      </x:c>
      <x:c r="C37" s="14" t="n">
        <x:v>0</x:v>
      </x:c>
      <x:c r="D37" s="7" t="str">
        <x:v>common_history_mb</x:v>
      </x:c>
      <x:c r="E37" s="14" t="n">
        <x:v>64</x:v>
      </x:c>
    </x:row>
    <x:row r="38" ht="34" customHeight="1">
      <x:c r="A38" s="12" t="str">
        <x:v>BASE</x:v>
      </x:c>
      <x:c r="B38" s="12" t="str">
        <x:v>U05</x:v>
      </x:c>
      <x:c r="C38" s="13" t="n">
        <x:v>0</x:v>
      </x:c>
      <x:c r="D38" s="12" t="str">
        <x:v>request</x:v>
      </x:c>
      <x:c r="E38" s="13" t="n">
        <x:v>11</x:v>
      </x:c>
    </x:row>
    <x:row r="39" ht="34" customHeight="1">
      <x:c r="A39" s="7" t="str">
        <x:v>BASE</x:v>
      </x:c>
      <x:c r="B39" s="7" t="str">
        <x:v>U05</x:v>
      </x:c>
      <x:c r="C39" s="14" t="n">
        <x:v>0</x:v>
      </x:c>
      <x:c r="D39" s="7" t="str">
        <x:v>bg1:client</x:v>
      </x:c>
      <x:c r="E39" s="14" t="n">
        <x:v>19.8</x:v>
      </x:c>
    </x:row>
    <x:row r="40" ht="34" customHeight="1">
      <x:c r="A40" s="12" t="str">
        <x:v>BASE</x:v>
      </x:c>
      <x:c r="B40" s="12" t="str">
        <x:v>U05</x:v>
      </x:c>
      <x:c r="C40" s="13" t="n">
        <x:v>0</x:v>
      </x:c>
      <x:c r="D40" s="12" t="str">
        <x:v>valid_audio</x:v>
      </x:c>
      <x:c r="E40" s="13" t="n">
        <x:v>0</x:v>
      </x:c>
    </x:row>
    <x:row r="41" ht="34" customHeight="1">
      <x:c r="A41" s="7" t="str">
        <x:v>BASE</x:v>
      </x:c>
      <x:c r="B41" s="7" t="str">
        <x:v>U06</x:v>
      </x:c>
      <x:c r="C41" s="14" t="n">
        <x:v>4.664</x:v>
      </x:c>
      <x:c r="D41" s="7" t="str">
        <x:v>core_ui_mb</x:v>
      </x:c>
      <x:c r="E41" s="14" t="n">
        <x:v>180</x:v>
      </x:c>
    </x:row>
    <x:row r="42" ht="34" customHeight="1">
      <x:c r="A42" s="12" t="str">
        <x:v>BASE</x:v>
      </x:c>
      <x:c r="B42" s="12" t="str">
        <x:v>U06</x:v>
      </x:c>
      <x:c r="C42" s="13" t="n">
        <x:v>4.664</x:v>
      </x:c>
      <x:c r="D42" s="12" t="str">
        <x:v>asr_audio_mb</x:v>
      </x:c>
      <x:c r="E42" s="13" t="n">
        <x:v>220</x:v>
      </x:c>
    </x:row>
    <x:row r="43" ht="34" customHeight="1">
      <x:c r="A43" s="7" t="str">
        <x:v>BASE</x:v>
      </x:c>
      <x:c r="B43" s="7" t="str">
        <x:v>U06</x:v>
      </x:c>
      <x:c r="C43" s="14" t="n">
        <x:v>4.664</x:v>
      </x:c>
      <x:c r="D43" s="7" t="str">
        <x:v>source_ring_mb</x:v>
      </x:c>
      <x:c r="E43" s="14" t="n">
        <x:v>96</x:v>
      </x:c>
    </x:row>
    <x:row r="44" ht="34" customHeight="1">
      <x:c r="A44" s="12" t="str">
        <x:v>BASE</x:v>
      </x:c>
      <x:c r="B44" s="12" t="str">
        <x:v>U06</x:v>
      </x:c>
      <x:c r="C44" s="13" t="n">
        <x:v>4.664</x:v>
      </x:c>
      <x:c r="D44" s="12" t="str">
        <x:v>common_history_mb</x:v>
      </x:c>
      <x:c r="E44" s="13" t="n">
        <x:v>64</x:v>
      </x:c>
    </x:row>
    <x:row r="45" ht="34" customHeight="1">
      <x:c r="A45" s="7" t="str">
        <x:v>BASE</x:v>
      </x:c>
      <x:c r="B45" s="7" t="str">
        <x:v>U06</x:v>
      </x:c>
      <x:c r="C45" s="14" t="n">
        <x:v>4.664</x:v>
      </x:c>
      <x:c r="D45" s="7" t="str">
        <x:v>request</x:v>
      </x:c>
      <x:c r="E45" s="14" t="n">
        <x:v>11</x:v>
      </x:c>
    </x:row>
    <x:row r="46" ht="34" customHeight="1">
      <x:c r="A46" s="12" t="str">
        <x:v>BASE</x:v>
      </x:c>
      <x:c r="B46" s="12" t="str">
        <x:v>U06</x:v>
      </x:c>
      <x:c r="C46" s="13" t="n">
        <x:v>4.664</x:v>
      </x:c>
      <x:c r="D46" s="12" t="str">
        <x:v>long_work:client</x:v>
      </x:c>
      <x:c r="E46" s="13" t="n">
        <x:v>19.8</x:v>
      </x:c>
    </x:row>
    <x:row r="47" ht="34" customHeight="1">
      <x:c r="A47" s="7" t="str">
        <x:v>BASE</x:v>
      </x:c>
      <x:c r="B47" s="7" t="str">
        <x:v>U06</x:v>
      </x:c>
      <x:c r="C47" s="14" t="n">
        <x:v>4.664</x:v>
      </x:c>
      <x:c r="D47" s="7" t="str">
        <x:v>valid_audio</x:v>
      </x:c>
      <x:c r="E47" s="14" t="n">
        <x:v>0.144</x:v>
      </x:c>
    </x:row>
    <x:row r="48" ht="34" customHeight="1">
      <x:c r="A48" s="12" t="str">
        <x:v>BASE</x:v>
      </x:c>
      <x:c r="B48" s="12" t="str">
        <x:v>U07</x:v>
      </x:c>
      <x:c r="C48" s="13" t="n">
        <x:v>0</x:v>
      </x:c>
      <x:c r="D48" s="12" t="str">
        <x:v>core_ui_mb</x:v>
      </x:c>
      <x:c r="E48" s="13" t="n">
        <x:v>180</x:v>
      </x:c>
    </x:row>
    <x:row r="49" ht="34" customHeight="1">
      <x:c r="A49" s="7" t="str">
        <x:v>BASE</x:v>
      </x:c>
      <x:c r="B49" s="7" t="str">
        <x:v>U07</x:v>
      </x:c>
      <x:c r="C49" s="14" t="n">
        <x:v>0</x:v>
      </x:c>
      <x:c r="D49" s="7" t="str">
        <x:v>asr_audio_mb</x:v>
      </x:c>
      <x:c r="E49" s="14" t="n">
        <x:v>220</x:v>
      </x:c>
    </x:row>
    <x:row r="50" ht="34" customHeight="1">
      <x:c r="A50" s="12" t="str">
        <x:v>BASE</x:v>
      </x:c>
      <x:c r="B50" s="12" t="str">
        <x:v>U07</x:v>
      </x:c>
      <x:c r="C50" s="13" t="n">
        <x:v>0</x:v>
      </x:c>
      <x:c r="D50" s="12" t="str">
        <x:v>source_ring_mb</x:v>
      </x:c>
      <x:c r="E50" s="13" t="n">
        <x:v>96</x:v>
      </x:c>
    </x:row>
    <x:row r="51" ht="34" customHeight="1">
      <x:c r="A51" s="7" t="str">
        <x:v>BASE</x:v>
      </x:c>
      <x:c r="B51" s="7" t="str">
        <x:v>U07</x:v>
      </x:c>
      <x:c r="C51" s="14" t="n">
        <x:v>0</x:v>
      </x:c>
      <x:c r="D51" s="7" t="str">
        <x:v>common_history_mb</x:v>
      </x:c>
      <x:c r="E51" s="14" t="n">
        <x:v>64</x:v>
      </x:c>
    </x:row>
    <x:row r="52" ht="34" customHeight="1">
      <x:c r="A52" s="12" t="str">
        <x:v>BASE</x:v>
      </x:c>
      <x:c r="B52" s="12" t="str">
        <x:v>U07</x:v>
      </x:c>
      <x:c r="C52" s="13" t="n">
        <x:v>0</x:v>
      </x:c>
      <x:c r="D52" s="12" t="str">
        <x:v>request</x:v>
      </x:c>
      <x:c r="E52" s="13" t="n">
        <x:v>11</x:v>
      </x:c>
    </x:row>
    <x:row r="53" ht="34" customHeight="1">
      <x:c r="A53" s="7" t="str">
        <x:v>BASE</x:v>
      </x:c>
      <x:c r="B53" s="7" t="str">
        <x:v>U07</x:v>
      </x:c>
      <x:c r="C53" s="14" t="n">
        <x:v>0</x:v>
      </x:c>
      <x:c r="D53" s="7" t="str">
        <x:v>bg1:client</x:v>
      </x:c>
      <x:c r="E53" s="14" t="n">
        <x:v>19.8</x:v>
      </x:c>
    </x:row>
    <x:row r="54" ht="34" customHeight="1">
      <x:c r="A54" s="12" t="str">
        <x:v>BASE</x:v>
      </x:c>
      <x:c r="B54" s="12" t="str">
        <x:v>U07</x:v>
      </x:c>
      <x:c r="C54" s="13" t="n">
        <x:v>0</x:v>
      </x:c>
      <x:c r="D54" s="12" t="str">
        <x:v>bg2:client</x:v>
      </x:c>
      <x:c r="E54" s="13" t="n">
        <x:v>19.8</x:v>
      </x:c>
    </x:row>
    <x:row r="55" ht="34" customHeight="1">
      <x:c r="A55" s="7" t="str">
        <x:v>BASE</x:v>
      </x:c>
      <x:c r="B55" s="7" t="str">
        <x:v>U07</x:v>
      </x:c>
      <x:c r="C55" s="14" t="n">
        <x:v>0</x:v>
      </x:c>
      <x:c r="D55" s="7" t="str">
        <x:v>valid_audio</x:v>
      </x:c>
      <x:c r="E55" s="14" t="n">
        <x:v>0</x:v>
      </x:c>
    </x:row>
    <x:row r="56" ht="34" customHeight="1">
      <x:c r="A56" s="12" t="str">
        <x:v>BASE</x:v>
      </x:c>
      <x:c r="B56" s="12" t="str">
        <x:v>U08</x:v>
      </x:c>
      <x:c r="C56" s="13" t="n">
        <x:v>4.664</x:v>
      </x:c>
      <x:c r="D56" s="12" t="str">
        <x:v>core_ui_mb</x:v>
      </x:c>
      <x:c r="E56" s="13" t="n">
        <x:v>180</x:v>
      </x:c>
    </x:row>
    <x:row r="57" ht="34" customHeight="1">
      <x:c r="A57" s="7" t="str">
        <x:v>BASE</x:v>
      </x:c>
      <x:c r="B57" s="7" t="str">
        <x:v>U08</x:v>
      </x:c>
      <x:c r="C57" s="14" t="n">
        <x:v>4.664</x:v>
      </x:c>
      <x:c r="D57" s="7" t="str">
        <x:v>asr_audio_mb</x:v>
      </x:c>
      <x:c r="E57" s="14" t="n">
        <x:v>220</x:v>
      </x:c>
    </x:row>
    <x:row r="58" ht="34" customHeight="1">
      <x:c r="A58" s="12" t="str">
        <x:v>BASE</x:v>
      </x:c>
      <x:c r="B58" s="12" t="str">
        <x:v>U08</x:v>
      </x:c>
      <x:c r="C58" s="13" t="n">
        <x:v>4.664</x:v>
      </x:c>
      <x:c r="D58" s="12" t="str">
        <x:v>source_ring_mb</x:v>
      </x:c>
      <x:c r="E58" s="13" t="n">
        <x:v>96</x:v>
      </x:c>
    </x:row>
    <x:row r="59" ht="34" customHeight="1">
      <x:c r="A59" s="7" t="str">
        <x:v>BASE</x:v>
      </x:c>
      <x:c r="B59" s="7" t="str">
        <x:v>U08</x:v>
      </x:c>
      <x:c r="C59" s="14" t="n">
        <x:v>4.664</x:v>
      </x:c>
      <x:c r="D59" s="7" t="str">
        <x:v>common_history_mb</x:v>
      </x:c>
      <x:c r="E59" s="14" t="n">
        <x:v>64</x:v>
      </x:c>
    </x:row>
    <x:row r="60" ht="34" customHeight="1">
      <x:c r="A60" s="12" t="str">
        <x:v>BASE</x:v>
      </x:c>
      <x:c r="B60" s="12" t="str">
        <x:v>U08</x:v>
      </x:c>
      <x:c r="C60" s="13" t="n">
        <x:v>4.664</x:v>
      </x:c>
      <x:c r="D60" s="12" t="str">
        <x:v>request</x:v>
      </x:c>
      <x:c r="E60" s="13" t="n">
        <x:v>11</x:v>
      </x:c>
    </x:row>
    <x:row r="61" ht="34" customHeight="1">
      <x:c r="A61" s="7" t="str">
        <x:v>BASE</x:v>
      </x:c>
      <x:c r="B61" s="7" t="str">
        <x:v>U08</x:v>
      </x:c>
      <x:c r="C61" s="14" t="n">
        <x:v>4.664</x:v>
      </x:c>
      <x:c r="D61" s="7" t="str">
        <x:v>long_work:client</x:v>
      </x:c>
      <x:c r="E61" s="14" t="n">
        <x:v>19.8</x:v>
      </x:c>
    </x:row>
    <x:row r="62" ht="34" customHeight="1">
      <x:c r="A62" s="12" t="str">
        <x:v>BASE</x:v>
      </x:c>
      <x:c r="B62" s="12" t="str">
        <x:v>U08</x:v>
      </x:c>
      <x:c r="C62" s="13" t="n">
        <x:v>4.664</x:v>
      </x:c>
      <x:c r="D62" s="12" t="str">
        <x:v>valid_audio</x:v>
      </x:c>
      <x:c r="E62" s="13" t="n">
        <x:v>0.144</x:v>
      </x:c>
    </x:row>
    <x:row r="63" ht="34" customHeight="1">
      <x:c r="A63" s="7" t="str">
        <x:v>BASE</x:v>
      </x:c>
      <x:c r="B63" s="7" t="str">
        <x:v>U09</x:v>
      </x:c>
      <x:c r="C63" s="14" t="n">
        <x:v>0.46</x:v>
      </x:c>
      <x:c r="D63" s="7" t="str">
        <x:v>core_ui_mb</x:v>
      </x:c>
      <x:c r="E63" s="14" t="n">
        <x:v>180</x:v>
      </x:c>
    </x:row>
    <x:row r="64" ht="34" customHeight="1">
      <x:c r="A64" s="12" t="str">
        <x:v>BASE</x:v>
      </x:c>
      <x:c r="B64" s="12" t="str">
        <x:v>U09</x:v>
      </x:c>
      <x:c r="C64" s="13" t="n">
        <x:v>0.46</x:v>
      </x:c>
      <x:c r="D64" s="12" t="str">
        <x:v>asr_audio_mb</x:v>
      </x:c>
      <x:c r="E64" s="13" t="n">
        <x:v>220</x:v>
      </x:c>
    </x:row>
    <x:row r="65" ht="34" customHeight="1">
      <x:c r="A65" s="7" t="str">
        <x:v>BASE</x:v>
      </x:c>
      <x:c r="B65" s="7" t="str">
        <x:v>U09</x:v>
      </x:c>
      <x:c r="C65" s="14" t="n">
        <x:v>0.46</x:v>
      </x:c>
      <x:c r="D65" s="7" t="str">
        <x:v>source_ring_mb</x:v>
      </x:c>
      <x:c r="E65" s="14" t="n">
        <x:v>96</x:v>
      </x:c>
    </x:row>
    <x:row r="66" ht="34" customHeight="1">
      <x:c r="A66" s="12" t="str">
        <x:v>BASE</x:v>
      </x:c>
      <x:c r="B66" s="12" t="str">
        <x:v>U09</x:v>
      </x:c>
      <x:c r="C66" s="13" t="n">
        <x:v>0.46</x:v>
      </x:c>
      <x:c r="D66" s="12" t="str">
        <x:v>common_history_mb</x:v>
      </x:c>
      <x:c r="E66" s="13" t="n">
        <x:v>64</x:v>
      </x:c>
    </x:row>
    <x:row r="67" ht="34" customHeight="1">
      <x:c r="A67" s="7" t="str">
        <x:v>BASE</x:v>
      </x:c>
      <x:c r="B67" s="7" t="str">
        <x:v>U09</x:v>
      </x:c>
      <x:c r="C67" s="14" t="n">
        <x:v>0.46</x:v>
      </x:c>
      <x:c r="D67" s="7" t="str">
        <x:v>request</x:v>
      </x:c>
      <x:c r="E67" s="14" t="n">
        <x:v>11</x:v>
      </x:c>
    </x:row>
    <x:row r="68" ht="34" customHeight="1">
      <x:c r="A68" s="12" t="str">
        <x:v>BASE</x:v>
      </x:c>
      <x:c r="B68" s="12" t="str">
        <x:v>U09</x:v>
      </x:c>
      <x:c r="C68" s="13" t="n">
        <x:v>0.46</x:v>
      </x:c>
      <x:c r="D68" s="12" t="str">
        <x:v>meaning:client</x:v>
      </x:c>
      <x:c r="E68" s="13" t="n">
        <x:v>17.4</x:v>
      </x:c>
    </x:row>
    <x:row r="69" ht="34" customHeight="1">
      <x:c r="A69" s="7" t="str">
        <x:v>BASE</x:v>
      </x:c>
      <x:c r="B69" s="7" t="str">
        <x:v>U09</x:v>
      </x:c>
      <x:c r="C69" s="14" t="n">
        <x:v>0.46</x:v>
      </x:c>
      <x:c r="D69" s="7" t="str">
        <x:v>valid_audio</x:v>
      </x:c>
      <x:c r="E69" s="14" t="n">
        <x:v>0</x:v>
      </x:c>
    </x:row>
    <x:row r="70" ht="34" customHeight="1">
      <x:c r="A70" s="12" t="str">
        <x:v>BASE</x:v>
      </x:c>
      <x:c r="B70" s="12" t="str">
        <x:v>U10</x:v>
      </x:c>
      <x:c r="C70" s="13" t="n">
        <x:v>0.38</x:v>
      </x:c>
      <x:c r="D70" s="12" t="str">
        <x:v>core_ui_mb</x:v>
      </x:c>
      <x:c r="E70" s="13" t="n">
        <x:v>180</x:v>
      </x:c>
    </x:row>
    <x:row r="71" ht="34" customHeight="1">
      <x:c r="A71" s="7" t="str">
        <x:v>BASE</x:v>
      </x:c>
      <x:c r="B71" s="7" t="str">
        <x:v>U10</x:v>
      </x:c>
      <x:c r="C71" s="14" t="n">
        <x:v>0.38</x:v>
      </x:c>
      <x:c r="D71" s="7" t="str">
        <x:v>asr_audio_mb</x:v>
      </x:c>
      <x:c r="E71" s="14" t="n">
        <x:v>220</x:v>
      </x:c>
    </x:row>
    <x:row r="72" ht="34" customHeight="1">
      <x:c r="A72" s="12" t="str">
        <x:v>BASE</x:v>
      </x:c>
      <x:c r="B72" s="12" t="str">
        <x:v>U10</x:v>
      </x:c>
      <x:c r="C72" s="13" t="n">
        <x:v>0.38</x:v>
      </x:c>
      <x:c r="D72" s="12" t="str">
        <x:v>source_ring_mb</x:v>
      </x:c>
      <x:c r="E72" s="13" t="n">
        <x:v>96</x:v>
      </x:c>
    </x:row>
    <x:row r="73" ht="34" customHeight="1">
      <x:c r="A73" s="7" t="str">
        <x:v>BASE</x:v>
      </x:c>
      <x:c r="B73" s="7" t="str">
        <x:v>U10</x:v>
      </x:c>
      <x:c r="C73" s="14" t="n">
        <x:v>0.38</x:v>
      </x:c>
      <x:c r="D73" s="7" t="str">
        <x:v>common_history_mb</x:v>
      </x:c>
      <x:c r="E73" s="14" t="n">
        <x:v>64</x:v>
      </x:c>
    </x:row>
    <x:row r="74" ht="34" customHeight="1">
      <x:c r="A74" s="12" t="str">
        <x:v>BASE</x:v>
      </x:c>
      <x:c r="B74" s="12" t="str">
        <x:v>U10</x:v>
      </x:c>
      <x:c r="C74" s="13" t="n">
        <x:v>0.38</x:v>
      </x:c>
      <x:c r="D74" s="12" t="str">
        <x:v>request</x:v>
      </x:c>
      <x:c r="E74" s="13" t="n">
        <x:v>11</x:v>
      </x:c>
    </x:row>
    <x:row r="75" ht="34" customHeight="1">
      <x:c r="A75" s="7" t="str">
        <x:v>BASE</x:v>
      </x:c>
      <x:c r="B75" s="7" t="str">
        <x:v>U10</x:v>
      </x:c>
      <x:c r="C75" s="14" t="n">
        <x:v>0.38</x:v>
      </x:c>
      <x:c r="D75" s="7" t="str">
        <x:v>meaning:client</x:v>
      </x:c>
      <x:c r="E75" s="14" t="n">
        <x:v>24.6</x:v>
      </x:c>
    </x:row>
    <x:row r="76" ht="34" customHeight="1">
      <x:c r="A76" s="12" t="str">
        <x:v>BASE</x:v>
      </x:c>
      <x:c r="B76" s="12" t="str">
        <x:v>U10</x:v>
      </x:c>
      <x:c r="C76" s="13" t="n">
        <x:v>0.38</x:v>
      </x:c>
      <x:c r="D76" s="12" t="str">
        <x:v>cloud_image_buffer</x:v>
      </x:c>
      <x:c r="E76" s="13" t="n">
        <x:v>32</x:v>
      </x:c>
    </x:row>
    <x:row r="77" ht="34" customHeight="1">
      <x:c r="A77" s="7" t="str">
        <x:v>BASE</x:v>
      </x:c>
      <x:c r="B77" s="7" t="str">
        <x:v>U10</x:v>
      </x:c>
      <x:c r="C77" s="14" t="n">
        <x:v>0.38</x:v>
      </x:c>
      <x:c r="D77" s="7" t="str">
        <x:v>valid_audio</x:v>
      </x:c>
      <x:c r="E77" s="14" t="n">
        <x:v>0</x:v>
      </x:c>
    </x:row>
    <x:row r="78" ht="34" customHeight="1">
      <x:c r="A78" s="12" t="str">
        <x:v>BASE</x:v>
      </x:c>
      <x:c r="B78" s="12" t="str">
        <x:v>U11</x:v>
      </x:c>
      <x:c r="C78" s="13" t="n">
        <x:v>0.38</x:v>
      </x:c>
      <x:c r="D78" s="12" t="str">
        <x:v>core_ui_mb</x:v>
      </x:c>
      <x:c r="E78" s="13" t="n">
        <x:v>180</x:v>
      </x:c>
    </x:row>
    <x:row r="79" ht="34" customHeight="1">
      <x:c r="A79" s="7" t="str">
        <x:v>BASE</x:v>
      </x:c>
      <x:c r="B79" s="7" t="str">
        <x:v>U11</x:v>
      </x:c>
      <x:c r="C79" s="14" t="n">
        <x:v>0.38</x:v>
      </x:c>
      <x:c r="D79" s="7" t="str">
        <x:v>asr_audio_mb</x:v>
      </x:c>
      <x:c r="E79" s="14" t="n">
        <x:v>220</x:v>
      </x:c>
    </x:row>
    <x:row r="80" ht="34" customHeight="1">
      <x:c r="A80" s="12" t="str">
        <x:v>BASE</x:v>
      </x:c>
      <x:c r="B80" s="12" t="str">
        <x:v>U11</x:v>
      </x:c>
      <x:c r="C80" s="13" t="n">
        <x:v>0.38</x:v>
      </x:c>
      <x:c r="D80" s="12" t="str">
        <x:v>source_ring_mb</x:v>
      </x:c>
      <x:c r="E80" s="13" t="n">
        <x:v>96</x:v>
      </x:c>
    </x:row>
    <x:row r="81" ht="34" customHeight="1">
      <x:c r="A81" s="7" t="str">
        <x:v>BASE</x:v>
      </x:c>
      <x:c r="B81" s="7" t="str">
        <x:v>U11</x:v>
      </x:c>
      <x:c r="C81" s="14" t="n">
        <x:v>0.38</x:v>
      </x:c>
      <x:c r="D81" s="7" t="str">
        <x:v>common_history_mb</x:v>
      </x:c>
      <x:c r="E81" s="14" t="n">
        <x:v>64</x:v>
      </x:c>
    </x:row>
    <x:row r="82" ht="34" customHeight="1">
      <x:c r="A82" s="12" t="str">
        <x:v>BASE</x:v>
      </x:c>
      <x:c r="B82" s="12" t="str">
        <x:v>U11</x:v>
      </x:c>
      <x:c r="C82" s="13" t="n">
        <x:v>0.38</x:v>
      </x:c>
      <x:c r="D82" s="12" t="str">
        <x:v>request</x:v>
      </x:c>
      <x:c r="E82" s="13" t="n">
        <x:v>11</x:v>
      </x:c>
    </x:row>
    <x:row r="83" ht="34" customHeight="1">
      <x:c r="A83" s="7" t="str">
        <x:v>BASE</x:v>
      </x:c>
      <x:c r="B83" s="7" t="str">
        <x:v>U11</x:v>
      </x:c>
      <x:c r="C83" s="14" t="n">
        <x:v>0.38</x:v>
      </x:c>
      <x:c r="D83" s="7" t="str">
        <x:v>meaning:client</x:v>
      </x:c>
      <x:c r="E83" s="14" t="n">
        <x:v>31.8</x:v>
      </x:c>
    </x:row>
    <x:row r="84" ht="34" customHeight="1">
      <x:c r="A84" s="12" t="str">
        <x:v>BASE</x:v>
      </x:c>
      <x:c r="B84" s="12" t="str">
        <x:v>U11</x:v>
      </x:c>
      <x:c r="C84" s="13" t="n">
        <x:v>0.38</x:v>
      </x:c>
      <x:c r="D84" s="12" t="str">
        <x:v>cloud_image_buffer</x:v>
      </x:c>
      <x:c r="E84" s="13" t="n">
        <x:v>32</x:v>
      </x:c>
    </x:row>
    <x:row r="85" ht="34" customHeight="1">
      <x:c r="A85" s="7" t="str">
        <x:v>BASE</x:v>
      </x:c>
      <x:c r="B85" s="7" t="str">
        <x:v>U11</x:v>
      </x:c>
      <x:c r="C85" s="14" t="n">
        <x:v>0.38</x:v>
      </x:c>
      <x:c r="D85" s="7" t="str">
        <x:v>valid_audio</x:v>
      </x:c>
      <x:c r="E85" s="14" t="n">
        <x:v>0</x:v>
      </x:c>
    </x:row>
    <x:row r="86" ht="34" customHeight="1">
      <x:c r="A86" s="12" t="str">
        <x:v>BASE</x:v>
      </x:c>
      <x:c r="B86" s="12" t="str">
        <x:v>U12</x:v>
      </x:c>
      <x:c r="C86" s="13" t="n">
        <x:v>0.46</x:v>
      </x:c>
      <x:c r="D86" s="12" t="str">
        <x:v>core_ui_mb</x:v>
      </x:c>
      <x:c r="E86" s="13" t="n">
        <x:v>180</x:v>
      </x:c>
    </x:row>
    <x:row r="87" ht="34" customHeight="1">
      <x:c r="A87" s="7" t="str">
        <x:v>BASE</x:v>
      </x:c>
      <x:c r="B87" s="7" t="str">
        <x:v>U12</x:v>
      </x:c>
      <x:c r="C87" s="14" t="n">
        <x:v>0.46</x:v>
      </x:c>
      <x:c r="D87" s="7" t="str">
        <x:v>asr_audio_mb</x:v>
      </x:c>
      <x:c r="E87" s="14" t="n">
        <x:v>220</x:v>
      </x:c>
    </x:row>
    <x:row r="88" ht="34" customHeight="1">
      <x:c r="A88" s="12" t="str">
        <x:v>BASE</x:v>
      </x:c>
      <x:c r="B88" s="12" t="str">
        <x:v>U12</x:v>
      </x:c>
      <x:c r="C88" s="13" t="n">
        <x:v>0.46</x:v>
      </x:c>
      <x:c r="D88" s="12" t="str">
        <x:v>source_ring_mb</x:v>
      </x:c>
      <x:c r="E88" s="13" t="n">
        <x:v>96</x:v>
      </x:c>
    </x:row>
    <x:row r="89" ht="34" customHeight="1">
      <x:c r="A89" s="7" t="str">
        <x:v>BASE</x:v>
      </x:c>
      <x:c r="B89" s="7" t="str">
        <x:v>U12</x:v>
      </x:c>
      <x:c r="C89" s="14" t="n">
        <x:v>0.46</x:v>
      </x:c>
      <x:c r="D89" s="7" t="str">
        <x:v>common_history_mb</x:v>
      </x:c>
      <x:c r="E89" s="14" t="n">
        <x:v>64</x:v>
      </x:c>
    </x:row>
    <x:row r="90" ht="34" customHeight="1">
      <x:c r="A90" s="12" t="str">
        <x:v>BASE</x:v>
      </x:c>
      <x:c r="B90" s="12" t="str">
        <x:v>U12</x:v>
      </x:c>
      <x:c r="C90" s="13" t="n">
        <x:v>0.46</x:v>
      </x:c>
      <x:c r="D90" s="12" t="str">
        <x:v>request</x:v>
      </x:c>
      <x:c r="E90" s="13" t="n">
        <x:v>11</x:v>
      </x:c>
    </x:row>
    <x:row r="91" ht="34" customHeight="1">
      <x:c r="A91" s="7" t="str">
        <x:v>BASE</x:v>
      </x:c>
      <x:c r="B91" s="7" t="str">
        <x:v>U12</x:v>
      </x:c>
      <x:c r="C91" s="14" t="n">
        <x:v>0.46</x:v>
      </x:c>
      <x:c r="D91" s="7" t="str">
        <x:v>meaning:client</x:v>
      </x:c>
      <x:c r="E91" s="14" t="n">
        <x:v>17.4</x:v>
      </x:c>
    </x:row>
    <x:row r="92" ht="34" customHeight="1">
      <x:c r="A92" s="12" t="str">
        <x:v>BASE</x:v>
      </x:c>
      <x:c r="B92" s="12" t="str">
        <x:v>U12</x:v>
      </x:c>
      <x:c r="C92" s="13" t="n">
        <x:v>0.46</x:v>
      </x:c>
      <x:c r="D92" s="12" t="str">
        <x:v>valid_audio</x:v>
      </x:c>
      <x:c r="E92" s="13" t="n">
        <x:v>0</x:v>
      </x:c>
    </x:row>
    <x:row r="93" ht="34" customHeight="1">
      <x:c r="A93" s="7" t="str">
        <x:v>BASE</x:v>
      </x:c>
      <x:c r="B93" s="7" t="str">
        <x:v>U13</x:v>
      </x:c>
      <x:c r="C93" s="14" t="n">
        <x:v>0.14</x:v>
      </x:c>
      <x:c r="D93" s="7" t="str">
        <x:v>core_ui_mb</x:v>
      </x:c>
      <x:c r="E93" s="14" t="n">
        <x:v>180</x:v>
      </x:c>
    </x:row>
    <x:row r="94" ht="34" customHeight="1">
      <x:c r="A94" s="12" t="str">
        <x:v>BASE</x:v>
      </x:c>
      <x:c r="B94" s="12" t="str">
        <x:v>U13</x:v>
      </x:c>
      <x:c r="C94" s="13" t="n">
        <x:v>0.14</x:v>
      </x:c>
      <x:c r="D94" s="12" t="str">
        <x:v>asr_audio_mb</x:v>
      </x:c>
      <x:c r="E94" s="13" t="n">
        <x:v>220</x:v>
      </x:c>
    </x:row>
    <x:row r="95" ht="34" customHeight="1">
      <x:c r="A95" s="7" t="str">
        <x:v>BASE</x:v>
      </x:c>
      <x:c r="B95" s="7" t="str">
        <x:v>U13</x:v>
      </x:c>
      <x:c r="C95" s="14" t="n">
        <x:v>0.14</x:v>
      </x:c>
      <x:c r="D95" s="7" t="str">
        <x:v>source_ring_mb</x:v>
      </x:c>
      <x:c r="E95" s="14" t="n">
        <x:v>96</x:v>
      </x:c>
    </x:row>
    <x:row r="96" ht="34" customHeight="1">
      <x:c r="A96" s="12" t="str">
        <x:v>BASE</x:v>
      </x:c>
      <x:c r="B96" s="12" t="str">
        <x:v>U13</x:v>
      </x:c>
      <x:c r="C96" s="13" t="n">
        <x:v>0.14</x:v>
      </x:c>
      <x:c r="D96" s="12" t="str">
        <x:v>common_history_mb</x:v>
      </x:c>
      <x:c r="E96" s="13" t="n">
        <x:v>64</x:v>
      </x:c>
    </x:row>
    <x:row r="97" ht="34" customHeight="1">
      <x:c r="A97" s="7" t="str">
        <x:v>BASE</x:v>
      </x:c>
      <x:c r="B97" s="7" t="str">
        <x:v>U13</x:v>
      </x:c>
      <x:c r="C97" s="14" t="n">
        <x:v>0.14</x:v>
      </x:c>
      <x:c r="D97" s="7" t="str">
        <x:v>request</x:v>
      </x:c>
      <x:c r="E97" s="14" t="n">
        <x:v>11</x:v>
      </x:c>
    </x:row>
    <x:row r="98" ht="34" customHeight="1">
      <x:c r="A98" s="12" t="str">
        <x:v>BASE</x:v>
      </x:c>
      <x:c r="B98" s="12" t="str">
        <x:v>U13</x:v>
      </x:c>
      <x:c r="C98" s="13" t="n">
        <x:v>0.14</x:v>
      </x:c>
      <x:c r="D98" s="12" t="str">
        <x:v>meaning:client</x:v>
      </x:c>
      <x:c r="E98" s="13" t="n">
        <x:v>17.4</x:v>
      </x:c>
    </x:row>
    <x:row r="99" ht="34" customHeight="1">
      <x:c r="A99" s="7" t="str">
        <x:v>BASE</x:v>
      </x:c>
      <x:c r="B99" s="7" t="str">
        <x:v>U13</x:v>
      </x:c>
      <x:c r="C99" s="14" t="n">
        <x:v>0.14</x:v>
      </x:c>
      <x:c r="D99" s="7" t="str">
        <x:v>valid_audio</x:v>
      </x:c>
      <x:c r="E99" s="14" t="n">
        <x:v>0</x:v>
      </x:c>
    </x:row>
    <x:row r="100" ht="34" customHeight="1">
      <x:c r="A100" s="12" t="str">
        <x:v>BASE</x:v>
      </x:c>
      <x:c r="B100" s="12" t="str">
        <x:v>U14</x:v>
      </x:c>
      <x:c r="C100" s="13" t="n">
        <x:v>0.38</x:v>
      </x:c>
      <x:c r="D100" s="12" t="str">
        <x:v>core_ui_mb</x:v>
      </x:c>
      <x:c r="E100" s="13" t="n">
        <x:v>180</x:v>
      </x:c>
    </x:row>
    <x:row r="101" ht="34" customHeight="1">
      <x:c r="A101" s="7" t="str">
        <x:v>BASE</x:v>
      </x:c>
      <x:c r="B101" s="7" t="str">
        <x:v>U14</x:v>
      </x:c>
      <x:c r="C101" s="14" t="n">
        <x:v>0.38</x:v>
      </x:c>
      <x:c r="D101" s="7" t="str">
        <x:v>asr_audio_mb</x:v>
      </x:c>
      <x:c r="E101" s="14" t="n">
        <x:v>220</x:v>
      </x:c>
    </x:row>
    <x:row r="102" ht="34" customHeight="1">
      <x:c r="A102" s="12" t="str">
        <x:v>BASE</x:v>
      </x:c>
      <x:c r="B102" s="12" t="str">
        <x:v>U14</x:v>
      </x:c>
      <x:c r="C102" s="13" t="n">
        <x:v>0.38</x:v>
      </x:c>
      <x:c r="D102" s="12" t="str">
        <x:v>source_ring_mb</x:v>
      </x:c>
      <x:c r="E102" s="13" t="n">
        <x:v>96</x:v>
      </x:c>
    </x:row>
    <x:row r="103" ht="34" customHeight="1">
      <x:c r="A103" s="7" t="str">
        <x:v>BASE</x:v>
      </x:c>
      <x:c r="B103" s="7" t="str">
        <x:v>U14</x:v>
      </x:c>
      <x:c r="C103" s="14" t="n">
        <x:v>0.38</x:v>
      </x:c>
      <x:c r="D103" s="7" t="str">
        <x:v>common_history_mb</x:v>
      </x:c>
      <x:c r="E103" s="14" t="n">
        <x:v>64</x:v>
      </x:c>
    </x:row>
    <x:row r="104" ht="34" customHeight="1">
      <x:c r="A104" s="12" t="str">
        <x:v>BASE</x:v>
      </x:c>
      <x:c r="B104" s="12" t="str">
        <x:v>U14</x:v>
      </x:c>
      <x:c r="C104" s="13" t="n">
        <x:v>0.38</x:v>
      </x:c>
      <x:c r="D104" s="12" t="str">
        <x:v>request</x:v>
      </x:c>
      <x:c r="E104" s="13" t="n">
        <x:v>11</x:v>
      </x:c>
    </x:row>
    <x:row r="105" ht="34" customHeight="1">
      <x:c r="A105" s="7" t="str">
        <x:v>BASE</x:v>
      </x:c>
      <x:c r="B105" s="7" t="str">
        <x:v>U14</x:v>
      </x:c>
      <x:c r="C105" s="14" t="n">
        <x:v>0.38</x:v>
      </x:c>
      <x:c r="D105" s="7" t="str">
        <x:v>meaning:client</x:v>
      </x:c>
      <x:c r="E105" s="14" t="n">
        <x:v>27</x:v>
      </x:c>
    </x:row>
    <x:row r="106" ht="34" customHeight="1">
      <x:c r="A106" s="12" t="str">
        <x:v>BASE</x:v>
      </x:c>
      <x:c r="B106" s="12" t="str">
        <x:v>U14</x:v>
      </x:c>
      <x:c r="C106" s="13" t="n">
        <x:v>0.38</x:v>
      </x:c>
      <x:c r="D106" s="12" t="str">
        <x:v>valid_audio</x:v>
      </x:c>
      <x:c r="E106" s="13" t="n">
        <x:v>0</x:v>
      </x:c>
    </x:row>
    <x:row r="107" ht="34" customHeight="1">
      <x:c r="A107" s="7" t="str">
        <x:v>BASE</x:v>
      </x:c>
      <x:c r="B107" s="7" t="str">
        <x:v>U15</x:v>
      </x:c>
      <x:c r="C107" s="14" t="n">
        <x:v>0.14</x:v>
      </x:c>
      <x:c r="D107" s="7" t="str">
        <x:v>core_ui_mb</x:v>
      </x:c>
      <x:c r="E107" s="14" t="n">
        <x:v>180</x:v>
      </x:c>
    </x:row>
    <x:row r="108" ht="34" customHeight="1">
      <x:c r="A108" s="12" t="str">
        <x:v>BASE</x:v>
      </x:c>
      <x:c r="B108" s="12" t="str">
        <x:v>U15</x:v>
      </x:c>
      <x:c r="C108" s="13" t="n">
        <x:v>0.14</x:v>
      </x:c>
      <x:c r="D108" s="12" t="str">
        <x:v>asr_audio_mb</x:v>
      </x:c>
      <x:c r="E108" s="13" t="n">
        <x:v>220</x:v>
      </x:c>
    </x:row>
    <x:row r="109" ht="34" customHeight="1">
      <x:c r="A109" s="7" t="str">
        <x:v>BASE</x:v>
      </x:c>
      <x:c r="B109" s="7" t="str">
        <x:v>U15</x:v>
      </x:c>
      <x:c r="C109" s="14" t="n">
        <x:v>0.14</x:v>
      </x:c>
      <x:c r="D109" s="7" t="str">
        <x:v>source_ring_mb</x:v>
      </x:c>
      <x:c r="E109" s="14" t="n">
        <x:v>96</x:v>
      </x:c>
    </x:row>
    <x:row r="110" ht="34" customHeight="1">
      <x:c r="A110" s="12" t="str">
        <x:v>BASE</x:v>
      </x:c>
      <x:c r="B110" s="12" t="str">
        <x:v>U15</x:v>
      </x:c>
      <x:c r="C110" s="13" t="n">
        <x:v>0.14</x:v>
      </x:c>
      <x:c r="D110" s="12" t="str">
        <x:v>common_history_mb</x:v>
      </x:c>
      <x:c r="E110" s="13" t="n">
        <x:v>64</x:v>
      </x:c>
    </x:row>
    <x:row r="111" ht="34" customHeight="1">
      <x:c r="A111" s="7" t="str">
        <x:v>BASE</x:v>
      </x:c>
      <x:c r="B111" s="7" t="str">
        <x:v>U15</x:v>
      </x:c>
      <x:c r="C111" s="14" t="n">
        <x:v>0.14</x:v>
      </x:c>
      <x:c r="D111" s="7" t="str">
        <x:v>request</x:v>
      </x:c>
      <x:c r="E111" s="14" t="n">
        <x:v>11</x:v>
      </x:c>
    </x:row>
    <x:row r="112" ht="34" customHeight="1">
      <x:c r="A112" s="12" t="str">
        <x:v>BASE</x:v>
      </x:c>
      <x:c r="B112" s="12" t="str">
        <x:v>U15</x:v>
      </x:c>
      <x:c r="C112" s="13" t="n">
        <x:v>0.14</x:v>
      </x:c>
      <x:c r="D112" s="12" t="str">
        <x:v>meaning:client</x:v>
      </x:c>
      <x:c r="E112" s="13" t="n">
        <x:v>17.4</x:v>
      </x:c>
    </x:row>
    <x:row r="113" ht="34" customHeight="1">
      <x:c r="A113" s="7" t="str">
        <x:v>BASE</x:v>
      </x:c>
      <x:c r="B113" s="7" t="str">
        <x:v>U15</x:v>
      </x:c>
      <x:c r="C113" s="14" t="n">
        <x:v>0.14</x:v>
      </x:c>
      <x:c r="D113" s="7" t="str">
        <x:v>valid_audio</x:v>
      </x:c>
      <x:c r="E113" s="14" t="n">
        <x:v>0</x:v>
      </x:c>
    </x:row>
    <x:row r="114" ht="34" customHeight="1">
      <x:c r="A114" s="12" t="str">
        <x:v>BASE</x:v>
      </x:c>
      <x:c r="B114" s="12" t="str">
        <x:v>U16</x:v>
      </x:c>
      <x:c r="C114" s="13" t="n">
        <x:v>0.38</x:v>
      </x:c>
      <x:c r="D114" s="12" t="str">
        <x:v>core_ui_mb</x:v>
      </x:c>
      <x:c r="E114" s="13" t="n">
        <x:v>180</x:v>
      </x:c>
    </x:row>
    <x:row r="115" ht="34" customHeight="1">
      <x:c r="A115" s="7" t="str">
        <x:v>BASE</x:v>
      </x:c>
      <x:c r="B115" s="7" t="str">
        <x:v>U16</x:v>
      </x:c>
      <x:c r="C115" s="14" t="n">
        <x:v>0.38</x:v>
      </x:c>
      <x:c r="D115" s="7" t="str">
        <x:v>asr_audio_mb</x:v>
      </x:c>
      <x:c r="E115" s="14" t="n">
        <x:v>220</x:v>
      </x:c>
    </x:row>
    <x:row r="116" ht="34" customHeight="1">
      <x:c r="A116" s="12" t="str">
        <x:v>BASE</x:v>
      </x:c>
      <x:c r="B116" s="12" t="str">
        <x:v>U16</x:v>
      </x:c>
      <x:c r="C116" s="13" t="n">
        <x:v>0.38</x:v>
      </x:c>
      <x:c r="D116" s="12" t="str">
        <x:v>source_ring_mb</x:v>
      </x:c>
      <x:c r="E116" s="13" t="n">
        <x:v>96</x:v>
      </x:c>
    </x:row>
    <x:row r="117" ht="34" customHeight="1">
      <x:c r="A117" s="7" t="str">
        <x:v>BASE</x:v>
      </x:c>
      <x:c r="B117" s="7" t="str">
        <x:v>U16</x:v>
      </x:c>
      <x:c r="C117" s="14" t="n">
        <x:v>0.38</x:v>
      </x:c>
      <x:c r="D117" s="7" t="str">
        <x:v>common_history_mb</x:v>
      </x:c>
      <x:c r="E117" s="14" t="n">
        <x:v>64</x:v>
      </x:c>
    </x:row>
    <x:row r="118" ht="34" customHeight="1">
      <x:c r="A118" s="12" t="str">
        <x:v>BASE</x:v>
      </x:c>
      <x:c r="B118" s="12" t="str">
        <x:v>U16</x:v>
      </x:c>
      <x:c r="C118" s="13" t="n">
        <x:v>0.38</x:v>
      </x:c>
      <x:c r="D118" s="12" t="str">
        <x:v>request</x:v>
      </x:c>
      <x:c r="E118" s="13" t="n">
        <x:v>11</x:v>
      </x:c>
    </x:row>
    <x:row r="119" ht="34" customHeight="1">
      <x:c r="A119" s="7" t="str">
        <x:v>BASE</x:v>
      </x:c>
      <x:c r="B119" s="7" t="str">
        <x:v>U16</x:v>
      </x:c>
      <x:c r="C119" s="14" t="n">
        <x:v>0.38</x:v>
      </x:c>
      <x:c r="D119" s="7" t="str">
        <x:v>meaning:client</x:v>
      </x:c>
      <x:c r="E119" s="14" t="n">
        <x:v>27</x:v>
      </x:c>
    </x:row>
    <x:row r="120" ht="34" customHeight="1">
      <x:c r="A120" s="12" t="str">
        <x:v>BASE</x:v>
      </x:c>
      <x:c r="B120" s="12" t="str">
        <x:v>U16</x:v>
      </x:c>
      <x:c r="C120" s="13" t="n">
        <x:v>0.38</x:v>
      </x:c>
      <x:c r="D120" s="12" t="str">
        <x:v>valid_audio</x:v>
      </x:c>
      <x:c r="E120" s="13" t="n">
        <x:v>0</x:v>
      </x:c>
    </x:row>
    <x:row r="121" ht="34" customHeight="1">
      <x:c r="A121" s="7" t="str">
        <x:v>BASE</x:v>
      </x:c>
      <x:c r="B121" s="7" t="str">
        <x:v>U17</x:v>
      </x:c>
      <x:c r="C121" s="14" t="n">
        <x:v>0.3906666666666667</x:v>
      </x:c>
      <x:c r="D121" s="7" t="str">
        <x:v>core_ui_mb</x:v>
      </x:c>
      <x:c r="E121" s="14" t="n">
        <x:v>180</x:v>
      </x:c>
    </x:row>
    <x:row r="122" ht="34" customHeight="1">
      <x:c r="A122" s="12" t="str">
        <x:v>BASE</x:v>
      </x:c>
      <x:c r="B122" s="12" t="str">
        <x:v>U17</x:v>
      </x:c>
      <x:c r="C122" s="13" t="n">
        <x:v>0.3906666666666667</x:v>
      </x:c>
      <x:c r="D122" s="12" t="str">
        <x:v>asr_audio_mb</x:v>
      </x:c>
      <x:c r="E122" s="13" t="n">
        <x:v>220</x:v>
      </x:c>
    </x:row>
    <x:row r="123" ht="34" customHeight="1">
      <x:c r="A123" s="7" t="str">
        <x:v>BASE</x:v>
      </x:c>
      <x:c r="B123" s="7" t="str">
        <x:v>U17</x:v>
      </x:c>
      <x:c r="C123" s="14" t="n">
        <x:v>0.3906666666666667</x:v>
      </x:c>
      <x:c r="D123" s="7" t="str">
        <x:v>source_ring_mb</x:v>
      </x:c>
      <x:c r="E123" s="14" t="n">
        <x:v>96</x:v>
      </x:c>
    </x:row>
    <x:row r="124" ht="34" customHeight="1">
      <x:c r="A124" s="12" t="str">
        <x:v>BASE</x:v>
      </x:c>
      <x:c r="B124" s="12" t="str">
        <x:v>U17</x:v>
      </x:c>
      <x:c r="C124" s="13" t="n">
        <x:v>0.3906666666666667</x:v>
      </x:c>
      <x:c r="D124" s="12" t="str">
        <x:v>common_history_mb</x:v>
      </x:c>
      <x:c r="E124" s="13" t="n">
        <x:v>64</x:v>
      </x:c>
    </x:row>
    <x:row r="125" ht="34" customHeight="1">
      <x:c r="A125" s="7" t="str">
        <x:v>BASE</x:v>
      </x:c>
      <x:c r="B125" s="7" t="str">
        <x:v>U17</x:v>
      </x:c>
      <x:c r="C125" s="14" t="n">
        <x:v>0.3906666666666667</x:v>
      </x:c>
      <x:c r="D125" s="7" t="str">
        <x:v>request</x:v>
      </x:c>
      <x:c r="E125" s="14" t="n">
        <x:v>11</x:v>
      </x:c>
    </x:row>
    <x:row r="126" ht="34" customHeight="1">
      <x:c r="A126" s="12" t="str">
        <x:v>BASE</x:v>
      </x:c>
      <x:c r="B126" s="12" t="str">
        <x:v>U17</x:v>
      </x:c>
      <x:c r="C126" s="13" t="n">
        <x:v>0.3906666666666667</x:v>
      </x:c>
      <x:c r="D126" s="12" t="str">
        <x:v>meaning:client</x:v>
      </x:c>
      <x:c r="E126" s="13" t="n">
        <x:v>17.4</x:v>
      </x:c>
    </x:row>
    <x:row r="127" ht="34" customHeight="1">
      <x:c r="A127" s="7" t="str">
        <x:v>BASE</x:v>
      </x:c>
      <x:c r="B127" s="7" t="str">
        <x:v>U17</x:v>
      </x:c>
      <x:c r="C127" s="14" t="n">
        <x:v>0.3906666666666667</x:v>
      </x:c>
      <x:c r="D127" s="7" t="str">
        <x:v>valid_audio</x:v>
      </x:c>
      <x:c r="E127" s="14" t="n">
        <x:v>0.384</x:v>
      </x:c>
    </x:row>
    <x:row r="128" ht="34" customHeight="1">
      <x:c r="A128" s="12" t="str">
        <x:v>BASE</x:v>
      </x:c>
      <x:c r="B128" s="12" t="str">
        <x:v>U18</x:v>
      </x:c>
      <x:c r="C128" s="13" t="n">
        <x:v>0.8933333333333335</x:v>
      </x:c>
      <x:c r="D128" s="12" t="str">
        <x:v>core_ui_mb</x:v>
      </x:c>
      <x:c r="E128" s="13" t="n">
        <x:v>180</x:v>
      </x:c>
    </x:row>
    <x:row r="129" ht="34" customHeight="1">
      <x:c r="A129" s="7" t="str">
        <x:v>BASE</x:v>
      </x:c>
      <x:c r="B129" s="7" t="str">
        <x:v>U18</x:v>
      </x:c>
      <x:c r="C129" s="14" t="n">
        <x:v>0.8933333333333335</x:v>
      </x:c>
      <x:c r="D129" s="7" t="str">
        <x:v>asr_audio_mb</x:v>
      </x:c>
      <x:c r="E129" s="14" t="n">
        <x:v>220</x:v>
      </x:c>
    </x:row>
    <x:row r="130" ht="34" customHeight="1">
      <x:c r="A130" s="12" t="str">
        <x:v>BASE</x:v>
      </x:c>
      <x:c r="B130" s="12" t="str">
        <x:v>U18</x:v>
      </x:c>
      <x:c r="C130" s="13" t="n">
        <x:v>0.8933333333333335</x:v>
      </x:c>
      <x:c r="D130" s="12" t="str">
        <x:v>source_ring_mb</x:v>
      </x:c>
      <x:c r="E130" s="13" t="n">
        <x:v>96</x:v>
      </x:c>
    </x:row>
    <x:row r="131" ht="34" customHeight="1">
      <x:c r="A131" s="7" t="str">
        <x:v>BASE</x:v>
      </x:c>
      <x:c r="B131" s="7" t="str">
        <x:v>U18</x:v>
      </x:c>
      <x:c r="C131" s="14" t="n">
        <x:v>0.8933333333333335</x:v>
      </x:c>
      <x:c r="D131" s="7" t="str">
        <x:v>common_history_mb</x:v>
      </x:c>
      <x:c r="E131" s="14" t="n">
        <x:v>64</x:v>
      </x:c>
    </x:row>
    <x:row r="132" ht="34" customHeight="1">
      <x:c r="A132" s="12" t="str">
        <x:v>BASE</x:v>
      </x:c>
      <x:c r="B132" s="12" t="str">
        <x:v>U18</x:v>
      </x:c>
      <x:c r="C132" s="13" t="n">
        <x:v>0.8933333333333335</x:v>
      </x:c>
      <x:c r="D132" s="12" t="str">
        <x:v>request</x:v>
      </x:c>
      <x:c r="E132" s="13" t="n">
        <x:v>11</x:v>
      </x:c>
    </x:row>
    <x:row r="133" ht="34" customHeight="1">
      <x:c r="A133" s="7" t="str">
        <x:v>BASE</x:v>
      </x:c>
      <x:c r="B133" s="7" t="str">
        <x:v>U18</x:v>
      </x:c>
      <x:c r="C133" s="14" t="n">
        <x:v>0.8933333333333335</x:v>
      </x:c>
      <x:c r="D133" s="7" t="str">
        <x:v>meaning:client</x:v>
      </x:c>
      <x:c r="E133" s="14" t="n">
        <x:v>17.4</x:v>
      </x:c>
    </x:row>
    <x:row r="134" ht="34" customHeight="1">
      <x:c r="A134" s="12" t="str">
        <x:v>BASE</x:v>
      </x:c>
      <x:c r="B134" s="12" t="str">
        <x:v>U18</x:v>
      </x:c>
      <x:c r="C134" s="13" t="n">
        <x:v>0.8933333333333335</x:v>
      </x:c>
      <x:c r="D134" s="12" t="str">
        <x:v>valid_audio</x:v>
      </x:c>
      <x:c r="E134" s="13" t="n">
        <x:v>0.864</x:v>
      </x:c>
    </x:row>
    <x:row r="135" ht="34" customHeight="1">
      <x:c r="A135" s="7" t="str">
        <x:v>BASE</x:v>
      </x:c>
      <x:c r="B135" s="7" t="str">
        <x:v>U19</x:v>
      </x:c>
      <x:c r="C135" s="14" t="n">
        <x:v>1.47999999</x:v>
      </x:c>
      <x:c r="D135" s="7" t="str">
        <x:v>core_ui_mb</x:v>
      </x:c>
      <x:c r="E135" s="14" t="n">
        <x:v>180</x:v>
      </x:c>
    </x:row>
    <x:row r="136" ht="34" customHeight="1">
      <x:c r="A136" s="12" t="str">
        <x:v>BASE</x:v>
      </x:c>
      <x:c r="B136" s="12" t="str">
        <x:v>U19</x:v>
      </x:c>
      <x:c r="C136" s="13" t="n">
        <x:v>1.47999999</x:v>
      </x:c>
      <x:c r="D136" s="12" t="str">
        <x:v>asr_audio_mb</x:v>
      </x:c>
      <x:c r="E136" s="13" t="n">
        <x:v>220</x:v>
      </x:c>
    </x:row>
    <x:row r="137" ht="34" customHeight="1">
      <x:c r="A137" s="7" t="str">
        <x:v>BASE</x:v>
      </x:c>
      <x:c r="B137" s="7" t="str">
        <x:v>U19</x:v>
      </x:c>
      <x:c r="C137" s="14" t="n">
        <x:v>1.47999999</x:v>
      </x:c>
      <x:c r="D137" s="7" t="str">
        <x:v>source_ring_mb</x:v>
      </x:c>
      <x:c r="E137" s="14" t="n">
        <x:v>96</x:v>
      </x:c>
    </x:row>
    <x:row r="138" ht="34" customHeight="1">
      <x:c r="A138" s="12" t="str">
        <x:v>BASE</x:v>
      </x:c>
      <x:c r="B138" s="12" t="str">
        <x:v>U19</x:v>
      </x:c>
      <x:c r="C138" s="13" t="n">
        <x:v>1.47999999</x:v>
      </x:c>
      <x:c r="D138" s="12" t="str">
        <x:v>common_history_mb</x:v>
      </x:c>
      <x:c r="E138" s="13" t="n">
        <x:v>64</x:v>
      </x:c>
    </x:row>
    <x:row r="139" ht="34" customHeight="1">
      <x:c r="A139" s="7" t="str">
        <x:v>BASE</x:v>
      </x:c>
      <x:c r="B139" s="7" t="str">
        <x:v>U19</x:v>
      </x:c>
      <x:c r="C139" s="14" t="n">
        <x:v>1.47999999</x:v>
      </x:c>
      <x:c r="D139" s="7" t="str">
        <x:v>request</x:v>
      </x:c>
      <x:c r="E139" s="14" t="n">
        <x:v>11</x:v>
      </x:c>
    </x:row>
    <x:row r="140" ht="34" customHeight="1">
      <x:c r="A140" s="12" t="str">
        <x:v>BASE</x:v>
      </x:c>
      <x:c r="B140" s="12" t="str">
        <x:v>U19</x:v>
      </x:c>
      <x:c r="C140" s="13" t="n">
        <x:v>1.47999999</x:v>
      </x:c>
      <x:c r="D140" s="12" t="str">
        <x:v>meaning:client</x:v>
      </x:c>
      <x:c r="E140" s="13" t="n">
        <x:v>17.4</x:v>
      </x:c>
    </x:row>
    <x:row r="141" ht="34" customHeight="1">
      <x:c r="A141" s="7" t="str">
        <x:v>BASE</x:v>
      </x:c>
      <x:c r="B141" s="7" t="str">
        <x:v>U19</x:v>
      </x:c>
      <x:c r="C141" s="14" t="n">
        <x:v>1.47999999</x:v>
      </x:c>
      <x:c r="D141" s="7" t="str">
        <x:v>valid_audio</x:v>
      </x:c>
      <x:c r="E141" s="14" t="n">
        <x:v>0.87398399808</x:v>
      </x:c>
    </x:row>
    <x:row r="142" ht="34" customHeight="1">
      <x:c r="A142" s="12" t="str">
        <x:v>BASE</x:v>
      </x:c>
      <x:c r="B142" s="12" t="str">
        <x:v>U20</x:v>
      </x:c>
      <x:c r="C142" s="13" t="n">
        <x:v>0.38</x:v>
      </x:c>
      <x:c r="D142" s="12" t="str">
        <x:v>core_ui_mb</x:v>
      </x:c>
      <x:c r="E142" s="13" t="n">
        <x:v>180</x:v>
      </x:c>
    </x:row>
    <x:row r="143" ht="34" customHeight="1">
      <x:c r="A143" s="7" t="str">
        <x:v>BASE</x:v>
      </x:c>
      <x:c r="B143" s="7" t="str">
        <x:v>U20</x:v>
      </x:c>
      <x:c r="C143" s="14" t="n">
        <x:v>0.38</x:v>
      </x:c>
      <x:c r="D143" s="7" t="str">
        <x:v>asr_audio_mb</x:v>
      </x:c>
      <x:c r="E143" s="14" t="n">
        <x:v>220</x:v>
      </x:c>
    </x:row>
    <x:row r="144" ht="34" customHeight="1">
      <x:c r="A144" s="12" t="str">
        <x:v>BASE</x:v>
      </x:c>
      <x:c r="B144" s="12" t="str">
        <x:v>U20</x:v>
      </x:c>
      <x:c r="C144" s="13" t="n">
        <x:v>0.38</x:v>
      </x:c>
      <x:c r="D144" s="12" t="str">
        <x:v>source_ring_mb</x:v>
      </x:c>
      <x:c r="E144" s="13" t="n">
        <x:v>96</x:v>
      </x:c>
    </x:row>
    <x:row r="145" ht="34" customHeight="1">
      <x:c r="A145" s="7" t="str">
        <x:v>BASE</x:v>
      </x:c>
      <x:c r="B145" s="7" t="str">
        <x:v>U20</x:v>
      </x:c>
      <x:c r="C145" s="14" t="n">
        <x:v>0.38</x:v>
      </x:c>
      <x:c r="D145" s="7" t="str">
        <x:v>common_history_mb</x:v>
      </x:c>
      <x:c r="E145" s="14" t="n">
        <x:v>64</x:v>
      </x:c>
    </x:row>
    <x:row r="146" ht="34" customHeight="1">
      <x:c r="A146" s="12" t="str">
        <x:v>BASE</x:v>
      </x:c>
      <x:c r="B146" s="12" t="str">
        <x:v>U20</x:v>
      </x:c>
      <x:c r="C146" s="13" t="n">
        <x:v>0.38</x:v>
      </x:c>
      <x:c r="D146" s="12" t="str">
        <x:v>request</x:v>
      </x:c>
      <x:c r="E146" s="13" t="n">
        <x:v>11</x:v>
      </x:c>
    </x:row>
    <x:row r="147" ht="34" customHeight="1">
      <x:c r="A147" s="7" t="str">
        <x:v>BASE</x:v>
      </x:c>
      <x:c r="B147" s="7" t="str">
        <x:v>U20</x:v>
      </x:c>
      <x:c r="C147" s="14" t="n">
        <x:v>0.38</x:v>
      </x:c>
      <x:c r="D147" s="7" t="str">
        <x:v>meaning:client</x:v>
      </x:c>
      <x:c r="E147" s="14" t="n">
        <x:v>17.4</x:v>
      </x:c>
    </x:row>
    <x:row r="148" ht="34" customHeight="1">
      <x:c r="A148" s="12" t="str">
        <x:v>BASE</x:v>
      </x:c>
      <x:c r="B148" s="12" t="str">
        <x:v>U20</x:v>
      </x:c>
      <x:c r="C148" s="13" t="n">
        <x:v>0.38</x:v>
      </x:c>
      <x:c r="D148" s="12" t="str">
        <x:v>valid_audio</x:v>
      </x:c>
      <x:c r="E148" s="13" t="n">
        <x:v>0.5760000000000001</x:v>
      </x:c>
    </x:row>
    <x:row r="149" ht="34" customHeight="1">
      <x:c r="A149" s="7" t="str">
        <x:v>BASE</x:v>
      </x:c>
      <x:c r="B149" s="7" t="str">
        <x:v>U21</x:v>
      </x:c>
      <x:c r="C149" s="14" t="n">
        <x:v>2.4</x:v>
      </x:c>
      <x:c r="D149" s="7" t="str">
        <x:v>core_ui_mb</x:v>
      </x:c>
      <x:c r="E149" s="14" t="n">
        <x:v>180</x:v>
      </x:c>
    </x:row>
    <x:row r="150" ht="34" customHeight="1">
      <x:c r="A150" s="12" t="str">
        <x:v>BASE</x:v>
      </x:c>
      <x:c r="B150" s="12" t="str">
        <x:v>U21</x:v>
      </x:c>
      <x:c r="C150" s="13" t="n">
        <x:v>2.4</x:v>
      </x:c>
      <x:c r="D150" s="12" t="str">
        <x:v>asr_audio_mb</x:v>
      </x:c>
      <x:c r="E150" s="13" t="n">
        <x:v>220</x:v>
      </x:c>
    </x:row>
    <x:row r="151" ht="34" customHeight="1">
      <x:c r="A151" s="7" t="str">
        <x:v>BASE</x:v>
      </x:c>
      <x:c r="B151" s="7" t="str">
        <x:v>U21</x:v>
      </x:c>
      <x:c r="C151" s="14" t="n">
        <x:v>2.4</x:v>
      </x:c>
      <x:c r="D151" s="7" t="str">
        <x:v>source_ring_mb</x:v>
      </x:c>
      <x:c r="E151" s="14" t="n">
        <x:v>96</x:v>
      </x:c>
    </x:row>
    <x:row r="152" ht="34" customHeight="1">
      <x:c r="A152" s="12" t="str">
        <x:v>BASE</x:v>
      </x:c>
      <x:c r="B152" s="12" t="str">
        <x:v>U21</x:v>
      </x:c>
      <x:c r="C152" s="13" t="n">
        <x:v>2.4</x:v>
      </x:c>
      <x:c r="D152" s="12" t="str">
        <x:v>common_history_mb</x:v>
      </x:c>
      <x:c r="E152" s="13" t="n">
        <x:v>64</x:v>
      </x:c>
    </x:row>
    <x:row r="153" ht="34" customHeight="1">
      <x:c r="A153" s="7" t="str">
        <x:v>BASE</x:v>
      </x:c>
      <x:c r="B153" s="7" t="str">
        <x:v>U21</x:v>
      </x:c>
      <x:c r="C153" s="14" t="n">
        <x:v>2.4</x:v>
      </x:c>
      <x:c r="D153" s="7" t="str">
        <x:v>request</x:v>
      </x:c>
      <x:c r="E153" s="14" t="n">
        <x:v>11</x:v>
      </x:c>
    </x:row>
    <x:row r="154" ht="34" customHeight="1">
      <x:c r="A154" s="12" t="str">
        <x:v>BASE</x:v>
      </x:c>
      <x:c r="B154" s="12" t="str">
        <x:v>U21</x:v>
      </x:c>
      <x:c r="C154" s="13" t="n">
        <x:v>2.4</x:v>
      </x:c>
      <x:c r="D154" s="12" t="str">
        <x:v>meaning:client</x:v>
      </x:c>
      <x:c r="E154" s="13" t="n">
        <x:v>34.2</x:v>
      </x:c>
    </x:row>
    <x:row r="155" ht="34" customHeight="1">
      <x:c r="A155" s="7" t="str">
        <x:v>BASE</x:v>
      </x:c>
      <x:c r="B155" s="7" t="str">
        <x:v>U21</x:v>
      </x:c>
      <x:c r="C155" s="14" t="n">
        <x:v>2.4</x:v>
      </x:c>
      <x:c r="D155" s="7" t="str">
        <x:v>cloud_image_buffer</x:v>
      </x:c>
      <x:c r="E155" s="14" t="n">
        <x:v>32</x:v>
      </x:c>
    </x:row>
    <x:row r="156" ht="34" customHeight="1">
      <x:c r="A156" s="12" t="str">
        <x:v>BASE</x:v>
      </x:c>
      <x:c r="B156" s="12" t="str">
        <x:v>U21</x:v>
      </x:c>
      <x:c r="C156" s="13" t="n">
        <x:v>2.4</x:v>
      </x:c>
      <x:c r="D156" s="12" t="str">
        <x:v>valid_audio</x:v>
      </x:c>
      <x:c r="E156" s="13" t="n">
        <x:v>0</x:v>
      </x:c>
    </x:row>
    <x:row r="157" ht="34" customHeight="1">
      <x:c r="A157" s="7" t="str">
        <x:v>BASE</x:v>
      </x:c>
      <x:c r="B157" s="7" t="str">
        <x:v>U22</x:v>
      </x:c>
      <x:c r="C157" s="14" t="n">
        <x:v>0.46</x:v>
      </x:c>
      <x:c r="D157" s="7" t="str">
        <x:v>core_ui_mb</x:v>
      </x:c>
      <x:c r="E157" s="14" t="n">
        <x:v>180</x:v>
      </x:c>
    </x:row>
    <x:row r="158" ht="34" customHeight="1">
      <x:c r="A158" s="12" t="str">
        <x:v>BASE</x:v>
      </x:c>
      <x:c r="B158" s="12" t="str">
        <x:v>U22</x:v>
      </x:c>
      <x:c r="C158" s="13" t="n">
        <x:v>0.46</x:v>
      </x:c>
      <x:c r="D158" s="12" t="str">
        <x:v>asr_audio_mb</x:v>
      </x:c>
      <x:c r="E158" s="13" t="n">
        <x:v>220</x:v>
      </x:c>
    </x:row>
    <x:row r="159" ht="34" customHeight="1">
      <x:c r="A159" s="7" t="str">
        <x:v>BASE</x:v>
      </x:c>
      <x:c r="B159" s="7" t="str">
        <x:v>U22</x:v>
      </x:c>
      <x:c r="C159" s="14" t="n">
        <x:v>0.46</x:v>
      </x:c>
      <x:c r="D159" s="7" t="str">
        <x:v>source_ring_mb</x:v>
      </x:c>
      <x:c r="E159" s="14" t="n">
        <x:v>96</x:v>
      </x:c>
    </x:row>
    <x:row r="160" ht="34" customHeight="1">
      <x:c r="A160" s="12" t="str">
        <x:v>BASE</x:v>
      </x:c>
      <x:c r="B160" s="12" t="str">
        <x:v>U22</x:v>
      </x:c>
      <x:c r="C160" s="13" t="n">
        <x:v>0.46</x:v>
      </x:c>
      <x:c r="D160" s="12" t="str">
        <x:v>common_history_mb</x:v>
      </x:c>
      <x:c r="E160" s="13" t="n">
        <x:v>64</x:v>
      </x:c>
    </x:row>
    <x:row r="161" ht="34" customHeight="1">
      <x:c r="A161" s="7" t="str">
        <x:v>BASE</x:v>
      </x:c>
      <x:c r="B161" s="7" t="str">
        <x:v>U22</x:v>
      </x:c>
      <x:c r="C161" s="14" t="n">
        <x:v>0.46</x:v>
      </x:c>
      <x:c r="D161" s="7" t="str">
        <x:v>request</x:v>
      </x:c>
      <x:c r="E161" s="14" t="n">
        <x:v>11</x:v>
      </x:c>
    </x:row>
    <x:row r="162" ht="34" customHeight="1">
      <x:c r="A162" s="12" t="str">
        <x:v>BASE</x:v>
      </x:c>
      <x:c r="B162" s="12" t="str">
        <x:v>U22</x:v>
      </x:c>
      <x:c r="C162" s="13" t="n">
        <x:v>0.46</x:v>
      </x:c>
      <x:c r="D162" s="12" t="str">
        <x:v>meaning:client</x:v>
      </x:c>
      <x:c r="E162" s="13" t="n">
        <x:v>24.6</x:v>
      </x:c>
    </x:row>
    <x:row r="163" ht="34" customHeight="1">
      <x:c r="A163" s="7" t="str">
        <x:v>BASE</x:v>
      </x:c>
      <x:c r="B163" s="7" t="str">
        <x:v>U22</x:v>
      </x:c>
      <x:c r="C163" s="14" t="n">
        <x:v>0.46</x:v>
      </x:c>
      <x:c r="D163" s="7" t="str">
        <x:v>cloud_image_buffer</x:v>
      </x:c>
      <x:c r="E163" s="14" t="n">
        <x:v>32</x:v>
      </x:c>
    </x:row>
    <x:row r="164" ht="34" customHeight="1">
      <x:c r="A164" s="12" t="str">
        <x:v>BASE</x:v>
      </x:c>
      <x:c r="B164" s="12" t="str">
        <x:v>U22</x:v>
      </x:c>
      <x:c r="C164" s="13" t="n">
        <x:v>0.46</x:v>
      </x:c>
      <x:c r="D164" s="12" t="str">
        <x:v>valid_audio</x:v>
      </x:c>
      <x:c r="E164" s="13" t="n">
        <x:v>0.28800000000000003</x:v>
      </x:c>
    </x:row>
    <x:row r="165" ht="34" customHeight="1">
      <x:c r="A165" s="7" t="str">
        <x:v>BASE</x:v>
      </x:c>
      <x:c r="B165" s="7" t="str">
        <x:v>U23</x:v>
      </x:c>
      <x:c r="C165" s="14" t="n">
        <x:v>0.14</x:v>
      </x:c>
      <x:c r="D165" s="7" t="str">
        <x:v>core_ui_mb</x:v>
      </x:c>
      <x:c r="E165" s="14" t="n">
        <x:v>180</x:v>
      </x:c>
    </x:row>
    <x:row r="166" ht="34" customHeight="1">
      <x:c r="A166" s="12" t="str">
        <x:v>BASE</x:v>
      </x:c>
      <x:c r="B166" s="12" t="str">
        <x:v>U23</x:v>
      </x:c>
      <x:c r="C166" s="13" t="n">
        <x:v>0.14</x:v>
      </x:c>
      <x:c r="D166" s="12" t="str">
        <x:v>asr_audio_mb</x:v>
      </x:c>
      <x:c r="E166" s="13" t="n">
        <x:v>220</x:v>
      </x:c>
    </x:row>
    <x:row r="167" ht="34" customHeight="1">
      <x:c r="A167" s="7" t="str">
        <x:v>BASE</x:v>
      </x:c>
      <x:c r="B167" s="7" t="str">
        <x:v>U23</x:v>
      </x:c>
      <x:c r="C167" s="14" t="n">
        <x:v>0.14</x:v>
      </x:c>
      <x:c r="D167" s="7" t="str">
        <x:v>source_ring_mb</x:v>
      </x:c>
      <x:c r="E167" s="14" t="n">
        <x:v>96</x:v>
      </x:c>
    </x:row>
    <x:row r="168" ht="34" customHeight="1">
      <x:c r="A168" s="12" t="str">
        <x:v>BASE</x:v>
      </x:c>
      <x:c r="B168" s="12" t="str">
        <x:v>U23</x:v>
      </x:c>
      <x:c r="C168" s="13" t="n">
        <x:v>0.14</x:v>
      </x:c>
      <x:c r="D168" s="12" t="str">
        <x:v>common_history_mb</x:v>
      </x:c>
      <x:c r="E168" s="13" t="n">
        <x:v>64</x:v>
      </x:c>
    </x:row>
    <x:row r="169" ht="34" customHeight="1">
      <x:c r="A169" s="7" t="str">
        <x:v>BASE</x:v>
      </x:c>
      <x:c r="B169" s="7" t="str">
        <x:v>U23</x:v>
      </x:c>
      <x:c r="C169" s="14" t="n">
        <x:v>0.14</x:v>
      </x:c>
      <x:c r="D169" s="7" t="str">
        <x:v>request</x:v>
      </x:c>
      <x:c r="E169" s="14" t="n">
        <x:v>11</x:v>
      </x:c>
    </x:row>
    <x:row r="170" ht="34" customHeight="1">
      <x:c r="A170" s="12" t="str">
        <x:v>BASE</x:v>
      </x:c>
      <x:c r="B170" s="12" t="str">
        <x:v>U23</x:v>
      </x:c>
      <x:c r="C170" s="13" t="n">
        <x:v>0.14</x:v>
      </x:c>
      <x:c r="D170" s="12" t="str">
        <x:v>meaning:client</x:v>
      </x:c>
      <x:c r="E170" s="13" t="n">
        <x:v>27</x:v>
      </x:c>
    </x:row>
    <x:row r="171" ht="34" customHeight="1">
      <x:c r="A171" s="7" t="str">
        <x:v>BASE</x:v>
      </x:c>
      <x:c r="B171" s="7" t="str">
        <x:v>U23</x:v>
      </x:c>
      <x:c r="C171" s="14" t="n">
        <x:v>0.14</x:v>
      </x:c>
      <x:c r="D171" s="7" t="str">
        <x:v>valid_audio</x:v>
      </x:c>
      <x:c r="E171" s="14" t="n">
        <x:v>0.28800000000000003</x:v>
      </x:c>
    </x:row>
    <x:row r="172" ht="34" customHeight="1">
      <x:c r="A172" s="12" t="str">
        <x:v>BASE</x:v>
      </x:c>
      <x:c r="B172" s="12" t="str">
        <x:v>U24</x:v>
      </x:c>
      <x:c r="C172" s="13" t="n">
        <x:v>2.4</x:v>
      </x:c>
      <x:c r="D172" s="12" t="str">
        <x:v>core_ui_mb</x:v>
      </x:c>
      <x:c r="E172" s="13" t="n">
        <x:v>180</x:v>
      </x:c>
    </x:row>
    <x:row r="173" ht="34" customHeight="1">
      <x:c r="A173" s="7" t="str">
        <x:v>BASE</x:v>
      </x:c>
      <x:c r="B173" s="7" t="str">
        <x:v>U24</x:v>
      </x:c>
      <x:c r="C173" s="14" t="n">
        <x:v>2.4</x:v>
      </x:c>
      <x:c r="D173" s="7" t="str">
        <x:v>asr_audio_mb</x:v>
      </x:c>
      <x:c r="E173" s="14" t="n">
        <x:v>220</x:v>
      </x:c>
    </x:row>
    <x:row r="174" ht="34" customHeight="1">
      <x:c r="A174" s="12" t="str">
        <x:v>BASE</x:v>
      </x:c>
      <x:c r="B174" s="12" t="str">
        <x:v>U24</x:v>
      </x:c>
      <x:c r="C174" s="13" t="n">
        <x:v>2.4</x:v>
      </x:c>
      <x:c r="D174" s="12" t="str">
        <x:v>source_ring_mb</x:v>
      </x:c>
      <x:c r="E174" s="13" t="n">
        <x:v>96</x:v>
      </x:c>
    </x:row>
    <x:row r="175" ht="34" customHeight="1">
      <x:c r="A175" s="7" t="str">
        <x:v>BASE</x:v>
      </x:c>
      <x:c r="B175" s="7" t="str">
        <x:v>U24</x:v>
      </x:c>
      <x:c r="C175" s="14" t="n">
        <x:v>2.4</x:v>
      </x:c>
      <x:c r="D175" s="7" t="str">
        <x:v>common_history_mb</x:v>
      </x:c>
      <x:c r="E175" s="14" t="n">
        <x:v>64</x:v>
      </x:c>
    </x:row>
    <x:row r="176" ht="34" customHeight="1">
      <x:c r="A176" s="12" t="str">
        <x:v>BASE</x:v>
      </x:c>
      <x:c r="B176" s="12" t="str">
        <x:v>U24</x:v>
      </x:c>
      <x:c r="C176" s="13" t="n">
        <x:v>2.4</x:v>
      </x:c>
      <x:c r="D176" s="12" t="str">
        <x:v>request</x:v>
      </x:c>
      <x:c r="E176" s="13" t="n">
        <x:v>11</x:v>
      </x:c>
    </x:row>
    <x:row r="177" ht="34" customHeight="1">
      <x:c r="A177" s="7" t="str">
        <x:v>BASE</x:v>
      </x:c>
      <x:c r="B177" s="7" t="str">
        <x:v>U24</x:v>
      </x:c>
      <x:c r="C177" s="14" t="n">
        <x:v>2.4</x:v>
      </x:c>
      <x:c r="D177" s="7" t="str">
        <x:v>meaning:client</x:v>
      </x:c>
      <x:c r="E177" s="14" t="n">
        <x:v>41.4</x:v>
      </x:c>
    </x:row>
    <x:row r="178" ht="34" customHeight="1">
      <x:c r="A178" s="12" t="str">
        <x:v>BASE</x:v>
      </x:c>
      <x:c r="B178" s="12" t="str">
        <x:v>U24</x:v>
      </x:c>
      <x:c r="C178" s="13" t="n">
        <x:v>2.4</x:v>
      </x:c>
      <x:c r="D178" s="12" t="str">
        <x:v>cloud_image_buffer</x:v>
      </x:c>
      <x:c r="E178" s="13" t="n">
        <x:v>32</x:v>
      </x:c>
    </x:row>
    <x:row r="179" ht="34" customHeight="1">
      <x:c r="A179" s="7" t="str">
        <x:v>BASE</x:v>
      </x:c>
      <x:c r="B179" s="7" t="str">
        <x:v>U24</x:v>
      </x:c>
      <x:c r="C179" s="14" t="n">
        <x:v>2.4</x:v>
      </x:c>
      <x:c r="D179" s="7" t="str">
        <x:v>valid_audio</x:v>
      </x:c>
      <x:c r="E179" s="14" t="n">
        <x:v>0</x:v>
      </x:c>
    </x:row>
    <x:row r="180" ht="34" customHeight="1">
      <x:c r="A180" s="12" t="str">
        <x:v>DP2-B</x:v>
      </x:c>
      <x:c r="B180" s="12" t="str">
        <x:v>U01</x:v>
      </x:c>
      <x:c r="C180" s="13" t="n">
        <x:v>0.14</x:v>
      </x:c>
      <x:c r="D180" s="12" t="str">
        <x:v>core_ui_mb</x:v>
      </x:c>
      <x:c r="E180" s="13" t="n">
        <x:v>180</x:v>
      </x:c>
    </x:row>
    <x:row r="181" ht="34" customHeight="1">
      <x:c r="A181" s="7" t="str">
        <x:v>DP2-B</x:v>
      </x:c>
      <x:c r="B181" s="7" t="str">
        <x:v>U01</x:v>
      </x:c>
      <x:c r="C181" s="14" t="n">
        <x:v>0.14</x:v>
      </x:c>
      <x:c r="D181" s="7" t="str">
        <x:v>asr_audio_mb</x:v>
      </x:c>
      <x:c r="E181" s="14" t="n">
        <x:v>220</x:v>
      </x:c>
    </x:row>
    <x:row r="182" ht="34" customHeight="1">
      <x:c r="A182" s="12" t="str">
        <x:v>DP2-B</x:v>
      </x:c>
      <x:c r="B182" s="12" t="str">
        <x:v>U01</x:v>
      </x:c>
      <x:c r="C182" s="13" t="n">
        <x:v>0.14</x:v>
      </x:c>
      <x:c r="D182" s="12" t="str">
        <x:v>source_ring_mb</x:v>
      </x:c>
      <x:c r="E182" s="13" t="n">
        <x:v>96</x:v>
      </x:c>
    </x:row>
    <x:row r="183" ht="34" customHeight="1">
      <x:c r="A183" s="7" t="str">
        <x:v>DP2-B</x:v>
      </x:c>
      <x:c r="B183" s="7" t="str">
        <x:v>U01</x:v>
      </x:c>
      <x:c r="C183" s="14" t="n">
        <x:v>0.14</x:v>
      </x:c>
      <x:c r="D183" s="7" t="str">
        <x:v>common_history_mb</x:v>
      </x:c>
      <x:c r="E183" s="14" t="n">
        <x:v>64</x:v>
      </x:c>
    </x:row>
    <x:row r="184" ht="34" customHeight="1">
      <x:c r="A184" s="12" t="str">
        <x:v>DP2-B</x:v>
      </x:c>
      <x:c r="B184" s="12" t="str">
        <x:v>U01</x:v>
      </x:c>
      <x:c r="C184" s="13" t="n">
        <x:v>0.14</x:v>
      </x:c>
      <x:c r="D184" s="12" t="str">
        <x:v>request</x:v>
      </x:c>
      <x:c r="E184" s="13" t="n">
        <x:v>11</x:v>
      </x:c>
    </x:row>
    <x:row r="185" ht="34" customHeight="1">
      <x:c r="A185" s="7" t="str">
        <x:v>DP2-B</x:v>
      </x:c>
      <x:c r="B185" s="7" t="str">
        <x:v>U01</x:v>
      </x:c>
      <x:c r="C185" s="14" t="n">
        <x:v>0.14</x:v>
      </x:c>
      <x:c r="D185" s="7" t="str">
        <x:v>meaning:client</x:v>
      </x:c>
      <x:c r="E185" s="14" t="n">
        <x:v>17.4</x:v>
      </x:c>
    </x:row>
    <x:row r="186" ht="34" customHeight="1">
      <x:c r="A186" s="12" t="str">
        <x:v>DP2-B</x:v>
      </x:c>
      <x:c r="B186" s="12" t="str">
        <x:v>U01</x:v>
      </x:c>
      <x:c r="C186" s="13" t="n">
        <x:v>0.14</x:v>
      </x:c>
      <x:c r="D186" s="12" t="str">
        <x:v>valid_audio</x:v>
      </x:c>
      <x:c r="E186" s="13" t="n">
        <x:v>0</x:v>
      </x:c>
    </x:row>
    <x:row r="187" ht="34" customHeight="1">
      <x:c r="A187" s="7" t="str">
        <x:v>DP2-B</x:v>
      </x:c>
      <x:c r="B187" s="7" t="str">
        <x:v>U02</x:v>
      </x:c>
      <x:c r="C187" s="14" t="n">
        <x:v>0.38</x:v>
      </x:c>
      <x:c r="D187" s="7" t="str">
        <x:v>core_ui_mb</x:v>
      </x:c>
      <x:c r="E187" s="14" t="n">
        <x:v>180</x:v>
      </x:c>
    </x:row>
    <x:row r="188" ht="34" customHeight="1">
      <x:c r="A188" s="12" t="str">
        <x:v>DP2-B</x:v>
      </x:c>
      <x:c r="B188" s="12" t="str">
        <x:v>U02</x:v>
      </x:c>
      <x:c r="C188" s="13" t="n">
        <x:v>0.38</x:v>
      </x:c>
      <x:c r="D188" s="12" t="str">
        <x:v>asr_audio_mb</x:v>
      </x:c>
      <x:c r="E188" s="13" t="n">
        <x:v>220</x:v>
      </x:c>
    </x:row>
    <x:row r="189" ht="34" customHeight="1">
      <x:c r="A189" s="7" t="str">
        <x:v>DP2-B</x:v>
      </x:c>
      <x:c r="B189" s="7" t="str">
        <x:v>U02</x:v>
      </x:c>
      <x:c r="C189" s="14" t="n">
        <x:v>0.38</x:v>
      </x:c>
      <x:c r="D189" s="7" t="str">
        <x:v>source_ring_mb</x:v>
      </x:c>
      <x:c r="E189" s="14" t="n">
        <x:v>96</x:v>
      </x:c>
    </x:row>
    <x:row r="190" ht="34" customHeight="1">
      <x:c r="A190" s="12" t="str">
        <x:v>DP2-B</x:v>
      </x:c>
      <x:c r="B190" s="12" t="str">
        <x:v>U02</x:v>
      </x:c>
      <x:c r="C190" s="13" t="n">
        <x:v>0.38</x:v>
      </x:c>
      <x:c r="D190" s="12" t="str">
        <x:v>common_history_mb</x:v>
      </x:c>
      <x:c r="E190" s="13" t="n">
        <x:v>64</x:v>
      </x:c>
    </x:row>
    <x:row r="191" ht="34" customHeight="1">
      <x:c r="A191" s="7" t="str">
        <x:v>DP2-B</x:v>
      </x:c>
      <x:c r="B191" s="7" t="str">
        <x:v>U02</x:v>
      </x:c>
      <x:c r="C191" s="14" t="n">
        <x:v>0.38</x:v>
      </x:c>
      <x:c r="D191" s="7" t="str">
        <x:v>request</x:v>
      </x:c>
      <x:c r="E191" s="14" t="n">
        <x:v>11</x:v>
      </x:c>
    </x:row>
    <x:row r="192" ht="34" customHeight="1">
      <x:c r="A192" s="12" t="str">
        <x:v>DP2-B</x:v>
      </x:c>
      <x:c r="B192" s="12" t="str">
        <x:v>U02</x:v>
      </x:c>
      <x:c r="C192" s="13" t="n">
        <x:v>0.38</x:v>
      </x:c>
      <x:c r="D192" s="12" t="str">
        <x:v>meaning:client</x:v>
      </x:c>
      <x:c r="E192" s="13" t="n">
        <x:v>17.4</x:v>
      </x:c>
    </x:row>
    <x:row r="193" ht="34" customHeight="1">
      <x:c r="A193" s="7" t="str">
        <x:v>DP2-B</x:v>
      </x:c>
      <x:c r="B193" s="7" t="str">
        <x:v>U02</x:v>
      </x:c>
      <x:c r="C193" s="14" t="n">
        <x:v>0.38</x:v>
      </x:c>
      <x:c r="D193" s="7" t="str">
        <x:v>valid_audio</x:v>
      </x:c>
      <x:c r="E193" s="14" t="n">
        <x:v>0</x:v>
      </x:c>
    </x:row>
    <x:row r="194" ht="34" customHeight="1">
      <x:c r="A194" s="12" t="str">
        <x:v>DP2-B</x:v>
      </x:c>
      <x:c r="B194" s="12" t="str">
        <x:v>U03</x:v>
      </x:c>
      <x:c r="C194" s="13" t="n">
        <x:v>2.434</x:v>
      </x:c>
      <x:c r="D194" s="12" t="str">
        <x:v>core_ui_mb</x:v>
      </x:c>
      <x:c r="E194" s="13" t="n">
        <x:v>180</x:v>
      </x:c>
    </x:row>
    <x:row r="195" ht="34" customHeight="1">
      <x:c r="A195" s="7" t="str">
        <x:v>DP2-B</x:v>
      </x:c>
      <x:c r="B195" s="7" t="str">
        <x:v>U03</x:v>
      </x:c>
      <x:c r="C195" s="14" t="n">
        <x:v>2.434</x:v>
      </x:c>
      <x:c r="D195" s="7" t="str">
        <x:v>asr_audio_mb</x:v>
      </x:c>
      <x:c r="E195" s="14" t="n">
        <x:v>220</x:v>
      </x:c>
    </x:row>
    <x:row r="196" ht="34" customHeight="1">
      <x:c r="A196" s="12" t="str">
        <x:v>DP2-B</x:v>
      </x:c>
      <x:c r="B196" s="12" t="str">
        <x:v>U03</x:v>
      </x:c>
      <x:c r="C196" s="13" t="n">
        <x:v>2.434</x:v>
      </x:c>
      <x:c r="D196" s="12" t="str">
        <x:v>source_ring_mb</x:v>
      </x:c>
      <x:c r="E196" s="13" t="n">
        <x:v>96</x:v>
      </x:c>
    </x:row>
    <x:row r="197" ht="34" customHeight="1">
      <x:c r="A197" s="7" t="str">
        <x:v>DP2-B</x:v>
      </x:c>
      <x:c r="B197" s="7" t="str">
        <x:v>U03</x:v>
      </x:c>
      <x:c r="C197" s="14" t="n">
        <x:v>2.434</x:v>
      </x:c>
      <x:c r="D197" s="7" t="str">
        <x:v>common_history_mb</x:v>
      </x:c>
      <x:c r="E197" s="14" t="n">
        <x:v>64</x:v>
      </x:c>
    </x:row>
    <x:row r="198" ht="34" customHeight="1">
      <x:c r="A198" s="12" t="str">
        <x:v>DP2-B</x:v>
      </x:c>
      <x:c r="B198" s="12" t="str">
        <x:v>U03</x:v>
      </x:c>
      <x:c r="C198" s="13" t="n">
        <x:v>2.434</x:v>
      </x:c>
      <x:c r="D198" s="12" t="str">
        <x:v>request</x:v>
      </x:c>
      <x:c r="E198" s="13" t="n">
        <x:v>11</x:v>
      </x:c>
    </x:row>
    <x:row r="199" ht="34" customHeight="1">
      <x:c r="A199" s="7" t="str">
        <x:v>DP2-B</x:v>
      </x:c>
      <x:c r="B199" s="7" t="str">
        <x:v>U03</x:v>
      </x:c>
      <x:c r="C199" s="14" t="n">
        <x:v>2.434</x:v>
      </x:c>
      <x:c r="D199" s="7" t="str">
        <x:v>request_execution</x:v>
      </x:c>
      <x:c r="E199" s="14" t="n">
        <x:v>11</x:v>
      </x:c>
    </x:row>
    <x:row r="200" ht="34" customHeight="1">
      <x:c r="A200" s="12" t="str">
        <x:v>DP2-B</x:v>
      </x:c>
      <x:c r="B200" s="12" t="str">
        <x:v>U03</x:v>
      </x:c>
      <x:c r="C200" s="13" t="n">
        <x:v>2.434</x:v>
      </x:c>
      <x:c r="D200" s="12" t="str">
        <x:v>long_work:client</x:v>
      </x:c>
      <x:c r="E200" s="13" t="n">
        <x:v>20.52</x:v>
      </x:c>
    </x:row>
    <x:row r="201" ht="34" customHeight="1">
      <x:c r="A201" s="7" t="str">
        <x:v>DP2-B</x:v>
      </x:c>
      <x:c r="B201" s="7" t="str">
        <x:v>U03</x:v>
      </x:c>
      <x:c r="C201" s="14" t="n">
        <x:v>2.434</x:v>
      </x:c>
      <x:c r="D201" s="7" t="str">
        <x:v>valid_audio</x:v>
      </x:c>
      <x:c r="E201" s="14" t="n">
        <x:v>0.14400000000000002</x:v>
      </x:c>
    </x:row>
    <x:row r="202" ht="34" customHeight="1">
      <x:c r="A202" s="12" t="str">
        <x:v>DP2-B</x:v>
      </x:c>
      <x:c r="B202" s="12" t="str">
        <x:v>U04</x:v>
      </x:c>
      <x:c r="C202" s="13" t="n">
        <x:v>0.38</x:v>
      </x:c>
      <x:c r="D202" s="12" t="str">
        <x:v>core_ui_mb</x:v>
      </x:c>
      <x:c r="E202" s="13" t="n">
        <x:v>180</x:v>
      </x:c>
    </x:row>
    <x:row r="203" ht="34" customHeight="1">
      <x:c r="A203" s="7" t="str">
        <x:v>DP2-B</x:v>
      </x:c>
      <x:c r="B203" s="7" t="str">
        <x:v>U04</x:v>
      </x:c>
      <x:c r="C203" s="14" t="n">
        <x:v>0.38</x:v>
      </x:c>
      <x:c r="D203" s="7" t="str">
        <x:v>asr_audio_mb</x:v>
      </x:c>
      <x:c r="E203" s="14" t="n">
        <x:v>220</x:v>
      </x:c>
    </x:row>
    <x:row r="204" ht="34" customHeight="1">
      <x:c r="A204" s="12" t="str">
        <x:v>DP2-B</x:v>
      </x:c>
      <x:c r="B204" s="12" t="str">
        <x:v>U04</x:v>
      </x:c>
      <x:c r="C204" s="13" t="n">
        <x:v>0.38</x:v>
      </x:c>
      <x:c r="D204" s="12" t="str">
        <x:v>source_ring_mb</x:v>
      </x:c>
      <x:c r="E204" s="13" t="n">
        <x:v>96</x:v>
      </x:c>
    </x:row>
    <x:row r="205" ht="34" customHeight="1">
      <x:c r="A205" s="7" t="str">
        <x:v>DP2-B</x:v>
      </x:c>
      <x:c r="B205" s="7" t="str">
        <x:v>U04</x:v>
      </x:c>
      <x:c r="C205" s="14" t="n">
        <x:v>0.38</x:v>
      </x:c>
      <x:c r="D205" s="7" t="str">
        <x:v>common_history_mb</x:v>
      </x:c>
      <x:c r="E205" s="14" t="n">
        <x:v>64</x:v>
      </x:c>
    </x:row>
    <x:row r="206" ht="34" customHeight="1">
      <x:c r="A206" s="12" t="str">
        <x:v>DP2-B</x:v>
      </x:c>
      <x:c r="B206" s="12" t="str">
        <x:v>U04</x:v>
      </x:c>
      <x:c r="C206" s="13" t="n">
        <x:v>0.38</x:v>
      </x:c>
      <x:c r="D206" s="12" t="str">
        <x:v>request</x:v>
      </x:c>
      <x:c r="E206" s="13" t="n">
        <x:v>11</x:v>
      </x:c>
    </x:row>
    <x:row r="207" ht="34" customHeight="1">
      <x:c r="A207" s="7" t="str">
        <x:v>DP2-B</x:v>
      </x:c>
      <x:c r="B207" s="7" t="str">
        <x:v>U04</x:v>
      </x:c>
      <x:c r="C207" s="14" t="n">
        <x:v>0.38</x:v>
      </x:c>
      <x:c r="D207" s="7" t="str">
        <x:v>meaning:client</x:v>
      </x:c>
      <x:c r="E207" s="14" t="n">
        <x:v>17.4</x:v>
      </x:c>
    </x:row>
    <x:row r="208" ht="34" customHeight="1">
      <x:c r="A208" s="12" t="str">
        <x:v>DP2-B</x:v>
      </x:c>
      <x:c r="B208" s="12" t="str">
        <x:v>U04</x:v>
      </x:c>
      <x:c r="C208" s="13" t="n">
        <x:v>0.38</x:v>
      </x:c>
      <x:c r="D208" s="12" t="str">
        <x:v>valid_audio</x:v>
      </x:c>
      <x:c r="E208" s="13" t="n">
        <x:v>0</x:v>
      </x:c>
    </x:row>
    <x:row r="209" ht="34" customHeight="1">
      <x:c r="A209" s="7" t="str">
        <x:v>DP2-B</x:v>
      </x:c>
      <x:c r="B209" s="7" t="str">
        <x:v>U05</x:v>
      </x:c>
      <x:c r="C209" s="14" t="n">
        <x:v>0.38</x:v>
      </x:c>
      <x:c r="D209" s="7" t="str">
        <x:v>core_ui_mb</x:v>
      </x:c>
      <x:c r="E209" s="14" t="n">
        <x:v>180</x:v>
      </x:c>
    </x:row>
    <x:row r="210" ht="34" customHeight="1">
      <x:c r="A210" s="12" t="str">
        <x:v>DP2-B</x:v>
      </x:c>
      <x:c r="B210" s="12" t="str">
        <x:v>U05</x:v>
      </x:c>
      <x:c r="C210" s="13" t="n">
        <x:v>0.38</x:v>
      </x:c>
      <x:c r="D210" s="12" t="str">
        <x:v>asr_audio_mb</x:v>
      </x:c>
      <x:c r="E210" s="13" t="n">
        <x:v>220</x:v>
      </x:c>
    </x:row>
    <x:row r="211" ht="34" customHeight="1">
      <x:c r="A211" s="7" t="str">
        <x:v>DP2-B</x:v>
      </x:c>
      <x:c r="B211" s="7" t="str">
        <x:v>U05</x:v>
      </x:c>
      <x:c r="C211" s="14" t="n">
        <x:v>0.38</x:v>
      </x:c>
      <x:c r="D211" s="7" t="str">
        <x:v>source_ring_mb</x:v>
      </x:c>
      <x:c r="E211" s="14" t="n">
        <x:v>96</x:v>
      </x:c>
    </x:row>
    <x:row r="212" ht="34" customHeight="1">
      <x:c r="A212" s="12" t="str">
        <x:v>DP2-B</x:v>
      </x:c>
      <x:c r="B212" s="12" t="str">
        <x:v>U05</x:v>
      </x:c>
      <x:c r="C212" s="13" t="n">
        <x:v>0.38</x:v>
      </x:c>
      <x:c r="D212" s="12" t="str">
        <x:v>common_history_mb</x:v>
      </x:c>
      <x:c r="E212" s="13" t="n">
        <x:v>64</x:v>
      </x:c>
    </x:row>
    <x:row r="213" ht="34" customHeight="1">
      <x:c r="A213" s="7" t="str">
        <x:v>DP2-B</x:v>
      </x:c>
      <x:c r="B213" s="7" t="str">
        <x:v>U05</x:v>
      </x:c>
      <x:c r="C213" s="14" t="n">
        <x:v>0.38</x:v>
      </x:c>
      <x:c r="D213" s="7" t="str">
        <x:v>request</x:v>
      </x:c>
      <x:c r="E213" s="14" t="n">
        <x:v>11</x:v>
      </x:c>
    </x:row>
    <x:row r="214" ht="34" customHeight="1">
      <x:c r="A214" s="12" t="str">
        <x:v>DP2-B</x:v>
      </x:c>
      <x:c r="B214" s="12" t="str">
        <x:v>U05</x:v>
      </x:c>
      <x:c r="C214" s="13" t="n">
        <x:v>0.38</x:v>
      </x:c>
      <x:c r="D214" s="12" t="str">
        <x:v>request_execution</x:v>
      </x:c>
      <x:c r="E214" s="13" t="n">
        <x:v>11</x:v>
      </x:c>
    </x:row>
    <x:row r="215" ht="34" customHeight="1">
      <x:c r="A215" s="7" t="str">
        <x:v>DP2-B</x:v>
      </x:c>
      <x:c r="B215" s="7" t="str">
        <x:v>U05</x:v>
      </x:c>
      <x:c r="C215" s="14" t="n">
        <x:v>0.38</x:v>
      </x:c>
      <x:c r="D215" s="7" t="str">
        <x:v>bg1:client</x:v>
      </x:c>
      <x:c r="E215" s="14" t="n">
        <x:v>19.8</x:v>
      </x:c>
    </x:row>
    <x:row r="216" ht="34" customHeight="1">
      <x:c r="A216" s="12" t="str">
        <x:v>DP2-B</x:v>
      </x:c>
      <x:c r="B216" s="12" t="str">
        <x:v>U05</x:v>
      </x:c>
      <x:c r="C216" s="13" t="n">
        <x:v>0.38</x:v>
      </x:c>
      <x:c r="D216" s="12" t="str">
        <x:v>meaning:client</x:v>
      </x:c>
      <x:c r="E216" s="13" t="n">
        <x:v>18.12</x:v>
      </x:c>
    </x:row>
    <x:row r="217" ht="34" customHeight="1">
      <x:c r="A217" s="7" t="str">
        <x:v>DP2-B</x:v>
      </x:c>
      <x:c r="B217" s="7" t="str">
        <x:v>U05</x:v>
      </x:c>
      <x:c r="C217" s="14" t="n">
        <x:v>0.38</x:v>
      </x:c>
      <x:c r="D217" s="7" t="str">
        <x:v>valid_audio</x:v>
      </x:c>
      <x:c r="E217" s="14" t="n">
        <x:v>0</x:v>
      </x:c>
    </x:row>
    <x:row r="218" ht="34" customHeight="1">
      <x:c r="A218" s="12" t="str">
        <x:v>DP2-B</x:v>
      </x:c>
      <x:c r="B218" s="12" t="str">
        <x:v>U06</x:v>
      </x:c>
      <x:c r="C218" s="13" t="n">
        <x:v>2.39999999</x:v>
      </x:c>
      <x:c r="D218" s="12" t="str">
        <x:v>core_ui_mb</x:v>
      </x:c>
      <x:c r="E218" s="13" t="n">
        <x:v>180</x:v>
      </x:c>
    </x:row>
    <x:row r="219" ht="34" customHeight="1">
      <x:c r="A219" s="7" t="str">
        <x:v>DP2-B</x:v>
      </x:c>
      <x:c r="B219" s="7" t="str">
        <x:v>U06</x:v>
      </x:c>
      <x:c r="C219" s="14" t="n">
        <x:v>2.39999999</x:v>
      </x:c>
      <x:c r="D219" s="7" t="str">
        <x:v>asr_audio_mb</x:v>
      </x:c>
      <x:c r="E219" s="14" t="n">
        <x:v>220</x:v>
      </x:c>
    </x:row>
    <x:row r="220" ht="34" customHeight="1">
      <x:c r="A220" s="12" t="str">
        <x:v>DP2-B</x:v>
      </x:c>
      <x:c r="B220" s="12" t="str">
        <x:v>U06</x:v>
      </x:c>
      <x:c r="C220" s="13" t="n">
        <x:v>2.39999999</x:v>
      </x:c>
      <x:c r="D220" s="12" t="str">
        <x:v>source_ring_mb</x:v>
      </x:c>
      <x:c r="E220" s="13" t="n">
        <x:v>96</x:v>
      </x:c>
    </x:row>
    <x:row r="221" ht="34" customHeight="1">
      <x:c r="A221" s="7" t="str">
        <x:v>DP2-B</x:v>
      </x:c>
      <x:c r="B221" s="7" t="str">
        <x:v>U06</x:v>
      </x:c>
      <x:c r="C221" s="14" t="n">
        <x:v>2.39999999</x:v>
      </x:c>
      <x:c r="D221" s="7" t="str">
        <x:v>common_history_mb</x:v>
      </x:c>
      <x:c r="E221" s="14" t="n">
        <x:v>64</x:v>
      </x:c>
    </x:row>
    <x:row r="222" ht="34" customHeight="1">
      <x:c r="A222" s="12" t="str">
        <x:v>DP2-B</x:v>
      </x:c>
      <x:c r="B222" s="12" t="str">
        <x:v>U06</x:v>
      </x:c>
      <x:c r="C222" s="13" t="n">
        <x:v>2.39999999</x:v>
      </x:c>
      <x:c r="D222" s="12" t="str">
        <x:v>request</x:v>
      </x:c>
      <x:c r="E222" s="13" t="n">
        <x:v>11</x:v>
      </x:c>
    </x:row>
    <x:row r="223" ht="34" customHeight="1">
      <x:c r="A223" s="7" t="str">
        <x:v>DP2-B</x:v>
      </x:c>
      <x:c r="B223" s="7" t="str">
        <x:v>U06</x:v>
      </x:c>
      <x:c r="C223" s="14" t="n">
        <x:v>2.39999999</x:v>
      </x:c>
      <x:c r="D223" s="7" t="str">
        <x:v>request_execution</x:v>
      </x:c>
      <x:c r="E223" s="14" t="n">
        <x:v>11</x:v>
      </x:c>
    </x:row>
    <x:row r="224" ht="34" customHeight="1">
      <x:c r="A224" s="12" t="str">
        <x:v>DP2-B</x:v>
      </x:c>
      <x:c r="B224" s="12" t="str">
        <x:v>U06</x:v>
      </x:c>
      <x:c r="C224" s="13" t="n">
        <x:v>2.39999999</x:v>
      </x:c>
      <x:c r="D224" s="12" t="str">
        <x:v>bg1:client</x:v>
      </x:c>
      <x:c r="E224" s="13" t="n">
        <x:v>19.8</x:v>
      </x:c>
    </x:row>
    <x:row r="225" ht="34" customHeight="1">
      <x:c r="A225" s="7" t="str">
        <x:v>DP2-B</x:v>
      </x:c>
      <x:c r="B225" s="7" t="str">
        <x:v>U06</x:v>
      </x:c>
      <x:c r="C225" s="14" t="n">
        <x:v>2.39999999</x:v>
      </x:c>
      <x:c r="D225" s="7" t="str">
        <x:v>long_work:client</x:v>
      </x:c>
      <x:c r="E225" s="14" t="n">
        <x:v>20.52</x:v>
      </x:c>
    </x:row>
    <x:row r="226" ht="34" customHeight="1">
      <x:c r="A226" s="12" t="str">
        <x:v>DP2-B</x:v>
      </x:c>
      <x:c r="B226" s="12" t="str">
        <x:v>U06</x:v>
      </x:c>
      <x:c r="C226" s="13" t="n">
        <x:v>2.39999999</x:v>
      </x:c>
      <x:c r="D226" s="12" t="str">
        <x:v>valid_audio</x:v>
      </x:c>
      <x:c r="E226" s="13" t="n">
        <x:v>0.13747199808</x:v>
      </x:c>
    </x:row>
    <x:row r="227" ht="34" customHeight="1">
      <x:c r="A227" s="7" t="str">
        <x:v>DP2-B</x:v>
      </x:c>
      <x:c r="B227" s="7" t="str">
        <x:v>U07</x:v>
      </x:c>
      <x:c r="C227" s="14" t="n">
        <x:v>0.3</x:v>
      </x:c>
      <x:c r="D227" s="7" t="str">
        <x:v>core_ui_mb</x:v>
      </x:c>
      <x:c r="E227" s="14" t="n">
        <x:v>180</x:v>
      </x:c>
    </x:row>
    <x:row r="228" ht="34" customHeight="1">
      <x:c r="A228" s="12" t="str">
        <x:v>DP2-B</x:v>
      </x:c>
      <x:c r="B228" s="12" t="str">
        <x:v>U07</x:v>
      </x:c>
      <x:c r="C228" s="13" t="n">
        <x:v>0.3</x:v>
      </x:c>
      <x:c r="D228" s="12" t="str">
        <x:v>asr_audio_mb</x:v>
      </x:c>
      <x:c r="E228" s="13" t="n">
        <x:v>220</x:v>
      </x:c>
    </x:row>
    <x:row r="229" ht="34" customHeight="1">
      <x:c r="A229" s="7" t="str">
        <x:v>DP2-B</x:v>
      </x:c>
      <x:c r="B229" s="7" t="str">
        <x:v>U07</x:v>
      </x:c>
      <x:c r="C229" s="14" t="n">
        <x:v>0.3</x:v>
      </x:c>
      <x:c r="D229" s="7" t="str">
        <x:v>source_ring_mb</x:v>
      </x:c>
      <x:c r="E229" s="14" t="n">
        <x:v>96</x:v>
      </x:c>
    </x:row>
    <x:row r="230" ht="34" customHeight="1">
      <x:c r="A230" s="12" t="str">
        <x:v>DP2-B</x:v>
      </x:c>
      <x:c r="B230" s="12" t="str">
        <x:v>U07</x:v>
      </x:c>
      <x:c r="C230" s="13" t="n">
        <x:v>0.3</x:v>
      </x:c>
      <x:c r="D230" s="12" t="str">
        <x:v>common_history_mb</x:v>
      </x:c>
      <x:c r="E230" s="13" t="n">
        <x:v>64</x:v>
      </x:c>
    </x:row>
    <x:row r="231" ht="34" customHeight="1">
      <x:c r="A231" s="7" t="str">
        <x:v>DP2-B</x:v>
      </x:c>
      <x:c r="B231" s="7" t="str">
        <x:v>U07</x:v>
      </x:c>
      <x:c r="C231" s="14" t="n">
        <x:v>0.3</x:v>
      </x:c>
      <x:c r="D231" s="7" t="str">
        <x:v>request</x:v>
      </x:c>
      <x:c r="E231" s="14" t="n">
        <x:v>11</x:v>
      </x:c>
    </x:row>
    <x:row r="232" ht="34" customHeight="1">
      <x:c r="A232" s="12" t="str">
        <x:v>DP2-B</x:v>
      </x:c>
      <x:c r="B232" s="12" t="str">
        <x:v>U07</x:v>
      </x:c>
      <x:c r="C232" s="13" t="n">
        <x:v>0.3</x:v>
      </x:c>
      <x:c r="D232" s="12" t="str">
        <x:v>request_execution</x:v>
      </x:c>
      <x:c r="E232" s="13" t="n">
        <x:v>11</x:v>
      </x:c>
    </x:row>
    <x:row r="233" ht="34" customHeight="1">
      <x:c r="A233" s="7" t="str">
        <x:v>DP2-B</x:v>
      </x:c>
      <x:c r="B233" s="7" t="str">
        <x:v>U07</x:v>
      </x:c>
      <x:c r="C233" s="14" t="n">
        <x:v>0.3</x:v>
      </x:c>
      <x:c r="D233" s="7" t="str">
        <x:v>bg1:client</x:v>
      </x:c>
      <x:c r="E233" s="14" t="n">
        <x:v>19.8</x:v>
      </x:c>
    </x:row>
    <x:row r="234" ht="34" customHeight="1">
      <x:c r="A234" s="12" t="str">
        <x:v>DP2-B</x:v>
      </x:c>
      <x:c r="B234" s="12" t="str">
        <x:v>U07</x:v>
      </x:c>
      <x:c r="C234" s="13" t="n">
        <x:v>0.3</x:v>
      </x:c>
      <x:c r="D234" s="12" t="str">
        <x:v>bg2:client</x:v>
      </x:c>
      <x:c r="E234" s="13" t="n">
        <x:v>19.8</x:v>
      </x:c>
    </x:row>
    <x:row r="235" ht="34" customHeight="1">
      <x:c r="A235" s="7" t="str">
        <x:v>DP2-B</x:v>
      </x:c>
      <x:c r="B235" s="7" t="str">
        <x:v>U07</x:v>
      </x:c>
      <x:c r="C235" s="14" t="n">
        <x:v>0.3</x:v>
      </x:c>
      <x:c r="D235" s="7" t="str">
        <x:v>valid_audio</x:v>
      </x:c>
      <x:c r="E235" s="14" t="n">
        <x:v>0</x:v>
      </x:c>
    </x:row>
    <x:row r="236" ht="34" customHeight="1">
      <x:c r="A236" s="12" t="str">
        <x:v>DP2-B</x:v>
      </x:c>
      <x:c r="B236" s="12" t="str">
        <x:v>U08</x:v>
      </x:c>
      <x:c r="C236" s="13" t="n">
        <x:v>4.694</x:v>
      </x:c>
      <x:c r="D236" s="12" t="str">
        <x:v>core_ui_mb</x:v>
      </x:c>
      <x:c r="E236" s="13" t="n">
        <x:v>180</x:v>
      </x:c>
    </x:row>
    <x:row r="237" ht="34" customHeight="1">
      <x:c r="A237" s="7" t="str">
        <x:v>DP2-B</x:v>
      </x:c>
      <x:c r="B237" s="7" t="str">
        <x:v>U08</x:v>
      </x:c>
      <x:c r="C237" s="14" t="n">
        <x:v>4.694</x:v>
      </x:c>
      <x:c r="D237" s="7" t="str">
        <x:v>asr_audio_mb</x:v>
      </x:c>
      <x:c r="E237" s="14" t="n">
        <x:v>220</x:v>
      </x:c>
    </x:row>
    <x:row r="238" ht="34" customHeight="1">
      <x:c r="A238" s="12" t="str">
        <x:v>DP2-B</x:v>
      </x:c>
      <x:c r="B238" s="12" t="str">
        <x:v>U08</x:v>
      </x:c>
      <x:c r="C238" s="13" t="n">
        <x:v>4.694</x:v>
      </x:c>
      <x:c r="D238" s="12" t="str">
        <x:v>source_ring_mb</x:v>
      </x:c>
      <x:c r="E238" s="13" t="n">
        <x:v>96</x:v>
      </x:c>
    </x:row>
    <x:row r="239" ht="34" customHeight="1">
      <x:c r="A239" s="7" t="str">
        <x:v>DP2-B</x:v>
      </x:c>
      <x:c r="B239" s="7" t="str">
        <x:v>U08</x:v>
      </x:c>
      <x:c r="C239" s="14" t="n">
        <x:v>4.694</x:v>
      </x:c>
      <x:c r="D239" s="7" t="str">
        <x:v>common_history_mb</x:v>
      </x:c>
      <x:c r="E239" s="14" t="n">
        <x:v>64</x:v>
      </x:c>
    </x:row>
    <x:row r="240" ht="34" customHeight="1">
      <x:c r="A240" s="12" t="str">
        <x:v>DP2-B</x:v>
      </x:c>
      <x:c r="B240" s="12" t="str">
        <x:v>U08</x:v>
      </x:c>
      <x:c r="C240" s="13" t="n">
        <x:v>4.694</x:v>
      </x:c>
      <x:c r="D240" s="12" t="str">
        <x:v>request</x:v>
      </x:c>
      <x:c r="E240" s="13" t="n">
        <x:v>11</x:v>
      </x:c>
    </x:row>
    <x:row r="241" ht="34" customHeight="1">
      <x:c r="A241" s="7" t="str">
        <x:v>DP2-B</x:v>
      </x:c>
      <x:c r="B241" s="7" t="str">
        <x:v>U08</x:v>
      </x:c>
      <x:c r="C241" s="14" t="n">
        <x:v>4.694</x:v>
      </x:c>
      <x:c r="D241" s="7" t="str">
        <x:v>request_execution</x:v>
      </x:c>
      <x:c r="E241" s="14" t="n">
        <x:v>11</x:v>
      </x:c>
    </x:row>
    <x:row r="242" ht="34" customHeight="1">
      <x:c r="A242" s="12" t="str">
        <x:v>DP2-B</x:v>
      </x:c>
      <x:c r="B242" s="12" t="str">
        <x:v>U08</x:v>
      </x:c>
      <x:c r="C242" s="13" t="n">
        <x:v>4.694</x:v>
      </x:c>
      <x:c r="D242" s="12" t="str">
        <x:v>long_work:client</x:v>
      </x:c>
      <x:c r="E242" s="13" t="n">
        <x:v>20.52</x:v>
      </x:c>
    </x:row>
    <x:row r="243" ht="34" customHeight="1">
      <x:c r="A243" s="7" t="str">
        <x:v>DP2-B</x:v>
      </x:c>
      <x:c r="B243" s="7" t="str">
        <x:v>U08</x:v>
      </x:c>
      <x:c r="C243" s="14" t="n">
        <x:v>4.694</x:v>
      </x:c>
      <x:c r="D243" s="7" t="str">
        <x:v>valid_audio</x:v>
      </x:c>
      <x:c r="E243" s="14" t="n">
        <x:v>0.144</x:v>
      </x:c>
    </x:row>
    <x:row r="244" ht="34" customHeight="1">
      <x:c r="A244" s="12" t="str">
        <x:v>DP2-B</x:v>
      </x:c>
      <x:c r="B244" s="12" t="str">
        <x:v>U09</x:v>
      </x:c>
      <x:c r="C244" s="13" t="n">
        <x:v>0.46</x:v>
      </x:c>
      <x:c r="D244" s="12" t="str">
        <x:v>core_ui_mb</x:v>
      </x:c>
      <x:c r="E244" s="13" t="n">
        <x:v>180</x:v>
      </x:c>
    </x:row>
    <x:row r="245" ht="34" customHeight="1">
      <x:c r="A245" s="7" t="str">
        <x:v>DP2-B</x:v>
      </x:c>
      <x:c r="B245" s="7" t="str">
        <x:v>U09</x:v>
      </x:c>
      <x:c r="C245" s="14" t="n">
        <x:v>0.46</x:v>
      </x:c>
      <x:c r="D245" s="7" t="str">
        <x:v>asr_audio_mb</x:v>
      </x:c>
      <x:c r="E245" s="14" t="n">
        <x:v>220</x:v>
      </x:c>
    </x:row>
    <x:row r="246" ht="34" customHeight="1">
      <x:c r="A246" s="12" t="str">
        <x:v>DP2-B</x:v>
      </x:c>
      <x:c r="B246" s="12" t="str">
        <x:v>U09</x:v>
      </x:c>
      <x:c r="C246" s="13" t="n">
        <x:v>0.46</x:v>
      </x:c>
      <x:c r="D246" s="12" t="str">
        <x:v>source_ring_mb</x:v>
      </x:c>
      <x:c r="E246" s="13" t="n">
        <x:v>96</x:v>
      </x:c>
    </x:row>
    <x:row r="247" ht="34" customHeight="1">
      <x:c r="A247" s="7" t="str">
        <x:v>DP2-B</x:v>
      </x:c>
      <x:c r="B247" s="7" t="str">
        <x:v>U09</x:v>
      </x:c>
      <x:c r="C247" s="14" t="n">
        <x:v>0.46</x:v>
      </x:c>
      <x:c r="D247" s="7" t="str">
        <x:v>common_history_mb</x:v>
      </x:c>
      <x:c r="E247" s="14" t="n">
        <x:v>64</x:v>
      </x:c>
    </x:row>
    <x:row r="248" ht="34" customHeight="1">
      <x:c r="A248" s="12" t="str">
        <x:v>DP2-B</x:v>
      </x:c>
      <x:c r="B248" s="12" t="str">
        <x:v>U09</x:v>
      </x:c>
      <x:c r="C248" s="13" t="n">
        <x:v>0.46</x:v>
      </x:c>
      <x:c r="D248" s="12" t="str">
        <x:v>request</x:v>
      </x:c>
      <x:c r="E248" s="13" t="n">
        <x:v>11</x:v>
      </x:c>
    </x:row>
    <x:row r="249" ht="34" customHeight="1">
      <x:c r="A249" s="7" t="str">
        <x:v>DP2-B</x:v>
      </x:c>
      <x:c r="B249" s="7" t="str">
        <x:v>U09</x:v>
      </x:c>
      <x:c r="C249" s="14" t="n">
        <x:v>0.46</x:v>
      </x:c>
      <x:c r="D249" s="7" t="str">
        <x:v>meaning:client</x:v>
      </x:c>
      <x:c r="E249" s="14" t="n">
        <x:v>17.4</x:v>
      </x:c>
    </x:row>
    <x:row r="250" ht="34" customHeight="1">
      <x:c r="A250" s="12" t="str">
        <x:v>DP2-B</x:v>
      </x:c>
      <x:c r="B250" s="12" t="str">
        <x:v>U09</x:v>
      </x:c>
      <x:c r="C250" s="13" t="n">
        <x:v>0.46</x:v>
      </x:c>
      <x:c r="D250" s="12" t="str">
        <x:v>valid_audio</x:v>
      </x:c>
      <x:c r="E250" s="13" t="n">
        <x:v>0</x:v>
      </x:c>
    </x:row>
    <x:row r="251" ht="34" customHeight="1">
      <x:c r="A251" s="7" t="str">
        <x:v>DP2-B</x:v>
      </x:c>
      <x:c r="B251" s="7" t="str">
        <x:v>U10</x:v>
      </x:c>
      <x:c r="C251" s="14" t="n">
        <x:v>0.38</x:v>
      </x:c>
      <x:c r="D251" s="7" t="str">
        <x:v>core_ui_mb</x:v>
      </x:c>
      <x:c r="E251" s="14" t="n">
        <x:v>180</x:v>
      </x:c>
    </x:row>
    <x:row r="252" ht="34" customHeight="1">
      <x:c r="A252" s="12" t="str">
        <x:v>DP2-B</x:v>
      </x:c>
      <x:c r="B252" s="12" t="str">
        <x:v>U10</x:v>
      </x:c>
      <x:c r="C252" s="13" t="n">
        <x:v>0.38</x:v>
      </x:c>
      <x:c r="D252" s="12" t="str">
        <x:v>asr_audio_mb</x:v>
      </x:c>
      <x:c r="E252" s="13" t="n">
        <x:v>220</x:v>
      </x:c>
    </x:row>
    <x:row r="253" ht="34" customHeight="1">
      <x:c r="A253" s="7" t="str">
        <x:v>DP2-B</x:v>
      </x:c>
      <x:c r="B253" s="7" t="str">
        <x:v>U10</x:v>
      </x:c>
      <x:c r="C253" s="14" t="n">
        <x:v>0.38</x:v>
      </x:c>
      <x:c r="D253" s="7" t="str">
        <x:v>source_ring_mb</x:v>
      </x:c>
      <x:c r="E253" s="14" t="n">
        <x:v>96</x:v>
      </x:c>
    </x:row>
    <x:row r="254" ht="34" customHeight="1">
      <x:c r="A254" s="12" t="str">
        <x:v>DP2-B</x:v>
      </x:c>
      <x:c r="B254" s="12" t="str">
        <x:v>U10</x:v>
      </x:c>
      <x:c r="C254" s="13" t="n">
        <x:v>0.38</x:v>
      </x:c>
      <x:c r="D254" s="12" t="str">
        <x:v>common_history_mb</x:v>
      </x:c>
      <x:c r="E254" s="13" t="n">
        <x:v>64</x:v>
      </x:c>
    </x:row>
    <x:row r="255" ht="34" customHeight="1">
      <x:c r="A255" s="7" t="str">
        <x:v>DP2-B</x:v>
      </x:c>
      <x:c r="B255" s="7" t="str">
        <x:v>U10</x:v>
      </x:c>
      <x:c r="C255" s="14" t="n">
        <x:v>0.38</x:v>
      </x:c>
      <x:c r="D255" s="7" t="str">
        <x:v>request</x:v>
      </x:c>
      <x:c r="E255" s="14" t="n">
        <x:v>11</x:v>
      </x:c>
    </x:row>
    <x:row r="256" ht="34" customHeight="1">
      <x:c r="A256" s="12" t="str">
        <x:v>DP2-B</x:v>
      </x:c>
      <x:c r="B256" s="12" t="str">
        <x:v>U10</x:v>
      </x:c>
      <x:c r="C256" s="13" t="n">
        <x:v>0.38</x:v>
      </x:c>
      <x:c r="D256" s="12" t="str">
        <x:v>meaning:client</x:v>
      </x:c>
      <x:c r="E256" s="13" t="n">
        <x:v>24.6</x:v>
      </x:c>
    </x:row>
    <x:row r="257" ht="34" customHeight="1">
      <x:c r="A257" s="7" t="str">
        <x:v>DP2-B</x:v>
      </x:c>
      <x:c r="B257" s="7" t="str">
        <x:v>U10</x:v>
      </x:c>
      <x:c r="C257" s="14" t="n">
        <x:v>0.38</x:v>
      </x:c>
      <x:c r="D257" s="7" t="str">
        <x:v>cloud_image_buffer</x:v>
      </x:c>
      <x:c r="E257" s="14" t="n">
        <x:v>32</x:v>
      </x:c>
    </x:row>
    <x:row r="258" ht="34" customHeight="1">
      <x:c r="A258" s="12" t="str">
        <x:v>DP2-B</x:v>
      </x:c>
      <x:c r="B258" s="12" t="str">
        <x:v>U10</x:v>
      </x:c>
      <x:c r="C258" s="13" t="n">
        <x:v>0.38</x:v>
      </x:c>
      <x:c r="D258" s="12" t="str">
        <x:v>valid_audio</x:v>
      </x:c>
      <x:c r="E258" s="13" t="n">
        <x:v>0</x:v>
      </x:c>
    </x:row>
    <x:row r="259" ht="34" customHeight="1">
      <x:c r="A259" s="7" t="str">
        <x:v>DP2-B</x:v>
      </x:c>
      <x:c r="B259" s="7" t="str">
        <x:v>U11</x:v>
      </x:c>
      <x:c r="C259" s="14" t="n">
        <x:v>0.38</x:v>
      </x:c>
      <x:c r="D259" s="7" t="str">
        <x:v>core_ui_mb</x:v>
      </x:c>
      <x:c r="E259" s="14" t="n">
        <x:v>180</x:v>
      </x:c>
    </x:row>
    <x:row r="260" ht="34" customHeight="1">
      <x:c r="A260" s="12" t="str">
        <x:v>DP2-B</x:v>
      </x:c>
      <x:c r="B260" s="12" t="str">
        <x:v>U11</x:v>
      </x:c>
      <x:c r="C260" s="13" t="n">
        <x:v>0.38</x:v>
      </x:c>
      <x:c r="D260" s="12" t="str">
        <x:v>asr_audio_mb</x:v>
      </x:c>
      <x:c r="E260" s="13" t="n">
        <x:v>220</x:v>
      </x:c>
    </x:row>
    <x:row r="261" ht="34" customHeight="1">
      <x:c r="A261" s="7" t="str">
        <x:v>DP2-B</x:v>
      </x:c>
      <x:c r="B261" s="7" t="str">
        <x:v>U11</x:v>
      </x:c>
      <x:c r="C261" s="14" t="n">
        <x:v>0.38</x:v>
      </x:c>
      <x:c r="D261" s="7" t="str">
        <x:v>source_ring_mb</x:v>
      </x:c>
      <x:c r="E261" s="14" t="n">
        <x:v>96</x:v>
      </x:c>
    </x:row>
    <x:row r="262" ht="34" customHeight="1">
      <x:c r="A262" s="12" t="str">
        <x:v>DP2-B</x:v>
      </x:c>
      <x:c r="B262" s="12" t="str">
        <x:v>U11</x:v>
      </x:c>
      <x:c r="C262" s="13" t="n">
        <x:v>0.38</x:v>
      </x:c>
      <x:c r="D262" s="12" t="str">
        <x:v>common_history_mb</x:v>
      </x:c>
      <x:c r="E262" s="13" t="n">
        <x:v>64</x:v>
      </x:c>
    </x:row>
    <x:row r="263" ht="34" customHeight="1">
      <x:c r="A263" s="7" t="str">
        <x:v>DP2-B</x:v>
      </x:c>
      <x:c r="B263" s="7" t="str">
        <x:v>U11</x:v>
      </x:c>
      <x:c r="C263" s="14" t="n">
        <x:v>0.38</x:v>
      </x:c>
      <x:c r="D263" s="7" t="str">
        <x:v>request</x:v>
      </x:c>
      <x:c r="E263" s="14" t="n">
        <x:v>11</x:v>
      </x:c>
    </x:row>
    <x:row r="264" ht="34" customHeight="1">
      <x:c r="A264" s="12" t="str">
        <x:v>DP2-B</x:v>
      </x:c>
      <x:c r="B264" s="12" t="str">
        <x:v>U11</x:v>
      </x:c>
      <x:c r="C264" s="13" t="n">
        <x:v>0.38</x:v>
      </x:c>
      <x:c r="D264" s="12" t="str">
        <x:v>meaning:client</x:v>
      </x:c>
      <x:c r="E264" s="13" t="n">
        <x:v>31.8</x:v>
      </x:c>
    </x:row>
    <x:row r="265" ht="34" customHeight="1">
      <x:c r="A265" s="7" t="str">
        <x:v>DP2-B</x:v>
      </x:c>
      <x:c r="B265" s="7" t="str">
        <x:v>U11</x:v>
      </x:c>
      <x:c r="C265" s="14" t="n">
        <x:v>0.38</x:v>
      </x:c>
      <x:c r="D265" s="7" t="str">
        <x:v>cloud_image_buffer</x:v>
      </x:c>
      <x:c r="E265" s="14" t="n">
        <x:v>32</x:v>
      </x:c>
    </x:row>
    <x:row r="266" ht="34" customHeight="1">
      <x:c r="A266" s="12" t="str">
        <x:v>DP2-B</x:v>
      </x:c>
      <x:c r="B266" s="12" t="str">
        <x:v>U11</x:v>
      </x:c>
      <x:c r="C266" s="13" t="n">
        <x:v>0.38</x:v>
      </x:c>
      <x:c r="D266" s="12" t="str">
        <x:v>valid_audio</x:v>
      </x:c>
      <x:c r="E266" s="13" t="n">
        <x:v>0</x:v>
      </x:c>
    </x:row>
    <x:row r="267" ht="34" customHeight="1">
      <x:c r="A267" s="7" t="str">
        <x:v>DP2-B</x:v>
      </x:c>
      <x:c r="B267" s="7" t="str">
        <x:v>U12</x:v>
      </x:c>
      <x:c r="C267" s="14" t="n">
        <x:v>0.46</x:v>
      </x:c>
      <x:c r="D267" s="7" t="str">
        <x:v>core_ui_mb</x:v>
      </x:c>
      <x:c r="E267" s="14" t="n">
        <x:v>180</x:v>
      </x:c>
    </x:row>
    <x:row r="268" ht="34" customHeight="1">
      <x:c r="A268" s="12" t="str">
        <x:v>DP2-B</x:v>
      </x:c>
      <x:c r="B268" s="12" t="str">
        <x:v>U12</x:v>
      </x:c>
      <x:c r="C268" s="13" t="n">
        <x:v>0.46</x:v>
      </x:c>
      <x:c r="D268" s="12" t="str">
        <x:v>asr_audio_mb</x:v>
      </x:c>
      <x:c r="E268" s="13" t="n">
        <x:v>220</x:v>
      </x:c>
    </x:row>
    <x:row r="269" ht="34" customHeight="1">
      <x:c r="A269" s="7" t="str">
        <x:v>DP2-B</x:v>
      </x:c>
      <x:c r="B269" s="7" t="str">
        <x:v>U12</x:v>
      </x:c>
      <x:c r="C269" s="14" t="n">
        <x:v>0.46</x:v>
      </x:c>
      <x:c r="D269" s="7" t="str">
        <x:v>source_ring_mb</x:v>
      </x:c>
      <x:c r="E269" s="14" t="n">
        <x:v>96</x:v>
      </x:c>
    </x:row>
    <x:row r="270" ht="34" customHeight="1">
      <x:c r="A270" s="12" t="str">
        <x:v>DP2-B</x:v>
      </x:c>
      <x:c r="B270" s="12" t="str">
        <x:v>U12</x:v>
      </x:c>
      <x:c r="C270" s="13" t="n">
        <x:v>0.46</x:v>
      </x:c>
      <x:c r="D270" s="12" t="str">
        <x:v>common_history_mb</x:v>
      </x:c>
      <x:c r="E270" s="13" t="n">
        <x:v>64</x:v>
      </x:c>
    </x:row>
    <x:row r="271" ht="34" customHeight="1">
      <x:c r="A271" s="7" t="str">
        <x:v>DP2-B</x:v>
      </x:c>
      <x:c r="B271" s="7" t="str">
        <x:v>U12</x:v>
      </x:c>
      <x:c r="C271" s="14" t="n">
        <x:v>0.46</x:v>
      </x:c>
      <x:c r="D271" s="7" t="str">
        <x:v>request</x:v>
      </x:c>
      <x:c r="E271" s="14" t="n">
        <x:v>11</x:v>
      </x:c>
    </x:row>
    <x:row r="272" ht="34" customHeight="1">
      <x:c r="A272" s="12" t="str">
        <x:v>DP2-B</x:v>
      </x:c>
      <x:c r="B272" s="12" t="str">
        <x:v>U12</x:v>
      </x:c>
      <x:c r="C272" s="13" t="n">
        <x:v>0.46</x:v>
      </x:c>
      <x:c r="D272" s="12" t="str">
        <x:v>meaning:client</x:v>
      </x:c>
      <x:c r="E272" s="13" t="n">
        <x:v>17.4</x:v>
      </x:c>
    </x:row>
    <x:row r="273" ht="34" customHeight="1">
      <x:c r="A273" s="7" t="str">
        <x:v>DP2-B</x:v>
      </x:c>
      <x:c r="B273" s="7" t="str">
        <x:v>U12</x:v>
      </x:c>
      <x:c r="C273" s="14" t="n">
        <x:v>0.46</x:v>
      </x:c>
      <x:c r="D273" s="7" t="str">
        <x:v>valid_audio</x:v>
      </x:c>
      <x:c r="E273" s="14" t="n">
        <x:v>0</x:v>
      </x:c>
    </x:row>
    <x:row r="274" ht="34" customHeight="1">
      <x:c r="A274" s="12" t="str">
        <x:v>DP2-B</x:v>
      </x:c>
      <x:c r="B274" s="12" t="str">
        <x:v>U13</x:v>
      </x:c>
      <x:c r="C274" s="13" t="n">
        <x:v>0.14</x:v>
      </x:c>
      <x:c r="D274" s="12" t="str">
        <x:v>core_ui_mb</x:v>
      </x:c>
      <x:c r="E274" s="13" t="n">
        <x:v>180</x:v>
      </x:c>
    </x:row>
    <x:row r="275" ht="34" customHeight="1">
      <x:c r="A275" s="7" t="str">
        <x:v>DP2-B</x:v>
      </x:c>
      <x:c r="B275" s="7" t="str">
        <x:v>U13</x:v>
      </x:c>
      <x:c r="C275" s="14" t="n">
        <x:v>0.14</x:v>
      </x:c>
      <x:c r="D275" s="7" t="str">
        <x:v>asr_audio_mb</x:v>
      </x:c>
      <x:c r="E275" s="14" t="n">
        <x:v>220</x:v>
      </x:c>
    </x:row>
    <x:row r="276" ht="34" customHeight="1">
      <x:c r="A276" s="12" t="str">
        <x:v>DP2-B</x:v>
      </x:c>
      <x:c r="B276" s="12" t="str">
        <x:v>U13</x:v>
      </x:c>
      <x:c r="C276" s="13" t="n">
        <x:v>0.14</x:v>
      </x:c>
      <x:c r="D276" s="12" t="str">
        <x:v>source_ring_mb</x:v>
      </x:c>
      <x:c r="E276" s="13" t="n">
        <x:v>96</x:v>
      </x:c>
    </x:row>
    <x:row r="277" ht="34" customHeight="1">
      <x:c r="A277" s="7" t="str">
        <x:v>DP2-B</x:v>
      </x:c>
      <x:c r="B277" s="7" t="str">
        <x:v>U13</x:v>
      </x:c>
      <x:c r="C277" s="14" t="n">
        <x:v>0.14</x:v>
      </x:c>
      <x:c r="D277" s="7" t="str">
        <x:v>common_history_mb</x:v>
      </x:c>
      <x:c r="E277" s="14" t="n">
        <x:v>64</x:v>
      </x:c>
    </x:row>
    <x:row r="278" ht="34" customHeight="1">
      <x:c r="A278" s="12" t="str">
        <x:v>DP2-B</x:v>
      </x:c>
      <x:c r="B278" s="12" t="str">
        <x:v>U13</x:v>
      </x:c>
      <x:c r="C278" s="13" t="n">
        <x:v>0.14</x:v>
      </x:c>
      <x:c r="D278" s="12" t="str">
        <x:v>request</x:v>
      </x:c>
      <x:c r="E278" s="13" t="n">
        <x:v>11</x:v>
      </x:c>
    </x:row>
    <x:row r="279" ht="34" customHeight="1">
      <x:c r="A279" s="7" t="str">
        <x:v>DP2-B</x:v>
      </x:c>
      <x:c r="B279" s="7" t="str">
        <x:v>U13</x:v>
      </x:c>
      <x:c r="C279" s="14" t="n">
        <x:v>0.14</x:v>
      </x:c>
      <x:c r="D279" s="7" t="str">
        <x:v>meaning:client</x:v>
      </x:c>
      <x:c r="E279" s="14" t="n">
        <x:v>17.4</x:v>
      </x:c>
    </x:row>
    <x:row r="280" ht="34" customHeight="1">
      <x:c r="A280" s="12" t="str">
        <x:v>DP2-B</x:v>
      </x:c>
      <x:c r="B280" s="12" t="str">
        <x:v>U13</x:v>
      </x:c>
      <x:c r="C280" s="13" t="n">
        <x:v>0.14</x:v>
      </x:c>
      <x:c r="D280" s="12" t="str">
        <x:v>valid_audio</x:v>
      </x:c>
      <x:c r="E280" s="13" t="n">
        <x:v>0</x:v>
      </x:c>
    </x:row>
    <x:row r="281" ht="34" customHeight="1">
      <x:c r="A281" s="7" t="str">
        <x:v>DP2-B</x:v>
      </x:c>
      <x:c r="B281" s="7" t="str">
        <x:v>U14</x:v>
      </x:c>
      <x:c r="C281" s="14" t="n">
        <x:v>0.38</x:v>
      </x:c>
      <x:c r="D281" s="7" t="str">
        <x:v>core_ui_mb</x:v>
      </x:c>
      <x:c r="E281" s="14" t="n">
        <x:v>180</x:v>
      </x:c>
    </x:row>
    <x:row r="282" ht="34" customHeight="1">
      <x:c r="A282" s="12" t="str">
        <x:v>DP2-B</x:v>
      </x:c>
      <x:c r="B282" s="12" t="str">
        <x:v>U14</x:v>
      </x:c>
      <x:c r="C282" s="13" t="n">
        <x:v>0.38</x:v>
      </x:c>
      <x:c r="D282" s="12" t="str">
        <x:v>asr_audio_mb</x:v>
      </x:c>
      <x:c r="E282" s="13" t="n">
        <x:v>220</x:v>
      </x:c>
    </x:row>
    <x:row r="283" ht="34" customHeight="1">
      <x:c r="A283" s="7" t="str">
        <x:v>DP2-B</x:v>
      </x:c>
      <x:c r="B283" s="7" t="str">
        <x:v>U14</x:v>
      </x:c>
      <x:c r="C283" s="14" t="n">
        <x:v>0.38</x:v>
      </x:c>
      <x:c r="D283" s="7" t="str">
        <x:v>source_ring_mb</x:v>
      </x:c>
      <x:c r="E283" s="14" t="n">
        <x:v>96</x:v>
      </x:c>
    </x:row>
    <x:row r="284" ht="34" customHeight="1">
      <x:c r="A284" s="12" t="str">
        <x:v>DP2-B</x:v>
      </x:c>
      <x:c r="B284" s="12" t="str">
        <x:v>U14</x:v>
      </x:c>
      <x:c r="C284" s="13" t="n">
        <x:v>0.38</x:v>
      </x:c>
      <x:c r="D284" s="12" t="str">
        <x:v>common_history_mb</x:v>
      </x:c>
      <x:c r="E284" s="13" t="n">
        <x:v>64</x:v>
      </x:c>
    </x:row>
    <x:row r="285" ht="34" customHeight="1">
      <x:c r="A285" s="7" t="str">
        <x:v>DP2-B</x:v>
      </x:c>
      <x:c r="B285" s="7" t="str">
        <x:v>U14</x:v>
      </x:c>
      <x:c r="C285" s="14" t="n">
        <x:v>0.38</x:v>
      </x:c>
      <x:c r="D285" s="7" t="str">
        <x:v>request</x:v>
      </x:c>
      <x:c r="E285" s="14" t="n">
        <x:v>11</x:v>
      </x:c>
    </x:row>
    <x:row r="286" ht="34" customHeight="1">
      <x:c r="A286" s="12" t="str">
        <x:v>DP2-B</x:v>
      </x:c>
      <x:c r="B286" s="12" t="str">
        <x:v>U14</x:v>
      </x:c>
      <x:c r="C286" s="13" t="n">
        <x:v>0.38</x:v>
      </x:c>
      <x:c r="D286" s="12" t="str">
        <x:v>meaning:client</x:v>
      </x:c>
      <x:c r="E286" s="13" t="n">
        <x:v>27</x:v>
      </x:c>
    </x:row>
    <x:row r="287" ht="34" customHeight="1">
      <x:c r="A287" s="7" t="str">
        <x:v>DP2-B</x:v>
      </x:c>
      <x:c r="B287" s="7" t="str">
        <x:v>U14</x:v>
      </x:c>
      <x:c r="C287" s="14" t="n">
        <x:v>0.38</x:v>
      </x:c>
      <x:c r="D287" s="7" t="str">
        <x:v>valid_audio</x:v>
      </x:c>
      <x:c r="E287" s="14" t="n">
        <x:v>0</x:v>
      </x:c>
    </x:row>
    <x:row r="288" ht="34" customHeight="1">
      <x:c r="A288" s="12" t="str">
        <x:v>DP2-B</x:v>
      </x:c>
      <x:c r="B288" s="12" t="str">
        <x:v>U15</x:v>
      </x:c>
      <x:c r="C288" s="13" t="n">
        <x:v>0.14</x:v>
      </x:c>
      <x:c r="D288" s="12" t="str">
        <x:v>core_ui_mb</x:v>
      </x:c>
      <x:c r="E288" s="13" t="n">
        <x:v>180</x:v>
      </x:c>
    </x:row>
    <x:row r="289" ht="34" customHeight="1">
      <x:c r="A289" s="7" t="str">
        <x:v>DP2-B</x:v>
      </x:c>
      <x:c r="B289" s="7" t="str">
        <x:v>U15</x:v>
      </x:c>
      <x:c r="C289" s="14" t="n">
        <x:v>0.14</x:v>
      </x:c>
      <x:c r="D289" s="7" t="str">
        <x:v>asr_audio_mb</x:v>
      </x:c>
      <x:c r="E289" s="14" t="n">
        <x:v>220</x:v>
      </x:c>
    </x:row>
    <x:row r="290" ht="34" customHeight="1">
      <x:c r="A290" s="12" t="str">
        <x:v>DP2-B</x:v>
      </x:c>
      <x:c r="B290" s="12" t="str">
        <x:v>U15</x:v>
      </x:c>
      <x:c r="C290" s="13" t="n">
        <x:v>0.14</x:v>
      </x:c>
      <x:c r="D290" s="12" t="str">
        <x:v>source_ring_mb</x:v>
      </x:c>
      <x:c r="E290" s="13" t="n">
        <x:v>96</x:v>
      </x:c>
    </x:row>
    <x:row r="291" ht="34" customHeight="1">
      <x:c r="A291" s="7" t="str">
        <x:v>DP2-B</x:v>
      </x:c>
      <x:c r="B291" s="7" t="str">
        <x:v>U15</x:v>
      </x:c>
      <x:c r="C291" s="14" t="n">
        <x:v>0.14</x:v>
      </x:c>
      <x:c r="D291" s="7" t="str">
        <x:v>common_history_mb</x:v>
      </x:c>
      <x:c r="E291" s="14" t="n">
        <x:v>64</x:v>
      </x:c>
    </x:row>
    <x:row r="292" ht="34" customHeight="1">
      <x:c r="A292" s="12" t="str">
        <x:v>DP2-B</x:v>
      </x:c>
      <x:c r="B292" s="12" t="str">
        <x:v>U15</x:v>
      </x:c>
      <x:c r="C292" s="13" t="n">
        <x:v>0.14</x:v>
      </x:c>
      <x:c r="D292" s="12" t="str">
        <x:v>request</x:v>
      </x:c>
      <x:c r="E292" s="13" t="n">
        <x:v>11</x:v>
      </x:c>
    </x:row>
    <x:row r="293" ht="34" customHeight="1">
      <x:c r="A293" s="7" t="str">
        <x:v>DP2-B</x:v>
      </x:c>
      <x:c r="B293" s="7" t="str">
        <x:v>U15</x:v>
      </x:c>
      <x:c r="C293" s="14" t="n">
        <x:v>0.14</x:v>
      </x:c>
      <x:c r="D293" s="7" t="str">
        <x:v>meaning:client</x:v>
      </x:c>
      <x:c r="E293" s="14" t="n">
        <x:v>17.4</x:v>
      </x:c>
    </x:row>
    <x:row r="294" ht="34" customHeight="1">
      <x:c r="A294" s="12" t="str">
        <x:v>DP2-B</x:v>
      </x:c>
      <x:c r="B294" s="12" t="str">
        <x:v>U15</x:v>
      </x:c>
      <x:c r="C294" s="13" t="n">
        <x:v>0.14</x:v>
      </x:c>
      <x:c r="D294" s="12" t="str">
        <x:v>valid_audio</x:v>
      </x:c>
      <x:c r="E294" s="13" t="n">
        <x:v>0</x:v>
      </x:c>
    </x:row>
    <x:row r="295" ht="34" customHeight="1">
      <x:c r="A295" s="7" t="str">
        <x:v>DP2-B</x:v>
      </x:c>
      <x:c r="B295" s="7" t="str">
        <x:v>U16</x:v>
      </x:c>
      <x:c r="C295" s="14" t="n">
        <x:v>0.38</x:v>
      </x:c>
      <x:c r="D295" s="7" t="str">
        <x:v>core_ui_mb</x:v>
      </x:c>
      <x:c r="E295" s="14" t="n">
        <x:v>180</x:v>
      </x:c>
    </x:row>
    <x:row r="296" ht="34" customHeight="1">
      <x:c r="A296" s="12" t="str">
        <x:v>DP2-B</x:v>
      </x:c>
      <x:c r="B296" s="12" t="str">
        <x:v>U16</x:v>
      </x:c>
      <x:c r="C296" s="13" t="n">
        <x:v>0.38</x:v>
      </x:c>
      <x:c r="D296" s="12" t="str">
        <x:v>asr_audio_mb</x:v>
      </x:c>
      <x:c r="E296" s="13" t="n">
        <x:v>220</x:v>
      </x:c>
    </x:row>
    <x:row r="297" ht="34" customHeight="1">
      <x:c r="A297" s="7" t="str">
        <x:v>DP2-B</x:v>
      </x:c>
      <x:c r="B297" s="7" t="str">
        <x:v>U16</x:v>
      </x:c>
      <x:c r="C297" s="14" t="n">
        <x:v>0.38</x:v>
      </x:c>
      <x:c r="D297" s="7" t="str">
        <x:v>source_ring_mb</x:v>
      </x:c>
      <x:c r="E297" s="14" t="n">
        <x:v>96</x:v>
      </x:c>
    </x:row>
    <x:row r="298" ht="34" customHeight="1">
      <x:c r="A298" s="12" t="str">
        <x:v>DP2-B</x:v>
      </x:c>
      <x:c r="B298" s="12" t="str">
        <x:v>U16</x:v>
      </x:c>
      <x:c r="C298" s="13" t="n">
        <x:v>0.38</x:v>
      </x:c>
      <x:c r="D298" s="12" t="str">
        <x:v>common_history_mb</x:v>
      </x:c>
      <x:c r="E298" s="13" t="n">
        <x:v>64</x:v>
      </x:c>
    </x:row>
    <x:row r="299" ht="34" customHeight="1">
      <x:c r="A299" s="7" t="str">
        <x:v>DP2-B</x:v>
      </x:c>
      <x:c r="B299" s="7" t="str">
        <x:v>U16</x:v>
      </x:c>
      <x:c r="C299" s="14" t="n">
        <x:v>0.38</x:v>
      </x:c>
      <x:c r="D299" s="7" t="str">
        <x:v>request</x:v>
      </x:c>
      <x:c r="E299" s="14" t="n">
        <x:v>11</x:v>
      </x:c>
    </x:row>
    <x:row r="300" ht="34" customHeight="1">
      <x:c r="A300" s="12" t="str">
        <x:v>DP2-B</x:v>
      </x:c>
      <x:c r="B300" s="12" t="str">
        <x:v>U16</x:v>
      </x:c>
      <x:c r="C300" s="13" t="n">
        <x:v>0.38</x:v>
      </x:c>
      <x:c r="D300" s="12" t="str">
        <x:v>meaning:client</x:v>
      </x:c>
      <x:c r="E300" s="13" t="n">
        <x:v>27</x:v>
      </x:c>
    </x:row>
    <x:row r="301" ht="34" customHeight="1">
      <x:c r="A301" s="7" t="str">
        <x:v>DP2-B</x:v>
      </x:c>
      <x:c r="B301" s="7" t="str">
        <x:v>U16</x:v>
      </x:c>
      <x:c r="C301" s="14" t="n">
        <x:v>0.38</x:v>
      </x:c>
      <x:c r="D301" s="7" t="str">
        <x:v>valid_audio</x:v>
      </x:c>
      <x:c r="E301" s="14" t="n">
        <x:v>0</x:v>
      </x:c>
    </x:row>
    <x:row r="302" ht="34" customHeight="1">
      <x:c r="A302" s="12" t="str">
        <x:v>DP2-B</x:v>
      </x:c>
      <x:c r="B302" s="12" t="str">
        <x:v>U17</x:v>
      </x:c>
      <x:c r="C302" s="13" t="n">
        <x:v>0.3906666666666667</x:v>
      </x:c>
      <x:c r="D302" s="12" t="str">
        <x:v>core_ui_mb</x:v>
      </x:c>
      <x:c r="E302" s="13" t="n">
        <x:v>180</x:v>
      </x:c>
    </x:row>
    <x:row r="303" ht="34" customHeight="1">
      <x:c r="A303" s="7" t="str">
        <x:v>DP2-B</x:v>
      </x:c>
      <x:c r="B303" s="7" t="str">
        <x:v>U17</x:v>
      </x:c>
      <x:c r="C303" s="14" t="n">
        <x:v>0.3906666666666667</x:v>
      </x:c>
      <x:c r="D303" s="7" t="str">
        <x:v>asr_audio_mb</x:v>
      </x:c>
      <x:c r="E303" s="14" t="n">
        <x:v>220</x:v>
      </x:c>
    </x:row>
    <x:row r="304" ht="34" customHeight="1">
      <x:c r="A304" s="12" t="str">
        <x:v>DP2-B</x:v>
      </x:c>
      <x:c r="B304" s="12" t="str">
        <x:v>U17</x:v>
      </x:c>
      <x:c r="C304" s="13" t="n">
        <x:v>0.3906666666666667</x:v>
      </x:c>
      <x:c r="D304" s="12" t="str">
        <x:v>source_ring_mb</x:v>
      </x:c>
      <x:c r="E304" s="13" t="n">
        <x:v>96</x:v>
      </x:c>
    </x:row>
    <x:row r="305" ht="34" customHeight="1">
      <x:c r="A305" s="7" t="str">
        <x:v>DP2-B</x:v>
      </x:c>
      <x:c r="B305" s="7" t="str">
        <x:v>U17</x:v>
      </x:c>
      <x:c r="C305" s="14" t="n">
        <x:v>0.3906666666666667</x:v>
      </x:c>
      <x:c r="D305" s="7" t="str">
        <x:v>common_history_mb</x:v>
      </x:c>
      <x:c r="E305" s="14" t="n">
        <x:v>64</x:v>
      </x:c>
    </x:row>
    <x:row r="306" ht="34" customHeight="1">
      <x:c r="A306" s="12" t="str">
        <x:v>DP2-B</x:v>
      </x:c>
      <x:c r="B306" s="12" t="str">
        <x:v>U17</x:v>
      </x:c>
      <x:c r="C306" s="13" t="n">
        <x:v>0.3906666666666667</x:v>
      </x:c>
      <x:c r="D306" s="12" t="str">
        <x:v>request</x:v>
      </x:c>
      <x:c r="E306" s="13" t="n">
        <x:v>11</x:v>
      </x:c>
    </x:row>
    <x:row r="307" ht="34" customHeight="1">
      <x:c r="A307" s="7" t="str">
        <x:v>DP2-B</x:v>
      </x:c>
      <x:c r="B307" s="7" t="str">
        <x:v>U17</x:v>
      </x:c>
      <x:c r="C307" s="14" t="n">
        <x:v>0.3906666666666667</x:v>
      </x:c>
      <x:c r="D307" s="7" t="str">
        <x:v>meaning:client</x:v>
      </x:c>
      <x:c r="E307" s="14" t="n">
        <x:v>17.4</x:v>
      </x:c>
    </x:row>
    <x:row r="308" ht="34" customHeight="1">
      <x:c r="A308" s="12" t="str">
        <x:v>DP2-B</x:v>
      </x:c>
      <x:c r="B308" s="12" t="str">
        <x:v>U17</x:v>
      </x:c>
      <x:c r="C308" s="13" t="n">
        <x:v>0.3906666666666667</x:v>
      </x:c>
      <x:c r="D308" s="12" t="str">
        <x:v>valid_audio</x:v>
      </x:c>
      <x:c r="E308" s="13" t="n">
        <x:v>0.384</x:v>
      </x:c>
    </x:row>
    <x:row r="309" ht="34" customHeight="1">
      <x:c r="A309" s="7" t="str">
        <x:v>DP2-B</x:v>
      </x:c>
      <x:c r="B309" s="7" t="str">
        <x:v>U18</x:v>
      </x:c>
      <x:c r="C309" s="14" t="n">
        <x:v>0.8933333333333335</x:v>
      </x:c>
      <x:c r="D309" s="7" t="str">
        <x:v>core_ui_mb</x:v>
      </x:c>
      <x:c r="E309" s="14" t="n">
        <x:v>180</x:v>
      </x:c>
    </x:row>
    <x:row r="310" ht="34" customHeight="1">
      <x:c r="A310" s="12" t="str">
        <x:v>DP2-B</x:v>
      </x:c>
      <x:c r="B310" s="12" t="str">
        <x:v>U18</x:v>
      </x:c>
      <x:c r="C310" s="13" t="n">
        <x:v>0.8933333333333335</x:v>
      </x:c>
      <x:c r="D310" s="12" t="str">
        <x:v>asr_audio_mb</x:v>
      </x:c>
      <x:c r="E310" s="13" t="n">
        <x:v>220</x:v>
      </x:c>
    </x:row>
    <x:row r="311" ht="34" customHeight="1">
      <x:c r="A311" s="7" t="str">
        <x:v>DP2-B</x:v>
      </x:c>
      <x:c r="B311" s="7" t="str">
        <x:v>U18</x:v>
      </x:c>
      <x:c r="C311" s="14" t="n">
        <x:v>0.8933333333333335</x:v>
      </x:c>
      <x:c r="D311" s="7" t="str">
        <x:v>source_ring_mb</x:v>
      </x:c>
      <x:c r="E311" s="14" t="n">
        <x:v>96</x:v>
      </x:c>
    </x:row>
    <x:row r="312" ht="34" customHeight="1">
      <x:c r="A312" s="12" t="str">
        <x:v>DP2-B</x:v>
      </x:c>
      <x:c r="B312" s="12" t="str">
        <x:v>U18</x:v>
      </x:c>
      <x:c r="C312" s="13" t="n">
        <x:v>0.8933333333333335</x:v>
      </x:c>
      <x:c r="D312" s="12" t="str">
        <x:v>common_history_mb</x:v>
      </x:c>
      <x:c r="E312" s="13" t="n">
        <x:v>64</x:v>
      </x:c>
    </x:row>
    <x:row r="313" ht="34" customHeight="1">
      <x:c r="A313" s="7" t="str">
        <x:v>DP2-B</x:v>
      </x:c>
      <x:c r="B313" s="7" t="str">
        <x:v>U18</x:v>
      </x:c>
      <x:c r="C313" s="14" t="n">
        <x:v>0.8933333333333335</x:v>
      </x:c>
      <x:c r="D313" s="7" t="str">
        <x:v>request</x:v>
      </x:c>
      <x:c r="E313" s="14" t="n">
        <x:v>11</x:v>
      </x:c>
    </x:row>
    <x:row r="314" ht="34" customHeight="1">
      <x:c r="A314" s="12" t="str">
        <x:v>DP2-B</x:v>
      </x:c>
      <x:c r="B314" s="12" t="str">
        <x:v>U18</x:v>
      </x:c>
      <x:c r="C314" s="13" t="n">
        <x:v>0.8933333333333335</x:v>
      </x:c>
      <x:c r="D314" s="12" t="str">
        <x:v>meaning:client</x:v>
      </x:c>
      <x:c r="E314" s="13" t="n">
        <x:v>17.4</x:v>
      </x:c>
    </x:row>
    <x:row r="315" ht="34" customHeight="1">
      <x:c r="A315" s="7" t="str">
        <x:v>DP2-B</x:v>
      </x:c>
      <x:c r="B315" s="7" t="str">
        <x:v>U18</x:v>
      </x:c>
      <x:c r="C315" s="14" t="n">
        <x:v>0.8933333333333335</x:v>
      </x:c>
      <x:c r="D315" s="7" t="str">
        <x:v>valid_audio</x:v>
      </x:c>
      <x:c r="E315" s="14" t="n">
        <x:v>0.864</x:v>
      </x:c>
    </x:row>
    <x:row r="316" ht="34" customHeight="1">
      <x:c r="A316" s="12" t="str">
        <x:v>DP2-B</x:v>
      </x:c>
      <x:c r="B316" s="12" t="str">
        <x:v>U19</x:v>
      </x:c>
      <x:c r="C316" s="13" t="n">
        <x:v>1.47999999</x:v>
      </x:c>
      <x:c r="D316" s="12" t="str">
        <x:v>core_ui_mb</x:v>
      </x:c>
      <x:c r="E316" s="13" t="n">
        <x:v>180</x:v>
      </x:c>
    </x:row>
    <x:row r="317" ht="34" customHeight="1">
      <x:c r="A317" s="7" t="str">
        <x:v>DP2-B</x:v>
      </x:c>
      <x:c r="B317" s="7" t="str">
        <x:v>U19</x:v>
      </x:c>
      <x:c r="C317" s="14" t="n">
        <x:v>1.47999999</x:v>
      </x:c>
      <x:c r="D317" s="7" t="str">
        <x:v>asr_audio_mb</x:v>
      </x:c>
      <x:c r="E317" s="14" t="n">
        <x:v>220</x:v>
      </x:c>
    </x:row>
    <x:row r="318" ht="34" customHeight="1">
      <x:c r="A318" s="12" t="str">
        <x:v>DP2-B</x:v>
      </x:c>
      <x:c r="B318" s="12" t="str">
        <x:v>U19</x:v>
      </x:c>
      <x:c r="C318" s="13" t="n">
        <x:v>1.47999999</x:v>
      </x:c>
      <x:c r="D318" s="12" t="str">
        <x:v>source_ring_mb</x:v>
      </x:c>
      <x:c r="E318" s="13" t="n">
        <x:v>96</x:v>
      </x:c>
    </x:row>
    <x:row r="319" ht="34" customHeight="1">
      <x:c r="A319" s="7" t="str">
        <x:v>DP2-B</x:v>
      </x:c>
      <x:c r="B319" s="7" t="str">
        <x:v>U19</x:v>
      </x:c>
      <x:c r="C319" s="14" t="n">
        <x:v>1.47999999</x:v>
      </x:c>
      <x:c r="D319" s="7" t="str">
        <x:v>common_history_mb</x:v>
      </x:c>
      <x:c r="E319" s="14" t="n">
        <x:v>64</x:v>
      </x:c>
    </x:row>
    <x:row r="320" ht="34" customHeight="1">
      <x:c r="A320" s="12" t="str">
        <x:v>DP2-B</x:v>
      </x:c>
      <x:c r="B320" s="12" t="str">
        <x:v>U19</x:v>
      </x:c>
      <x:c r="C320" s="13" t="n">
        <x:v>1.47999999</x:v>
      </x:c>
      <x:c r="D320" s="12" t="str">
        <x:v>request</x:v>
      </x:c>
      <x:c r="E320" s="13" t="n">
        <x:v>11</x:v>
      </x:c>
    </x:row>
    <x:row r="321" ht="34" customHeight="1">
      <x:c r="A321" s="7" t="str">
        <x:v>DP2-B</x:v>
      </x:c>
      <x:c r="B321" s="7" t="str">
        <x:v>U19</x:v>
      </x:c>
      <x:c r="C321" s="14" t="n">
        <x:v>1.47999999</x:v>
      </x:c>
      <x:c r="D321" s="7" t="str">
        <x:v>meaning:client</x:v>
      </x:c>
      <x:c r="E321" s="14" t="n">
        <x:v>17.4</x:v>
      </x:c>
    </x:row>
    <x:row r="322" ht="34" customHeight="1">
      <x:c r="A322" s="12" t="str">
        <x:v>DP2-B</x:v>
      </x:c>
      <x:c r="B322" s="12" t="str">
        <x:v>U19</x:v>
      </x:c>
      <x:c r="C322" s="13" t="n">
        <x:v>1.47999999</x:v>
      </x:c>
      <x:c r="D322" s="12" t="str">
        <x:v>valid_audio</x:v>
      </x:c>
      <x:c r="E322" s="13" t="n">
        <x:v>0.87398399808</x:v>
      </x:c>
    </x:row>
    <x:row r="323" ht="34" customHeight="1">
      <x:c r="A323" s="7" t="str">
        <x:v>DP2-B</x:v>
      </x:c>
      <x:c r="B323" s="7" t="str">
        <x:v>U20</x:v>
      </x:c>
      <x:c r="C323" s="14" t="n">
        <x:v>0.38</x:v>
      </x:c>
      <x:c r="D323" s="7" t="str">
        <x:v>core_ui_mb</x:v>
      </x:c>
      <x:c r="E323" s="14" t="n">
        <x:v>180</x:v>
      </x:c>
    </x:row>
    <x:row r="324" ht="34" customHeight="1">
      <x:c r="A324" s="12" t="str">
        <x:v>DP2-B</x:v>
      </x:c>
      <x:c r="B324" s="12" t="str">
        <x:v>U20</x:v>
      </x:c>
      <x:c r="C324" s="13" t="n">
        <x:v>0.38</x:v>
      </x:c>
      <x:c r="D324" s="12" t="str">
        <x:v>asr_audio_mb</x:v>
      </x:c>
      <x:c r="E324" s="13" t="n">
        <x:v>220</x:v>
      </x:c>
    </x:row>
    <x:row r="325" ht="34" customHeight="1">
      <x:c r="A325" s="7" t="str">
        <x:v>DP2-B</x:v>
      </x:c>
      <x:c r="B325" s="7" t="str">
        <x:v>U20</x:v>
      </x:c>
      <x:c r="C325" s="14" t="n">
        <x:v>0.38</x:v>
      </x:c>
      <x:c r="D325" s="7" t="str">
        <x:v>source_ring_mb</x:v>
      </x:c>
      <x:c r="E325" s="14" t="n">
        <x:v>96</x:v>
      </x:c>
    </x:row>
    <x:row r="326" ht="34" customHeight="1">
      <x:c r="A326" s="12" t="str">
        <x:v>DP2-B</x:v>
      </x:c>
      <x:c r="B326" s="12" t="str">
        <x:v>U20</x:v>
      </x:c>
      <x:c r="C326" s="13" t="n">
        <x:v>0.38</x:v>
      </x:c>
      <x:c r="D326" s="12" t="str">
        <x:v>common_history_mb</x:v>
      </x:c>
      <x:c r="E326" s="13" t="n">
        <x:v>64</x:v>
      </x:c>
    </x:row>
    <x:row r="327" ht="34" customHeight="1">
      <x:c r="A327" s="7" t="str">
        <x:v>DP2-B</x:v>
      </x:c>
      <x:c r="B327" s="7" t="str">
        <x:v>U20</x:v>
      </x:c>
      <x:c r="C327" s="14" t="n">
        <x:v>0.38</x:v>
      </x:c>
      <x:c r="D327" s="7" t="str">
        <x:v>request</x:v>
      </x:c>
      <x:c r="E327" s="14" t="n">
        <x:v>11</x:v>
      </x:c>
    </x:row>
    <x:row r="328" ht="34" customHeight="1">
      <x:c r="A328" s="12" t="str">
        <x:v>DP2-B</x:v>
      </x:c>
      <x:c r="B328" s="12" t="str">
        <x:v>U20</x:v>
      </x:c>
      <x:c r="C328" s="13" t="n">
        <x:v>0.38</x:v>
      </x:c>
      <x:c r="D328" s="12" t="str">
        <x:v>meaning:client</x:v>
      </x:c>
      <x:c r="E328" s="13" t="n">
        <x:v>17.4</x:v>
      </x:c>
    </x:row>
    <x:row r="329" ht="34" customHeight="1">
      <x:c r="A329" s="7" t="str">
        <x:v>DP2-B</x:v>
      </x:c>
      <x:c r="B329" s="7" t="str">
        <x:v>U20</x:v>
      </x:c>
      <x:c r="C329" s="14" t="n">
        <x:v>0.38</x:v>
      </x:c>
      <x:c r="D329" s="7" t="str">
        <x:v>valid_audio</x:v>
      </x:c>
      <x:c r="E329" s="14" t="n">
        <x:v>0.5760000000000001</x:v>
      </x:c>
    </x:row>
    <x:row r="330" ht="34" customHeight="1">
      <x:c r="A330" s="12" t="str">
        <x:v>DP2-B</x:v>
      </x:c>
      <x:c r="B330" s="12" t="str">
        <x:v>U21</x:v>
      </x:c>
      <x:c r="C330" s="13" t="n">
        <x:v>0.38</x:v>
      </x:c>
      <x:c r="D330" s="12" t="str">
        <x:v>core_ui_mb</x:v>
      </x:c>
      <x:c r="E330" s="13" t="n">
        <x:v>180</x:v>
      </x:c>
    </x:row>
    <x:row r="331" ht="34" customHeight="1">
      <x:c r="A331" s="7" t="str">
        <x:v>DP2-B</x:v>
      </x:c>
      <x:c r="B331" s="7" t="str">
        <x:v>U21</x:v>
      </x:c>
      <x:c r="C331" s="14" t="n">
        <x:v>0.38</x:v>
      </x:c>
      <x:c r="D331" s="7" t="str">
        <x:v>asr_audio_mb</x:v>
      </x:c>
      <x:c r="E331" s="14" t="n">
        <x:v>220</x:v>
      </x:c>
    </x:row>
    <x:row r="332" ht="34" customHeight="1">
      <x:c r="A332" s="12" t="str">
        <x:v>DP2-B</x:v>
      </x:c>
      <x:c r="B332" s="12" t="str">
        <x:v>U21</x:v>
      </x:c>
      <x:c r="C332" s="13" t="n">
        <x:v>0.38</x:v>
      </x:c>
      <x:c r="D332" s="12" t="str">
        <x:v>source_ring_mb</x:v>
      </x:c>
      <x:c r="E332" s="13" t="n">
        <x:v>96</x:v>
      </x:c>
    </x:row>
    <x:row r="333" ht="34" customHeight="1">
      <x:c r="A333" s="7" t="str">
        <x:v>DP2-B</x:v>
      </x:c>
      <x:c r="B333" s="7" t="str">
        <x:v>U21</x:v>
      </x:c>
      <x:c r="C333" s="14" t="n">
        <x:v>0.38</x:v>
      </x:c>
      <x:c r="D333" s="7" t="str">
        <x:v>common_history_mb</x:v>
      </x:c>
      <x:c r="E333" s="14" t="n">
        <x:v>64</x:v>
      </x:c>
    </x:row>
    <x:row r="334" ht="34" customHeight="1">
      <x:c r="A334" s="12" t="str">
        <x:v>DP2-B</x:v>
      </x:c>
      <x:c r="B334" s="12" t="str">
        <x:v>U21</x:v>
      </x:c>
      <x:c r="C334" s="13" t="n">
        <x:v>0.38</x:v>
      </x:c>
      <x:c r="D334" s="12" t="str">
        <x:v>request</x:v>
      </x:c>
      <x:c r="E334" s="13" t="n">
        <x:v>11</x:v>
      </x:c>
    </x:row>
    <x:row r="335" ht="34" customHeight="1">
      <x:c r="A335" s="7" t="str">
        <x:v>DP2-B</x:v>
      </x:c>
      <x:c r="B335" s="7" t="str">
        <x:v>U21</x:v>
      </x:c>
      <x:c r="C335" s="14" t="n">
        <x:v>0.38</x:v>
      </x:c>
      <x:c r="D335" s="7" t="str">
        <x:v>request_execution</x:v>
      </x:c>
      <x:c r="E335" s="14" t="n">
        <x:v>11</x:v>
      </x:c>
    </x:row>
    <x:row r="336" ht="34" customHeight="1">
      <x:c r="A336" s="12" t="str">
        <x:v>DP2-B</x:v>
      </x:c>
      <x:c r="B336" s="12" t="str">
        <x:v>U21</x:v>
      </x:c>
      <x:c r="C336" s="13" t="n">
        <x:v>0.38</x:v>
      </x:c>
      <x:c r="D336" s="12" t="str">
        <x:v>bg1:client</x:v>
      </x:c>
      <x:c r="E336" s="13" t="n">
        <x:v>19.8</x:v>
      </x:c>
    </x:row>
    <x:row r="337" ht="34" customHeight="1">
      <x:c r="A337" s="7" t="str">
        <x:v>DP2-B</x:v>
      </x:c>
      <x:c r="B337" s="7" t="str">
        <x:v>U21</x:v>
      </x:c>
      <x:c r="C337" s="14" t="n">
        <x:v>0.38</x:v>
      </x:c>
      <x:c r="D337" s="7" t="str">
        <x:v>meaning:client</x:v>
      </x:c>
      <x:c r="E337" s="14" t="n">
        <x:v>34.92</x:v>
      </x:c>
    </x:row>
    <x:row r="338" ht="34" customHeight="1">
      <x:c r="A338" s="12" t="str">
        <x:v>DP2-B</x:v>
      </x:c>
      <x:c r="B338" s="12" t="str">
        <x:v>U21</x:v>
      </x:c>
      <x:c r="C338" s="13" t="n">
        <x:v>0.38</x:v>
      </x:c>
      <x:c r="D338" s="12" t="str">
        <x:v>cloud_image_buffer</x:v>
      </x:c>
      <x:c r="E338" s="13" t="n">
        <x:v>32</x:v>
      </x:c>
    </x:row>
    <x:row r="339" ht="34" customHeight="1">
      <x:c r="A339" s="7" t="str">
        <x:v>DP2-B</x:v>
      </x:c>
      <x:c r="B339" s="7" t="str">
        <x:v>U21</x:v>
      </x:c>
      <x:c r="C339" s="14" t="n">
        <x:v>0.38</x:v>
      </x:c>
      <x:c r="D339" s="7" t="str">
        <x:v>valid_audio</x:v>
      </x:c>
      <x:c r="E339" s="14" t="n">
        <x:v>0</x:v>
      </x:c>
    </x:row>
    <x:row r="340" ht="34" customHeight="1">
      <x:c r="A340" s="12" t="str">
        <x:v>DP2-B</x:v>
      </x:c>
      <x:c r="B340" s="12" t="str">
        <x:v>U22</x:v>
      </x:c>
      <x:c r="C340" s="13" t="n">
        <x:v>0.46</x:v>
      </x:c>
      <x:c r="D340" s="12" t="str">
        <x:v>core_ui_mb</x:v>
      </x:c>
      <x:c r="E340" s="13" t="n">
        <x:v>180</x:v>
      </x:c>
    </x:row>
    <x:row r="341" ht="34" customHeight="1">
      <x:c r="A341" s="7" t="str">
        <x:v>DP2-B</x:v>
      </x:c>
      <x:c r="B341" s="7" t="str">
        <x:v>U22</x:v>
      </x:c>
      <x:c r="C341" s="14" t="n">
        <x:v>0.46</x:v>
      </x:c>
      <x:c r="D341" s="7" t="str">
        <x:v>asr_audio_mb</x:v>
      </x:c>
      <x:c r="E341" s="14" t="n">
        <x:v>220</x:v>
      </x:c>
    </x:row>
    <x:row r="342" ht="34" customHeight="1">
      <x:c r="A342" s="12" t="str">
        <x:v>DP2-B</x:v>
      </x:c>
      <x:c r="B342" s="12" t="str">
        <x:v>U22</x:v>
      </x:c>
      <x:c r="C342" s="13" t="n">
        <x:v>0.46</x:v>
      </x:c>
      <x:c r="D342" s="12" t="str">
        <x:v>source_ring_mb</x:v>
      </x:c>
      <x:c r="E342" s="13" t="n">
        <x:v>96</x:v>
      </x:c>
    </x:row>
    <x:row r="343" ht="34" customHeight="1">
      <x:c r="A343" s="7" t="str">
        <x:v>DP2-B</x:v>
      </x:c>
      <x:c r="B343" s="7" t="str">
        <x:v>U22</x:v>
      </x:c>
      <x:c r="C343" s="14" t="n">
        <x:v>0.46</x:v>
      </x:c>
      <x:c r="D343" s="7" t="str">
        <x:v>common_history_mb</x:v>
      </x:c>
      <x:c r="E343" s="14" t="n">
        <x:v>64</x:v>
      </x:c>
    </x:row>
    <x:row r="344" ht="34" customHeight="1">
      <x:c r="A344" s="12" t="str">
        <x:v>DP2-B</x:v>
      </x:c>
      <x:c r="B344" s="12" t="str">
        <x:v>U22</x:v>
      </x:c>
      <x:c r="C344" s="13" t="n">
        <x:v>0.46</x:v>
      </x:c>
      <x:c r="D344" s="12" t="str">
        <x:v>request</x:v>
      </x:c>
      <x:c r="E344" s="13" t="n">
        <x:v>11</x:v>
      </x:c>
    </x:row>
    <x:row r="345" ht="34" customHeight="1">
      <x:c r="A345" s="7" t="str">
        <x:v>DP2-B</x:v>
      </x:c>
      <x:c r="B345" s="7" t="str">
        <x:v>U22</x:v>
      </x:c>
      <x:c r="C345" s="14" t="n">
        <x:v>0.46</x:v>
      </x:c>
      <x:c r="D345" s="7" t="str">
        <x:v>meaning:client</x:v>
      </x:c>
      <x:c r="E345" s="14" t="n">
        <x:v>24.6</x:v>
      </x:c>
    </x:row>
    <x:row r="346" ht="34" customHeight="1">
      <x:c r="A346" s="12" t="str">
        <x:v>DP2-B</x:v>
      </x:c>
      <x:c r="B346" s="12" t="str">
        <x:v>U22</x:v>
      </x:c>
      <x:c r="C346" s="13" t="n">
        <x:v>0.46</x:v>
      </x:c>
      <x:c r="D346" s="12" t="str">
        <x:v>cloud_image_buffer</x:v>
      </x:c>
      <x:c r="E346" s="13" t="n">
        <x:v>32</x:v>
      </x:c>
    </x:row>
    <x:row r="347" ht="34" customHeight="1">
      <x:c r="A347" s="7" t="str">
        <x:v>DP2-B</x:v>
      </x:c>
      <x:c r="B347" s="7" t="str">
        <x:v>U22</x:v>
      </x:c>
      <x:c r="C347" s="14" t="n">
        <x:v>0.46</x:v>
      </x:c>
      <x:c r="D347" s="7" t="str">
        <x:v>valid_audio</x:v>
      </x:c>
      <x:c r="E347" s="14" t="n">
        <x:v>0.28800000000000003</x:v>
      </x:c>
    </x:row>
    <x:row r="348" ht="34" customHeight="1">
      <x:c r="A348" s="12" t="str">
        <x:v>DP2-B</x:v>
      </x:c>
      <x:c r="B348" s="12" t="str">
        <x:v>U23</x:v>
      </x:c>
      <x:c r="C348" s="13" t="n">
        <x:v>0.14</x:v>
      </x:c>
      <x:c r="D348" s="12" t="str">
        <x:v>core_ui_mb</x:v>
      </x:c>
      <x:c r="E348" s="13" t="n">
        <x:v>180</x:v>
      </x:c>
    </x:row>
    <x:row r="349" ht="34" customHeight="1">
      <x:c r="A349" s="7" t="str">
        <x:v>DP2-B</x:v>
      </x:c>
      <x:c r="B349" s="7" t="str">
        <x:v>U23</x:v>
      </x:c>
      <x:c r="C349" s="14" t="n">
        <x:v>0.14</x:v>
      </x:c>
      <x:c r="D349" s="7" t="str">
        <x:v>asr_audio_mb</x:v>
      </x:c>
      <x:c r="E349" s="14" t="n">
        <x:v>220</x:v>
      </x:c>
    </x:row>
    <x:row r="350" ht="34" customHeight="1">
      <x:c r="A350" s="12" t="str">
        <x:v>DP2-B</x:v>
      </x:c>
      <x:c r="B350" s="12" t="str">
        <x:v>U23</x:v>
      </x:c>
      <x:c r="C350" s="13" t="n">
        <x:v>0.14</x:v>
      </x:c>
      <x:c r="D350" s="12" t="str">
        <x:v>source_ring_mb</x:v>
      </x:c>
      <x:c r="E350" s="13" t="n">
        <x:v>96</x:v>
      </x:c>
    </x:row>
    <x:row r="351" ht="34" customHeight="1">
      <x:c r="A351" s="7" t="str">
        <x:v>DP2-B</x:v>
      </x:c>
      <x:c r="B351" s="7" t="str">
        <x:v>U23</x:v>
      </x:c>
      <x:c r="C351" s="14" t="n">
        <x:v>0.14</x:v>
      </x:c>
      <x:c r="D351" s="7" t="str">
        <x:v>common_history_mb</x:v>
      </x:c>
      <x:c r="E351" s="14" t="n">
        <x:v>64</x:v>
      </x:c>
    </x:row>
    <x:row r="352" ht="34" customHeight="1">
      <x:c r="A352" s="12" t="str">
        <x:v>DP2-B</x:v>
      </x:c>
      <x:c r="B352" s="12" t="str">
        <x:v>U23</x:v>
      </x:c>
      <x:c r="C352" s="13" t="n">
        <x:v>0.14</x:v>
      </x:c>
      <x:c r="D352" s="12" t="str">
        <x:v>request</x:v>
      </x:c>
      <x:c r="E352" s="13" t="n">
        <x:v>11</x:v>
      </x:c>
    </x:row>
    <x:row r="353" ht="34" customHeight="1">
      <x:c r="A353" s="7" t="str">
        <x:v>DP2-B</x:v>
      </x:c>
      <x:c r="B353" s="7" t="str">
        <x:v>U23</x:v>
      </x:c>
      <x:c r="C353" s="14" t="n">
        <x:v>0.14</x:v>
      </x:c>
      <x:c r="D353" s="7" t="str">
        <x:v>meaning:client</x:v>
      </x:c>
      <x:c r="E353" s="14" t="n">
        <x:v>27</x:v>
      </x:c>
    </x:row>
    <x:row r="354" ht="34" customHeight="1">
      <x:c r="A354" s="12" t="str">
        <x:v>DP2-B</x:v>
      </x:c>
      <x:c r="B354" s="12" t="str">
        <x:v>U23</x:v>
      </x:c>
      <x:c r="C354" s="13" t="n">
        <x:v>0.14</x:v>
      </x:c>
      <x:c r="D354" s="12" t="str">
        <x:v>valid_audio</x:v>
      </x:c>
      <x:c r="E354" s="13" t="n">
        <x:v>0.28800000000000003</x:v>
      </x:c>
    </x:row>
    <x:row r="355" ht="34" customHeight="1">
      <x:c r="A355" s="7" t="str">
        <x:v>DP2-B</x:v>
      </x:c>
      <x:c r="B355" s="7" t="str">
        <x:v>U24</x:v>
      </x:c>
      <x:c r="C355" s="14" t="n">
        <x:v>0.38</x:v>
      </x:c>
      <x:c r="D355" s="7" t="str">
        <x:v>core_ui_mb</x:v>
      </x:c>
      <x:c r="E355" s="14" t="n">
        <x:v>180</x:v>
      </x:c>
    </x:row>
    <x:row r="356" ht="34" customHeight="1">
      <x:c r="A356" s="12" t="str">
        <x:v>DP2-B</x:v>
      </x:c>
      <x:c r="B356" s="12" t="str">
        <x:v>U24</x:v>
      </x:c>
      <x:c r="C356" s="13" t="n">
        <x:v>0.38</x:v>
      </x:c>
      <x:c r="D356" s="12" t="str">
        <x:v>asr_audio_mb</x:v>
      </x:c>
      <x:c r="E356" s="13" t="n">
        <x:v>220</x:v>
      </x:c>
    </x:row>
    <x:row r="357" ht="34" customHeight="1">
      <x:c r="A357" s="7" t="str">
        <x:v>DP2-B</x:v>
      </x:c>
      <x:c r="B357" s="7" t="str">
        <x:v>U24</x:v>
      </x:c>
      <x:c r="C357" s="14" t="n">
        <x:v>0.38</x:v>
      </x:c>
      <x:c r="D357" s="7" t="str">
        <x:v>source_ring_mb</x:v>
      </x:c>
      <x:c r="E357" s="14" t="n">
        <x:v>96</x:v>
      </x:c>
    </x:row>
    <x:row r="358" ht="34" customHeight="1">
      <x:c r="A358" s="12" t="str">
        <x:v>DP2-B</x:v>
      </x:c>
      <x:c r="B358" s="12" t="str">
        <x:v>U24</x:v>
      </x:c>
      <x:c r="C358" s="13" t="n">
        <x:v>0.38</x:v>
      </x:c>
      <x:c r="D358" s="12" t="str">
        <x:v>common_history_mb</x:v>
      </x:c>
      <x:c r="E358" s="13" t="n">
        <x:v>64</x:v>
      </x:c>
    </x:row>
    <x:row r="359" ht="34" customHeight="1">
      <x:c r="A359" s="7" t="str">
        <x:v>DP2-B</x:v>
      </x:c>
      <x:c r="B359" s="7" t="str">
        <x:v>U24</x:v>
      </x:c>
      <x:c r="C359" s="14" t="n">
        <x:v>0.38</x:v>
      </x:c>
      <x:c r="D359" s="7" t="str">
        <x:v>request</x:v>
      </x:c>
      <x:c r="E359" s="14" t="n">
        <x:v>11</x:v>
      </x:c>
    </x:row>
    <x:row r="360" ht="34" customHeight="1">
      <x:c r="A360" s="12" t="str">
        <x:v>DP2-B</x:v>
      </x:c>
      <x:c r="B360" s="12" t="str">
        <x:v>U24</x:v>
      </x:c>
      <x:c r="C360" s="13" t="n">
        <x:v>0.38</x:v>
      </x:c>
      <x:c r="D360" s="12" t="str">
        <x:v>request_execution</x:v>
      </x:c>
      <x:c r="E360" s="13" t="n">
        <x:v>11</x:v>
      </x:c>
    </x:row>
    <x:row r="361" ht="34" customHeight="1">
      <x:c r="A361" s="7" t="str">
        <x:v>DP2-B</x:v>
      </x:c>
      <x:c r="B361" s="7" t="str">
        <x:v>U24</x:v>
      </x:c>
      <x:c r="C361" s="14" t="n">
        <x:v>0.38</x:v>
      </x:c>
      <x:c r="D361" s="7" t="str">
        <x:v>bg1:client</x:v>
      </x:c>
      <x:c r="E361" s="14" t="n">
        <x:v>19.8</x:v>
      </x:c>
    </x:row>
    <x:row r="362" ht="34" customHeight="1">
      <x:c r="A362" s="12" t="str">
        <x:v>DP2-B</x:v>
      </x:c>
      <x:c r="B362" s="12" t="str">
        <x:v>U24</x:v>
      </x:c>
      <x:c r="C362" s="13" t="n">
        <x:v>0.38</x:v>
      </x:c>
      <x:c r="D362" s="12" t="str">
        <x:v>meaning:client</x:v>
      </x:c>
      <x:c r="E362" s="13" t="n">
        <x:v>42.120000000000005</x:v>
      </x:c>
    </x:row>
    <x:row r="363" ht="34" customHeight="1">
      <x:c r="A363" s="7" t="str">
        <x:v>DP2-B</x:v>
      </x:c>
      <x:c r="B363" s="7" t="str">
        <x:v>U24</x:v>
      </x:c>
      <x:c r="C363" s="14" t="n">
        <x:v>0.38</x:v>
      </x:c>
      <x:c r="D363" s="7" t="str">
        <x:v>cloud_image_buffer</x:v>
      </x:c>
      <x:c r="E363" s="14" t="n">
        <x:v>32</x:v>
      </x:c>
    </x:row>
    <x:row r="364" ht="34" customHeight="1">
      <x:c r="A364" s="12" t="str">
        <x:v>DP2-B</x:v>
      </x:c>
      <x:c r="B364" s="12" t="str">
        <x:v>U24</x:v>
      </x:c>
      <x:c r="C364" s="13" t="n">
        <x:v>0.38</x:v>
      </x:c>
      <x:c r="D364" s="12" t="str">
        <x:v>valid_audio</x:v>
      </x:c>
      <x:c r="E364" s="13" t="n">
        <x:v>0</x:v>
      </x:c>
    </x:row>
    <x:row r="365" ht="34" customHeight="1">
      <x:c r="A365" s="7" t="str">
        <x:v>DP3-B-R1</x:v>
      </x:c>
      <x:c r="B365" s="7" t="str">
        <x:v>U01</x:v>
      </x:c>
      <x:c r="C365" s="14" t="n">
        <x:v>0.14</x:v>
      </x:c>
      <x:c r="D365" s="7" t="str">
        <x:v>core_ui_mb</x:v>
      </x:c>
      <x:c r="E365" s="14" t="n">
        <x:v>180</x:v>
      </x:c>
    </x:row>
    <x:row r="366" ht="34" customHeight="1">
      <x:c r="A366" s="12" t="str">
        <x:v>DP3-B-R1</x:v>
      </x:c>
      <x:c r="B366" s="12" t="str">
        <x:v>U01</x:v>
      </x:c>
      <x:c r="C366" s="13" t="n">
        <x:v>0.14</x:v>
      </x:c>
      <x:c r="D366" s="12" t="str">
        <x:v>asr_audio_mb</x:v>
      </x:c>
      <x:c r="E366" s="13" t="n">
        <x:v>220</x:v>
      </x:c>
    </x:row>
    <x:row r="367" ht="34" customHeight="1">
      <x:c r="A367" s="7" t="str">
        <x:v>DP3-B-R1</x:v>
      </x:c>
      <x:c r="B367" s="7" t="str">
        <x:v>U01</x:v>
      </x:c>
      <x:c r="C367" s="14" t="n">
        <x:v>0.14</x:v>
      </x:c>
      <x:c r="D367" s="7" t="str">
        <x:v>source_ring_mb</x:v>
      </x:c>
      <x:c r="E367" s="14" t="n">
        <x:v>96</x:v>
      </x:c>
    </x:row>
    <x:row r="368" ht="34" customHeight="1">
      <x:c r="A368" s="12" t="str">
        <x:v>DP3-B-R1</x:v>
      </x:c>
      <x:c r="B368" s="12" t="str">
        <x:v>U01</x:v>
      </x:c>
      <x:c r="C368" s="13" t="n">
        <x:v>0.14</x:v>
      </x:c>
      <x:c r="D368" s="12" t="str">
        <x:v>common_history_mb</x:v>
      </x:c>
      <x:c r="E368" s="13" t="n">
        <x:v>64</x:v>
      </x:c>
    </x:row>
    <x:row r="369" ht="34" customHeight="1">
      <x:c r="A369" s="7" t="str">
        <x:v>DP3-B-R1</x:v>
      </x:c>
      <x:c r="B369" s="7" t="str">
        <x:v>U01</x:v>
      </x:c>
      <x:c r="C369" s="14" t="n">
        <x:v>0.14</x:v>
      </x:c>
      <x:c r="D369" s="7" t="str">
        <x:v>request</x:v>
      </x:c>
      <x:c r="E369" s="14" t="n">
        <x:v>11</x:v>
      </x:c>
    </x:row>
    <x:row r="370" ht="34" customHeight="1">
      <x:c r="A370" s="12" t="str">
        <x:v>DP3-B-R1</x:v>
      </x:c>
      <x:c r="B370" s="12" t="str">
        <x:v>U01</x:v>
      </x:c>
      <x:c r="C370" s="13" t="n">
        <x:v>0.14</x:v>
      </x:c>
      <x:c r="D370" s="12" t="str">
        <x:v>meaning:client</x:v>
      </x:c>
      <x:c r="E370" s="13" t="n">
        <x:v>17.4</x:v>
      </x:c>
    </x:row>
    <x:row r="371" ht="34" customHeight="1">
      <x:c r="A371" s="7" t="str">
        <x:v>DP3-B-R1</x:v>
      </x:c>
      <x:c r="B371" s="7" t="str">
        <x:v>U01</x:v>
      </x:c>
      <x:c r="C371" s="14" t="n">
        <x:v>0.14</x:v>
      </x:c>
      <x:c r="D371" s="7" t="str">
        <x:v>valid_audio</x:v>
      </x:c>
      <x:c r="E371" s="14" t="n">
        <x:v>0</x:v>
      </x:c>
    </x:row>
    <x:row r="372" ht="34" customHeight="1">
      <x:c r="A372" s="12" t="str">
        <x:v>DP3-B-R1</x:v>
      </x:c>
      <x:c r="B372" s="12" t="str">
        <x:v>U02</x:v>
      </x:c>
      <x:c r="C372" s="13" t="n">
        <x:v>0.38</x:v>
      </x:c>
      <x:c r="D372" s="12" t="str">
        <x:v>core_ui_mb</x:v>
      </x:c>
      <x:c r="E372" s="13" t="n">
        <x:v>180</x:v>
      </x:c>
    </x:row>
    <x:row r="373" ht="34" customHeight="1">
      <x:c r="A373" s="7" t="str">
        <x:v>DP3-B-R1</x:v>
      </x:c>
      <x:c r="B373" s="7" t="str">
        <x:v>U02</x:v>
      </x:c>
      <x:c r="C373" s="14" t="n">
        <x:v>0.38</x:v>
      </x:c>
      <x:c r="D373" s="7" t="str">
        <x:v>asr_audio_mb</x:v>
      </x:c>
      <x:c r="E373" s="14" t="n">
        <x:v>220</x:v>
      </x:c>
    </x:row>
    <x:row r="374" ht="34" customHeight="1">
      <x:c r="A374" s="12" t="str">
        <x:v>DP3-B-R1</x:v>
      </x:c>
      <x:c r="B374" s="12" t="str">
        <x:v>U02</x:v>
      </x:c>
      <x:c r="C374" s="13" t="n">
        <x:v>0.38</x:v>
      </x:c>
      <x:c r="D374" s="12" t="str">
        <x:v>source_ring_mb</x:v>
      </x:c>
      <x:c r="E374" s="13" t="n">
        <x:v>96</x:v>
      </x:c>
    </x:row>
    <x:row r="375" ht="34" customHeight="1">
      <x:c r="A375" s="7" t="str">
        <x:v>DP3-B-R1</x:v>
      </x:c>
      <x:c r="B375" s="7" t="str">
        <x:v>U02</x:v>
      </x:c>
      <x:c r="C375" s="14" t="n">
        <x:v>0.38</x:v>
      </x:c>
      <x:c r="D375" s="7" t="str">
        <x:v>common_history_mb</x:v>
      </x:c>
      <x:c r="E375" s="14" t="n">
        <x:v>64</x:v>
      </x:c>
    </x:row>
    <x:row r="376" ht="34" customHeight="1">
      <x:c r="A376" s="12" t="str">
        <x:v>DP3-B-R1</x:v>
      </x:c>
      <x:c r="B376" s="12" t="str">
        <x:v>U02</x:v>
      </x:c>
      <x:c r="C376" s="13" t="n">
        <x:v>0.38</x:v>
      </x:c>
      <x:c r="D376" s="12" t="str">
        <x:v>request</x:v>
      </x:c>
      <x:c r="E376" s="13" t="n">
        <x:v>11</x:v>
      </x:c>
    </x:row>
    <x:row r="377" ht="34" customHeight="1">
      <x:c r="A377" s="7" t="str">
        <x:v>DP3-B-R1</x:v>
      </x:c>
      <x:c r="B377" s="7" t="str">
        <x:v>U02</x:v>
      </x:c>
      <x:c r="C377" s="14" t="n">
        <x:v>0.38</x:v>
      </x:c>
      <x:c r="D377" s="7" t="str">
        <x:v>meaning:client</x:v>
      </x:c>
      <x:c r="E377" s="14" t="n">
        <x:v>17.4</x:v>
      </x:c>
    </x:row>
    <x:row r="378" ht="34" customHeight="1">
      <x:c r="A378" s="12" t="str">
        <x:v>DP3-B-R1</x:v>
      </x:c>
      <x:c r="B378" s="12" t="str">
        <x:v>U02</x:v>
      </x:c>
      <x:c r="C378" s="13" t="n">
        <x:v>0.38</x:v>
      </x:c>
      <x:c r="D378" s="12" t="str">
        <x:v>valid_audio</x:v>
      </x:c>
      <x:c r="E378" s="13" t="n">
        <x:v>0</x:v>
      </x:c>
    </x:row>
    <x:row r="379" ht="34" customHeight="1">
      <x:c r="A379" s="7" t="str">
        <x:v>DP3-B-R1</x:v>
      </x:c>
      <x:c r="B379" s="7" t="str">
        <x:v>U03</x:v>
      </x:c>
      <x:c r="C379" s="14" t="n">
        <x:v>2.404</x:v>
      </x:c>
      <x:c r="D379" s="7" t="str">
        <x:v>core_ui_mb</x:v>
      </x:c>
      <x:c r="E379" s="14" t="n">
        <x:v>180</x:v>
      </x:c>
    </x:row>
    <x:row r="380" ht="34" customHeight="1">
      <x:c r="A380" s="12" t="str">
        <x:v>DP3-B-R1</x:v>
      </x:c>
      <x:c r="B380" s="12" t="str">
        <x:v>U03</x:v>
      </x:c>
      <x:c r="C380" s="13" t="n">
        <x:v>2.404</x:v>
      </x:c>
      <x:c r="D380" s="12" t="str">
        <x:v>asr_audio_mb</x:v>
      </x:c>
      <x:c r="E380" s="13" t="n">
        <x:v>220</x:v>
      </x:c>
    </x:row>
    <x:row r="381" ht="34" customHeight="1">
      <x:c r="A381" s="7" t="str">
        <x:v>DP3-B-R1</x:v>
      </x:c>
      <x:c r="B381" s="7" t="str">
        <x:v>U03</x:v>
      </x:c>
      <x:c r="C381" s="14" t="n">
        <x:v>2.404</x:v>
      </x:c>
      <x:c r="D381" s="7" t="str">
        <x:v>source_ring_mb</x:v>
      </x:c>
      <x:c r="E381" s="14" t="n">
        <x:v>96</x:v>
      </x:c>
    </x:row>
    <x:row r="382" ht="34" customHeight="1">
      <x:c r="A382" s="12" t="str">
        <x:v>DP3-B-R1</x:v>
      </x:c>
      <x:c r="B382" s="12" t="str">
        <x:v>U03</x:v>
      </x:c>
      <x:c r="C382" s="13" t="n">
        <x:v>2.404</x:v>
      </x:c>
      <x:c r="D382" s="12" t="str">
        <x:v>common_history_mb</x:v>
      </x:c>
      <x:c r="E382" s="13" t="n">
        <x:v>64</x:v>
      </x:c>
    </x:row>
    <x:row r="383" ht="34" customHeight="1">
      <x:c r="A383" s="7" t="str">
        <x:v>DP3-B-R1</x:v>
      </x:c>
      <x:c r="B383" s="7" t="str">
        <x:v>U03</x:v>
      </x:c>
      <x:c r="C383" s="14" t="n">
        <x:v>2.404</x:v>
      </x:c>
      <x:c r="D383" s="7" t="str">
        <x:v>request</x:v>
      </x:c>
      <x:c r="E383" s="14" t="n">
        <x:v>11</x:v>
      </x:c>
    </x:row>
    <x:row r="384" ht="34" customHeight="1">
      <x:c r="A384" s="12" t="str">
        <x:v>DP3-B-R1</x:v>
      </x:c>
      <x:c r="B384" s="12" t="str">
        <x:v>U03</x:v>
      </x:c>
      <x:c r="C384" s="13" t="n">
        <x:v>2.404</x:v>
      </x:c>
      <x:c r="D384" s="12" t="str">
        <x:v>long_work:client</x:v>
      </x:c>
      <x:c r="E384" s="13" t="n">
        <x:v>19.8</x:v>
      </x:c>
    </x:row>
    <x:row r="385" ht="34" customHeight="1">
      <x:c r="A385" s="7" t="str">
        <x:v>DP3-B-R1</x:v>
      </x:c>
      <x:c r="B385" s="7" t="str">
        <x:v>U03</x:v>
      </x:c>
      <x:c r="C385" s="14" t="n">
        <x:v>2.404</x:v>
      </x:c>
      <x:c r="D385" s="7" t="str">
        <x:v>valid_audio</x:v>
      </x:c>
      <x:c r="E385" s="14" t="n">
        <x:v>0.14399999999999993</x:v>
      </x:c>
    </x:row>
    <x:row r="386" ht="34" customHeight="1">
      <x:c r="A386" s="12" t="str">
        <x:v>DP3-B-R1</x:v>
      </x:c>
      <x:c r="B386" s="12" t="str">
        <x:v>U04</x:v>
      </x:c>
      <x:c r="C386" s="13" t="n">
        <x:v>0.38</x:v>
      </x:c>
      <x:c r="D386" s="12" t="str">
        <x:v>core_ui_mb</x:v>
      </x:c>
      <x:c r="E386" s="13" t="n">
        <x:v>180</x:v>
      </x:c>
    </x:row>
    <x:row r="387" ht="34" customHeight="1">
      <x:c r="A387" s="7" t="str">
        <x:v>DP3-B-R1</x:v>
      </x:c>
      <x:c r="B387" s="7" t="str">
        <x:v>U04</x:v>
      </x:c>
      <x:c r="C387" s="14" t="n">
        <x:v>0.38</x:v>
      </x:c>
      <x:c r="D387" s="7" t="str">
        <x:v>asr_audio_mb</x:v>
      </x:c>
      <x:c r="E387" s="14" t="n">
        <x:v>220</x:v>
      </x:c>
    </x:row>
    <x:row r="388" ht="34" customHeight="1">
      <x:c r="A388" s="12" t="str">
        <x:v>DP3-B-R1</x:v>
      </x:c>
      <x:c r="B388" s="12" t="str">
        <x:v>U04</x:v>
      </x:c>
      <x:c r="C388" s="13" t="n">
        <x:v>0.38</x:v>
      </x:c>
      <x:c r="D388" s="12" t="str">
        <x:v>source_ring_mb</x:v>
      </x:c>
      <x:c r="E388" s="13" t="n">
        <x:v>96</x:v>
      </x:c>
    </x:row>
    <x:row r="389" ht="34" customHeight="1">
      <x:c r="A389" s="7" t="str">
        <x:v>DP3-B-R1</x:v>
      </x:c>
      <x:c r="B389" s="7" t="str">
        <x:v>U04</x:v>
      </x:c>
      <x:c r="C389" s="14" t="n">
        <x:v>0.38</x:v>
      </x:c>
      <x:c r="D389" s="7" t="str">
        <x:v>common_history_mb</x:v>
      </x:c>
      <x:c r="E389" s="14" t="n">
        <x:v>64</x:v>
      </x:c>
    </x:row>
    <x:row r="390" ht="34" customHeight="1">
      <x:c r="A390" s="12" t="str">
        <x:v>DP3-B-R1</x:v>
      </x:c>
      <x:c r="B390" s="12" t="str">
        <x:v>U04</x:v>
      </x:c>
      <x:c r="C390" s="13" t="n">
        <x:v>0.38</x:v>
      </x:c>
      <x:c r="D390" s="12" t="str">
        <x:v>request</x:v>
      </x:c>
      <x:c r="E390" s="13" t="n">
        <x:v>11</x:v>
      </x:c>
    </x:row>
    <x:row r="391" ht="34" customHeight="1">
      <x:c r="A391" s="7" t="str">
        <x:v>DP3-B-R1</x:v>
      </x:c>
      <x:c r="B391" s="7" t="str">
        <x:v>U04</x:v>
      </x:c>
      <x:c r="C391" s="14" t="n">
        <x:v>0.38</x:v>
      </x:c>
      <x:c r="D391" s="7" t="str">
        <x:v>meaning:client</x:v>
      </x:c>
      <x:c r="E391" s="14" t="n">
        <x:v>17.4</x:v>
      </x:c>
    </x:row>
    <x:row r="392" ht="34" customHeight="1">
      <x:c r="A392" s="12" t="str">
        <x:v>DP3-B-R1</x:v>
      </x:c>
      <x:c r="B392" s="12" t="str">
        <x:v>U04</x:v>
      </x:c>
      <x:c r="C392" s="13" t="n">
        <x:v>0.38</x:v>
      </x:c>
      <x:c r="D392" s="12" t="str">
        <x:v>valid_audio</x:v>
      </x:c>
      <x:c r="E392" s="13" t="n">
        <x:v>0</x:v>
      </x:c>
    </x:row>
    <x:row r="393" ht="34" customHeight="1">
      <x:c r="A393" s="7" t="str">
        <x:v>DP3-B-R1</x:v>
      </x:c>
      <x:c r="B393" s="7" t="str">
        <x:v>U05</x:v>
      </x:c>
      <x:c r="C393" s="14" t="n">
        <x:v>0</x:v>
      </x:c>
      <x:c r="D393" s="7" t="str">
        <x:v>core_ui_mb</x:v>
      </x:c>
      <x:c r="E393" s="14" t="n">
        <x:v>180</x:v>
      </x:c>
    </x:row>
    <x:row r="394" ht="34" customHeight="1">
      <x:c r="A394" s="12" t="str">
        <x:v>DP3-B-R1</x:v>
      </x:c>
      <x:c r="B394" s="12" t="str">
        <x:v>U05</x:v>
      </x:c>
      <x:c r="C394" s="13" t="n">
        <x:v>0</x:v>
      </x:c>
      <x:c r="D394" s="12" t="str">
        <x:v>asr_audio_mb</x:v>
      </x:c>
      <x:c r="E394" s="13" t="n">
        <x:v>220</x:v>
      </x:c>
    </x:row>
    <x:row r="395" ht="34" customHeight="1">
      <x:c r="A395" s="7" t="str">
        <x:v>DP3-B-R1</x:v>
      </x:c>
      <x:c r="B395" s="7" t="str">
        <x:v>U05</x:v>
      </x:c>
      <x:c r="C395" s="14" t="n">
        <x:v>0</x:v>
      </x:c>
      <x:c r="D395" s="7" t="str">
        <x:v>source_ring_mb</x:v>
      </x:c>
      <x:c r="E395" s="14" t="n">
        <x:v>96</x:v>
      </x:c>
    </x:row>
    <x:row r="396" ht="34" customHeight="1">
      <x:c r="A396" s="12" t="str">
        <x:v>DP3-B-R1</x:v>
      </x:c>
      <x:c r="B396" s="12" t="str">
        <x:v>U05</x:v>
      </x:c>
      <x:c r="C396" s="13" t="n">
        <x:v>0</x:v>
      </x:c>
      <x:c r="D396" s="12" t="str">
        <x:v>common_history_mb</x:v>
      </x:c>
      <x:c r="E396" s="13" t="n">
        <x:v>64</x:v>
      </x:c>
    </x:row>
    <x:row r="397" ht="34" customHeight="1">
      <x:c r="A397" s="7" t="str">
        <x:v>DP3-B-R1</x:v>
      </x:c>
      <x:c r="B397" s="7" t="str">
        <x:v>U05</x:v>
      </x:c>
      <x:c r="C397" s="14" t="n">
        <x:v>0</x:v>
      </x:c>
      <x:c r="D397" s="7" t="str">
        <x:v>request</x:v>
      </x:c>
      <x:c r="E397" s="14" t="n">
        <x:v>11</x:v>
      </x:c>
    </x:row>
    <x:row r="398" ht="34" customHeight="1">
      <x:c r="A398" s="12" t="str">
        <x:v>DP3-B-R1</x:v>
      </x:c>
      <x:c r="B398" s="12" t="str">
        <x:v>U05</x:v>
      </x:c>
      <x:c r="C398" s="13" t="n">
        <x:v>0</x:v>
      </x:c>
      <x:c r="D398" s="12" t="str">
        <x:v>bg1:client</x:v>
      </x:c>
      <x:c r="E398" s="13" t="n">
        <x:v>19.8</x:v>
      </x:c>
    </x:row>
    <x:row r="399" ht="34" customHeight="1">
      <x:c r="A399" s="7" t="str">
        <x:v>DP3-B-R1</x:v>
      </x:c>
      <x:c r="B399" s="7" t="str">
        <x:v>U05</x:v>
      </x:c>
      <x:c r="C399" s="14" t="n">
        <x:v>0</x:v>
      </x:c>
      <x:c r="D399" s="7" t="str">
        <x:v>valid_audio</x:v>
      </x:c>
      <x:c r="E399" s="14" t="n">
        <x:v>0</x:v>
      </x:c>
    </x:row>
    <x:row r="400" ht="34" customHeight="1">
      <x:c r="A400" s="12" t="str">
        <x:v>DP3-B-R1</x:v>
      </x:c>
      <x:c r="B400" s="12" t="str">
        <x:v>U06</x:v>
      </x:c>
      <x:c r="C400" s="13" t="n">
        <x:v>4.664</x:v>
      </x:c>
      <x:c r="D400" s="12" t="str">
        <x:v>core_ui_mb</x:v>
      </x:c>
      <x:c r="E400" s="13" t="n">
        <x:v>180</x:v>
      </x:c>
    </x:row>
    <x:row r="401" ht="34" customHeight="1">
      <x:c r="A401" s="7" t="str">
        <x:v>DP3-B-R1</x:v>
      </x:c>
      <x:c r="B401" s="7" t="str">
        <x:v>U06</x:v>
      </x:c>
      <x:c r="C401" s="14" t="n">
        <x:v>4.664</x:v>
      </x:c>
      <x:c r="D401" s="7" t="str">
        <x:v>asr_audio_mb</x:v>
      </x:c>
      <x:c r="E401" s="14" t="n">
        <x:v>220</x:v>
      </x:c>
    </x:row>
    <x:row r="402" ht="34" customHeight="1">
      <x:c r="A402" s="12" t="str">
        <x:v>DP3-B-R1</x:v>
      </x:c>
      <x:c r="B402" s="12" t="str">
        <x:v>U06</x:v>
      </x:c>
      <x:c r="C402" s="13" t="n">
        <x:v>4.664</x:v>
      </x:c>
      <x:c r="D402" s="12" t="str">
        <x:v>source_ring_mb</x:v>
      </x:c>
      <x:c r="E402" s="13" t="n">
        <x:v>96</x:v>
      </x:c>
    </x:row>
    <x:row r="403" ht="34" customHeight="1">
      <x:c r="A403" s="7" t="str">
        <x:v>DP3-B-R1</x:v>
      </x:c>
      <x:c r="B403" s="7" t="str">
        <x:v>U06</x:v>
      </x:c>
      <x:c r="C403" s="14" t="n">
        <x:v>4.664</x:v>
      </x:c>
      <x:c r="D403" s="7" t="str">
        <x:v>common_history_mb</x:v>
      </x:c>
      <x:c r="E403" s="14" t="n">
        <x:v>64</x:v>
      </x:c>
    </x:row>
    <x:row r="404" ht="34" customHeight="1">
      <x:c r="A404" s="12" t="str">
        <x:v>DP3-B-R1</x:v>
      </x:c>
      <x:c r="B404" s="12" t="str">
        <x:v>U06</x:v>
      </x:c>
      <x:c r="C404" s="13" t="n">
        <x:v>4.664</x:v>
      </x:c>
      <x:c r="D404" s="12" t="str">
        <x:v>request</x:v>
      </x:c>
      <x:c r="E404" s="13" t="n">
        <x:v>11</x:v>
      </x:c>
    </x:row>
    <x:row r="405" ht="34" customHeight="1">
      <x:c r="A405" s="7" t="str">
        <x:v>DP3-B-R1</x:v>
      </x:c>
      <x:c r="B405" s="7" t="str">
        <x:v>U06</x:v>
      </x:c>
      <x:c r="C405" s="14" t="n">
        <x:v>4.664</x:v>
      </x:c>
      <x:c r="D405" s="7" t="str">
        <x:v>long_work:client</x:v>
      </x:c>
      <x:c r="E405" s="14" t="n">
        <x:v>19.8</x:v>
      </x:c>
    </x:row>
    <x:row r="406" ht="34" customHeight="1">
      <x:c r="A406" s="12" t="str">
        <x:v>DP3-B-R1</x:v>
      </x:c>
      <x:c r="B406" s="12" t="str">
        <x:v>U06</x:v>
      </x:c>
      <x:c r="C406" s="13" t="n">
        <x:v>4.664</x:v>
      </x:c>
      <x:c r="D406" s="12" t="str">
        <x:v>valid_audio</x:v>
      </x:c>
      <x:c r="E406" s="13" t="n">
        <x:v>0.144</x:v>
      </x:c>
    </x:row>
    <x:row r="407" ht="34" customHeight="1">
      <x:c r="A407" s="7" t="str">
        <x:v>DP3-B-R1</x:v>
      </x:c>
      <x:c r="B407" s="7" t="str">
        <x:v>U07</x:v>
      </x:c>
      <x:c r="C407" s="14" t="n">
        <x:v>0</x:v>
      </x:c>
      <x:c r="D407" s="7" t="str">
        <x:v>core_ui_mb</x:v>
      </x:c>
      <x:c r="E407" s="14" t="n">
        <x:v>180</x:v>
      </x:c>
    </x:row>
    <x:row r="408" ht="34" customHeight="1">
      <x:c r="A408" s="12" t="str">
        <x:v>DP3-B-R1</x:v>
      </x:c>
      <x:c r="B408" s="12" t="str">
        <x:v>U07</x:v>
      </x:c>
      <x:c r="C408" s="13" t="n">
        <x:v>0</x:v>
      </x:c>
      <x:c r="D408" s="12" t="str">
        <x:v>asr_audio_mb</x:v>
      </x:c>
      <x:c r="E408" s="13" t="n">
        <x:v>220</x:v>
      </x:c>
    </x:row>
    <x:row r="409" ht="34" customHeight="1">
      <x:c r="A409" s="7" t="str">
        <x:v>DP3-B-R1</x:v>
      </x:c>
      <x:c r="B409" s="7" t="str">
        <x:v>U07</x:v>
      </x:c>
      <x:c r="C409" s="14" t="n">
        <x:v>0</x:v>
      </x:c>
      <x:c r="D409" s="7" t="str">
        <x:v>source_ring_mb</x:v>
      </x:c>
      <x:c r="E409" s="14" t="n">
        <x:v>96</x:v>
      </x:c>
    </x:row>
    <x:row r="410" ht="34" customHeight="1">
      <x:c r="A410" s="12" t="str">
        <x:v>DP3-B-R1</x:v>
      </x:c>
      <x:c r="B410" s="12" t="str">
        <x:v>U07</x:v>
      </x:c>
      <x:c r="C410" s="13" t="n">
        <x:v>0</x:v>
      </x:c>
      <x:c r="D410" s="12" t="str">
        <x:v>common_history_mb</x:v>
      </x:c>
      <x:c r="E410" s="13" t="n">
        <x:v>64</x:v>
      </x:c>
    </x:row>
    <x:row r="411" ht="34" customHeight="1">
      <x:c r="A411" s="7" t="str">
        <x:v>DP3-B-R1</x:v>
      </x:c>
      <x:c r="B411" s="7" t="str">
        <x:v>U07</x:v>
      </x:c>
      <x:c r="C411" s="14" t="n">
        <x:v>0</x:v>
      </x:c>
      <x:c r="D411" s="7" t="str">
        <x:v>request</x:v>
      </x:c>
      <x:c r="E411" s="14" t="n">
        <x:v>11</x:v>
      </x:c>
    </x:row>
    <x:row r="412" ht="34" customHeight="1">
      <x:c r="A412" s="12" t="str">
        <x:v>DP3-B-R1</x:v>
      </x:c>
      <x:c r="B412" s="12" t="str">
        <x:v>U07</x:v>
      </x:c>
      <x:c r="C412" s="13" t="n">
        <x:v>0</x:v>
      </x:c>
      <x:c r="D412" s="12" t="str">
        <x:v>bg1:client</x:v>
      </x:c>
      <x:c r="E412" s="13" t="n">
        <x:v>19.8</x:v>
      </x:c>
    </x:row>
    <x:row r="413" ht="34" customHeight="1">
      <x:c r="A413" s="7" t="str">
        <x:v>DP3-B-R1</x:v>
      </x:c>
      <x:c r="B413" s="7" t="str">
        <x:v>U07</x:v>
      </x:c>
      <x:c r="C413" s="14" t="n">
        <x:v>0</x:v>
      </x:c>
      <x:c r="D413" s="7" t="str">
        <x:v>bg2:client</x:v>
      </x:c>
      <x:c r="E413" s="14" t="n">
        <x:v>19.8</x:v>
      </x:c>
    </x:row>
    <x:row r="414" ht="34" customHeight="1">
      <x:c r="A414" s="12" t="str">
        <x:v>DP3-B-R1</x:v>
      </x:c>
      <x:c r="B414" s="12" t="str">
        <x:v>U07</x:v>
      </x:c>
      <x:c r="C414" s="13" t="n">
        <x:v>0</x:v>
      </x:c>
      <x:c r="D414" s="12" t="str">
        <x:v>valid_audio</x:v>
      </x:c>
      <x:c r="E414" s="13" t="n">
        <x:v>0</x:v>
      </x:c>
    </x:row>
    <x:row r="415" ht="34" customHeight="1">
      <x:c r="A415" s="7" t="str">
        <x:v>DP3-B-R1</x:v>
      </x:c>
      <x:c r="B415" s="7" t="str">
        <x:v>U08</x:v>
      </x:c>
      <x:c r="C415" s="14" t="n">
        <x:v>4.664</x:v>
      </x:c>
      <x:c r="D415" s="7" t="str">
        <x:v>core_ui_mb</x:v>
      </x:c>
      <x:c r="E415" s="14" t="n">
        <x:v>180</x:v>
      </x:c>
    </x:row>
    <x:row r="416" ht="34" customHeight="1">
      <x:c r="A416" s="12" t="str">
        <x:v>DP3-B-R1</x:v>
      </x:c>
      <x:c r="B416" s="12" t="str">
        <x:v>U08</x:v>
      </x:c>
      <x:c r="C416" s="13" t="n">
        <x:v>4.664</x:v>
      </x:c>
      <x:c r="D416" s="12" t="str">
        <x:v>asr_audio_mb</x:v>
      </x:c>
      <x:c r="E416" s="13" t="n">
        <x:v>220</x:v>
      </x:c>
    </x:row>
    <x:row r="417" ht="34" customHeight="1">
      <x:c r="A417" s="7" t="str">
        <x:v>DP3-B-R1</x:v>
      </x:c>
      <x:c r="B417" s="7" t="str">
        <x:v>U08</x:v>
      </x:c>
      <x:c r="C417" s="14" t="n">
        <x:v>4.664</x:v>
      </x:c>
      <x:c r="D417" s="7" t="str">
        <x:v>source_ring_mb</x:v>
      </x:c>
      <x:c r="E417" s="14" t="n">
        <x:v>96</x:v>
      </x:c>
    </x:row>
    <x:row r="418" ht="34" customHeight="1">
      <x:c r="A418" s="12" t="str">
        <x:v>DP3-B-R1</x:v>
      </x:c>
      <x:c r="B418" s="12" t="str">
        <x:v>U08</x:v>
      </x:c>
      <x:c r="C418" s="13" t="n">
        <x:v>4.664</x:v>
      </x:c>
      <x:c r="D418" s="12" t="str">
        <x:v>common_history_mb</x:v>
      </x:c>
      <x:c r="E418" s="13" t="n">
        <x:v>64</x:v>
      </x:c>
    </x:row>
    <x:row r="419" ht="34" customHeight="1">
      <x:c r="A419" s="7" t="str">
        <x:v>DP3-B-R1</x:v>
      </x:c>
      <x:c r="B419" s="7" t="str">
        <x:v>U08</x:v>
      </x:c>
      <x:c r="C419" s="14" t="n">
        <x:v>4.664</x:v>
      </x:c>
      <x:c r="D419" s="7" t="str">
        <x:v>request</x:v>
      </x:c>
      <x:c r="E419" s="14" t="n">
        <x:v>11</x:v>
      </x:c>
    </x:row>
    <x:row r="420" ht="34" customHeight="1">
      <x:c r="A420" s="12" t="str">
        <x:v>DP3-B-R1</x:v>
      </x:c>
      <x:c r="B420" s="12" t="str">
        <x:v>U08</x:v>
      </x:c>
      <x:c r="C420" s="13" t="n">
        <x:v>4.664</x:v>
      </x:c>
      <x:c r="D420" s="12" t="str">
        <x:v>long_work:client</x:v>
      </x:c>
      <x:c r="E420" s="13" t="n">
        <x:v>19.8</x:v>
      </x:c>
    </x:row>
    <x:row r="421" ht="34" customHeight="1">
      <x:c r="A421" s="7" t="str">
        <x:v>DP3-B-R1</x:v>
      </x:c>
      <x:c r="B421" s="7" t="str">
        <x:v>U08</x:v>
      </x:c>
      <x:c r="C421" s="14" t="n">
        <x:v>4.664</x:v>
      </x:c>
      <x:c r="D421" s="7" t="str">
        <x:v>valid_audio</x:v>
      </x:c>
      <x:c r="E421" s="14" t="n">
        <x:v>0.144</x:v>
      </x:c>
    </x:row>
    <x:row r="422" ht="34" customHeight="1">
      <x:c r="A422" s="12" t="str">
        <x:v>DP3-B-R1</x:v>
      </x:c>
      <x:c r="B422" s="12" t="str">
        <x:v>U09</x:v>
      </x:c>
      <x:c r="C422" s="13" t="n">
        <x:v>0.46</x:v>
      </x:c>
      <x:c r="D422" s="12" t="str">
        <x:v>core_ui_mb</x:v>
      </x:c>
      <x:c r="E422" s="13" t="n">
        <x:v>180</x:v>
      </x:c>
    </x:row>
    <x:row r="423" ht="34" customHeight="1">
      <x:c r="A423" s="7" t="str">
        <x:v>DP3-B-R1</x:v>
      </x:c>
      <x:c r="B423" s="7" t="str">
        <x:v>U09</x:v>
      </x:c>
      <x:c r="C423" s="14" t="n">
        <x:v>0.46</x:v>
      </x:c>
      <x:c r="D423" s="7" t="str">
        <x:v>asr_audio_mb</x:v>
      </x:c>
      <x:c r="E423" s="14" t="n">
        <x:v>220</x:v>
      </x:c>
    </x:row>
    <x:row r="424" ht="34" customHeight="1">
      <x:c r="A424" s="12" t="str">
        <x:v>DP3-B-R1</x:v>
      </x:c>
      <x:c r="B424" s="12" t="str">
        <x:v>U09</x:v>
      </x:c>
      <x:c r="C424" s="13" t="n">
        <x:v>0.46</x:v>
      </x:c>
      <x:c r="D424" s="12" t="str">
        <x:v>source_ring_mb</x:v>
      </x:c>
      <x:c r="E424" s="13" t="n">
        <x:v>96</x:v>
      </x:c>
    </x:row>
    <x:row r="425" ht="34" customHeight="1">
      <x:c r="A425" s="7" t="str">
        <x:v>DP3-B-R1</x:v>
      </x:c>
      <x:c r="B425" s="7" t="str">
        <x:v>U09</x:v>
      </x:c>
      <x:c r="C425" s="14" t="n">
        <x:v>0.46</x:v>
      </x:c>
      <x:c r="D425" s="7" t="str">
        <x:v>common_history_mb</x:v>
      </x:c>
      <x:c r="E425" s="14" t="n">
        <x:v>64</x:v>
      </x:c>
    </x:row>
    <x:row r="426" ht="34" customHeight="1">
      <x:c r="A426" s="12" t="str">
        <x:v>DP3-B-R1</x:v>
      </x:c>
      <x:c r="B426" s="12" t="str">
        <x:v>U09</x:v>
      </x:c>
      <x:c r="C426" s="13" t="n">
        <x:v>0.46</x:v>
      </x:c>
      <x:c r="D426" s="12" t="str">
        <x:v>request</x:v>
      </x:c>
      <x:c r="E426" s="13" t="n">
        <x:v>11</x:v>
      </x:c>
    </x:row>
    <x:row r="427" ht="34" customHeight="1">
      <x:c r="A427" s="7" t="str">
        <x:v>DP3-B-R1</x:v>
      </x:c>
      <x:c r="B427" s="7" t="str">
        <x:v>U09</x:v>
      </x:c>
      <x:c r="C427" s="14" t="n">
        <x:v>0.46</x:v>
      </x:c>
      <x:c r="D427" s="7" t="str">
        <x:v>meaning:client</x:v>
      </x:c>
      <x:c r="E427" s="14" t="n">
        <x:v>17.4</x:v>
      </x:c>
    </x:row>
    <x:row r="428" ht="34" customHeight="1">
      <x:c r="A428" s="12" t="str">
        <x:v>DP3-B-R1</x:v>
      </x:c>
      <x:c r="B428" s="12" t="str">
        <x:v>U09</x:v>
      </x:c>
      <x:c r="C428" s="13" t="n">
        <x:v>0.46</x:v>
      </x:c>
      <x:c r="D428" s="12" t="str">
        <x:v>valid_audio</x:v>
      </x:c>
      <x:c r="E428" s="13" t="n">
        <x:v>0</x:v>
      </x:c>
    </x:row>
    <x:row r="429" ht="34" customHeight="1">
      <x:c r="A429" s="7" t="str">
        <x:v>DP3-B-R1</x:v>
      </x:c>
      <x:c r="B429" s="7" t="str">
        <x:v>U10</x:v>
      </x:c>
      <x:c r="C429" s="14" t="n">
        <x:v>1.58</x:v>
      </x:c>
      <x:c r="D429" s="7" t="str">
        <x:v>core_ui_mb</x:v>
      </x:c>
      <x:c r="E429" s="14" t="n">
        <x:v>180</x:v>
      </x:c>
    </x:row>
    <x:row r="430" ht="34" customHeight="1">
      <x:c r="A430" s="12" t="str">
        <x:v>DP3-B-R1</x:v>
      </x:c>
      <x:c r="B430" s="12" t="str">
        <x:v>U10</x:v>
      </x:c>
      <x:c r="C430" s="13" t="n">
        <x:v>1.58</x:v>
      </x:c>
      <x:c r="D430" s="12" t="str">
        <x:v>asr_audio_mb</x:v>
      </x:c>
      <x:c r="E430" s="13" t="n">
        <x:v>220</x:v>
      </x:c>
    </x:row>
    <x:row r="431" ht="34" customHeight="1">
      <x:c r="A431" s="7" t="str">
        <x:v>DP3-B-R1</x:v>
      </x:c>
      <x:c r="B431" s="7" t="str">
        <x:v>U10</x:v>
      </x:c>
      <x:c r="C431" s="14" t="n">
        <x:v>1.58</x:v>
      </x:c>
      <x:c r="D431" s="7" t="str">
        <x:v>source_ring_mb</x:v>
      </x:c>
      <x:c r="E431" s="14" t="n">
        <x:v>96</x:v>
      </x:c>
    </x:row>
    <x:row r="432" ht="34" customHeight="1">
      <x:c r="A432" s="12" t="str">
        <x:v>DP3-B-R1</x:v>
      </x:c>
      <x:c r="B432" s="12" t="str">
        <x:v>U10</x:v>
      </x:c>
      <x:c r="C432" s="13" t="n">
        <x:v>1.58</x:v>
      </x:c>
      <x:c r="D432" s="12" t="str">
        <x:v>common_history_mb</x:v>
      </x:c>
      <x:c r="E432" s="13" t="n">
        <x:v>64</x:v>
      </x:c>
    </x:row>
    <x:row r="433" ht="34" customHeight="1">
      <x:c r="A433" s="7" t="str">
        <x:v>DP3-B-R1</x:v>
      </x:c>
      <x:c r="B433" s="7" t="str">
        <x:v>U10</x:v>
      </x:c>
      <x:c r="C433" s="14" t="n">
        <x:v>1.58</x:v>
      </x:c>
      <x:c r="D433" s="7" t="str">
        <x:v>request</x:v>
      </x:c>
      <x:c r="E433" s="14" t="n">
        <x:v>11</x:v>
      </x:c>
    </x:row>
    <x:row r="434" ht="34" customHeight="1">
      <x:c r="A434" s="12" t="str">
        <x:v>DP3-B-R1</x:v>
      </x:c>
      <x:c r="B434" s="12" t="str">
        <x:v>U10</x:v>
      </x:c>
      <x:c r="C434" s="13" t="n">
        <x:v>1.58</x:v>
      </x:c>
      <x:c r="D434" s="12" t="str">
        <x:v>now_ui_load:ui_load_temp</x:v>
      </x:c>
      <x:c r="E434" s="13" t="n">
        <x:v>380</x:v>
      </x:c>
    </x:row>
    <x:row r="435" ht="34" customHeight="1">
      <x:c r="A435" s="7" t="str">
        <x:v>DP3-B-R1</x:v>
      </x:c>
      <x:c r="B435" s="7" t="str">
        <x:v>U10</x:v>
      </x:c>
      <x:c r="C435" s="14" t="n">
        <x:v>1.58</x:v>
      </x:c>
      <x:c r="D435" s="7" t="str">
        <x:v>cloud_image_buffer</x:v>
      </x:c>
      <x:c r="E435" s="14" t="n">
        <x:v>32</x:v>
      </x:c>
    </x:row>
    <x:row r="436" ht="34" customHeight="1">
      <x:c r="A436" s="12" t="str">
        <x:v>DP3-B-R1</x:v>
      </x:c>
      <x:c r="B436" s="12" t="str">
        <x:v>U10</x:v>
      </x:c>
      <x:c r="C436" s="13" t="n">
        <x:v>1.58</x:v>
      </x:c>
      <x:c r="D436" s="12" t="str">
        <x:v>runtime_shared_pages</x:v>
      </x:c>
      <x:c r="E436" s="13" t="n">
        <x:v>60</x:v>
      </x:c>
    </x:row>
    <x:row r="437" ht="34" customHeight="1">
      <x:c r="A437" s="7" t="str">
        <x:v>DP3-B-R1</x:v>
      </x:c>
      <x:c r="B437" s="7" t="str">
        <x:v>U10</x:v>
      </x:c>
      <x:c r="C437" s="14" t="n">
        <x:v>1.58</x:v>
      </x:c>
      <x:c r="D437" s="7" t="str">
        <x:v>vision_ipc</x:v>
      </x:c>
      <x:c r="E437" s="14" t="n">
        <x:v>24</x:v>
      </x:c>
    </x:row>
    <x:row r="438" ht="34" customHeight="1">
      <x:c r="A438" s="12" t="str">
        <x:v>DP3-B-R1</x:v>
      </x:c>
      <x:c r="B438" s="12" t="str">
        <x:v>U10</x:v>
      </x:c>
      <x:c r="C438" s="13" t="n">
        <x:v>1.58</x:v>
      </x:c>
      <x:c r="D438" s="12" t="str">
        <x:v>runtime_private:shared</x:v>
      </x:c>
      <x:c r="E438" s="13" t="n">
        <x:v>280</x:v>
      </x:c>
    </x:row>
    <x:row r="439" ht="34" customHeight="1">
      <x:c r="A439" s="7" t="str">
        <x:v>DP3-B-R1</x:v>
      </x:c>
      <x:c r="B439" s="7" t="str">
        <x:v>U10</x:v>
      </x:c>
      <x:c r="C439" s="14" t="n">
        <x:v>1.58</x:v>
      </x:c>
      <x:c r="D439" s="7" t="str">
        <x:v>weight:now_ui_infer</x:v>
      </x:c>
      <x:c r="E439" s="14" t="n">
        <x:v>420</x:v>
      </x:c>
    </x:row>
    <x:row r="440" ht="34" customHeight="1">
      <x:c r="A440" s="12" t="str">
        <x:v>DP3-B-R1</x:v>
      </x:c>
      <x:c r="B440" s="12" t="str">
        <x:v>U10</x:v>
      </x:c>
      <x:c r="C440" s="13" t="n">
        <x:v>1.58</x:v>
      </x:c>
      <x:c r="D440" s="12" t="str">
        <x:v>valid_audio</x:v>
      </x:c>
      <x:c r="E440" s="13" t="n">
        <x:v>0</x:v>
      </x:c>
    </x:row>
    <x:row r="441" ht="34" customHeight="1">
      <x:c r="A441" s="7" t="str">
        <x:v>DP3-B-R1</x:v>
      </x:c>
      <x:c r="B441" s="7" t="str">
        <x:v>U11</x:v>
      </x:c>
      <x:c r="C441" s="14" t="n">
        <x:v>5.080000000000001</x:v>
      </x:c>
      <x:c r="D441" s="7" t="str">
        <x:v>core_ui_mb</x:v>
      </x:c>
      <x:c r="E441" s="14" t="n">
        <x:v>180</x:v>
      </x:c>
    </x:row>
    <x:row r="442" ht="34" customHeight="1">
      <x:c r="A442" s="12" t="str">
        <x:v>DP3-B-R1</x:v>
      </x:c>
      <x:c r="B442" s="12" t="str">
        <x:v>U11</x:v>
      </x:c>
      <x:c r="C442" s="13" t="n">
        <x:v>5.080000000000001</x:v>
      </x:c>
      <x:c r="D442" s="12" t="str">
        <x:v>asr_audio_mb</x:v>
      </x:c>
      <x:c r="E442" s="13" t="n">
        <x:v>220</x:v>
      </x:c>
    </x:row>
    <x:row r="443" ht="34" customHeight="1">
      <x:c r="A443" s="7" t="str">
        <x:v>DP3-B-R1</x:v>
      </x:c>
      <x:c r="B443" s="7" t="str">
        <x:v>U11</x:v>
      </x:c>
      <x:c r="C443" s="14" t="n">
        <x:v>5.080000000000001</x:v>
      </x:c>
      <x:c r="D443" s="7" t="str">
        <x:v>source_ring_mb</x:v>
      </x:c>
      <x:c r="E443" s="14" t="n">
        <x:v>96</x:v>
      </x:c>
    </x:row>
    <x:row r="444" ht="34" customHeight="1">
      <x:c r="A444" s="12" t="str">
        <x:v>DP3-B-R1</x:v>
      </x:c>
      <x:c r="B444" s="12" t="str">
        <x:v>U11</x:v>
      </x:c>
      <x:c r="C444" s="13" t="n">
        <x:v>5.080000000000001</x:v>
      </x:c>
      <x:c r="D444" s="12" t="str">
        <x:v>common_history_mb</x:v>
      </x:c>
      <x:c r="E444" s="13" t="n">
        <x:v>64</x:v>
      </x:c>
    </x:row>
    <x:row r="445" ht="34" customHeight="1">
      <x:c r="A445" s="7" t="str">
        <x:v>DP3-B-R1</x:v>
      </x:c>
      <x:c r="B445" s="7" t="str">
        <x:v>U11</x:v>
      </x:c>
      <x:c r="C445" s="14" t="n">
        <x:v>5.080000000000001</x:v>
      </x:c>
      <x:c r="D445" s="7" t="str">
        <x:v>request</x:v>
      </x:c>
      <x:c r="E445" s="14" t="n">
        <x:v>11</x:v>
      </x:c>
    </x:row>
    <x:row r="446" ht="34" customHeight="1">
      <x:c r="A446" s="12" t="str">
        <x:v>DP3-B-R1</x:v>
      </x:c>
      <x:c r="B446" s="12" t="str">
        <x:v>U11</x:v>
      </x:c>
      <x:c r="C446" s="13" t="n">
        <x:v>5.080000000000001</x:v>
      </x:c>
      <x:c r="D446" s="12" t="str">
        <x:v>now_sam_infer:sam_workspace</x:v>
      </x:c>
      <x:c r="E446" s="13" t="n">
        <x:v>680</x:v>
      </x:c>
    </x:row>
    <x:row r="447" ht="34" customHeight="1">
      <x:c r="A447" s="7" t="str">
        <x:v>DP3-B-R1</x:v>
      </x:c>
      <x:c r="B447" s="7" t="str">
        <x:v>U11</x:v>
      </x:c>
      <x:c r="C447" s="14" t="n">
        <x:v>5.080000000000001</x:v>
      </x:c>
      <x:c r="D447" s="7" t="str">
        <x:v>cloud_image_buffer</x:v>
      </x:c>
      <x:c r="E447" s="14" t="n">
        <x:v>32</x:v>
      </x:c>
    </x:row>
    <x:row r="448" ht="34" customHeight="1">
      <x:c r="A448" s="12" t="str">
        <x:v>DP3-B-R1</x:v>
      </x:c>
      <x:c r="B448" s="12" t="str">
        <x:v>U11</x:v>
      </x:c>
      <x:c r="C448" s="13" t="n">
        <x:v>5.080000000000001</x:v>
      </x:c>
      <x:c r="D448" s="12" t="str">
        <x:v>runtime_shared_pages</x:v>
      </x:c>
      <x:c r="E448" s="13" t="n">
        <x:v>60</x:v>
      </x:c>
    </x:row>
    <x:row r="449" ht="34" customHeight="1">
      <x:c r="A449" s="7" t="str">
        <x:v>DP3-B-R1</x:v>
      </x:c>
      <x:c r="B449" s="7" t="str">
        <x:v>U11</x:v>
      </x:c>
      <x:c r="C449" s="14" t="n">
        <x:v>5.080000000000001</x:v>
      </x:c>
      <x:c r="D449" s="7" t="str">
        <x:v>vision_ipc</x:v>
      </x:c>
      <x:c r="E449" s="14" t="n">
        <x:v>24</x:v>
      </x:c>
    </x:row>
    <x:row r="450" ht="34" customHeight="1">
      <x:c r="A450" s="12" t="str">
        <x:v>DP3-B-R1</x:v>
      </x:c>
      <x:c r="B450" s="12" t="str">
        <x:v>U11</x:v>
      </x:c>
      <x:c r="C450" s="13" t="n">
        <x:v>5.080000000000001</x:v>
      </x:c>
      <x:c r="D450" s="12" t="str">
        <x:v>runtime_private:shared</x:v>
      </x:c>
      <x:c r="E450" s="13" t="n">
        <x:v>280</x:v>
      </x:c>
    </x:row>
    <x:row r="451" ht="34" customHeight="1">
      <x:c r="A451" s="7" t="str">
        <x:v>DP3-B-R1</x:v>
      </x:c>
      <x:c r="B451" s="7" t="str">
        <x:v>U11</x:v>
      </x:c>
      <x:c r="C451" s="14" t="n">
        <x:v>5.080000000000001</x:v>
      </x:c>
      <x:c r="D451" s="7" t="str">
        <x:v>weight:now_sam_infer</x:v>
      </x:c>
      <x:c r="E451" s="14" t="n">
        <x:v>170</x:v>
      </x:c>
    </x:row>
    <x:row r="452" ht="34" customHeight="1">
      <x:c r="A452" s="12" t="str">
        <x:v>DP3-B-R1</x:v>
      </x:c>
      <x:c r="B452" s="12" t="str">
        <x:v>U11</x:v>
      </x:c>
      <x:c r="C452" s="13" t="n">
        <x:v>5.080000000000001</x:v>
      </x:c>
      <x:c r="D452" s="12" t="str">
        <x:v>valid_audio</x:v>
      </x:c>
      <x:c r="E452" s="13" t="n">
        <x:v>0</x:v>
      </x:c>
    </x:row>
    <x:row r="453" ht="34" customHeight="1">
      <x:c r="A453" s="7" t="str">
        <x:v>DP3-B-R1</x:v>
      </x:c>
      <x:c r="B453" s="7" t="str">
        <x:v>U12</x:v>
      </x:c>
      <x:c r="C453" s="14" t="n">
        <x:v>-10.8</x:v>
      </x:c>
      <x:c r="D453" s="7" t="str">
        <x:v>core_ui_mb</x:v>
      </x:c>
      <x:c r="E453" s="14" t="n">
        <x:v>180</x:v>
      </x:c>
    </x:row>
    <x:row r="454" ht="34" customHeight="1">
      <x:c r="A454" s="12" t="str">
        <x:v>DP3-B-R1</x:v>
      </x:c>
      <x:c r="B454" s="12" t="str">
        <x:v>U12</x:v>
      </x:c>
      <x:c r="C454" s="13" t="n">
        <x:v>-10.8</x:v>
      </x:c>
      <x:c r="D454" s="12" t="str">
        <x:v>asr_audio_mb</x:v>
      </x:c>
      <x:c r="E454" s="13" t="n">
        <x:v>220</x:v>
      </x:c>
    </x:row>
    <x:row r="455" ht="34" customHeight="1">
      <x:c r="A455" s="7" t="str">
        <x:v>DP3-B-R1</x:v>
      </x:c>
      <x:c r="B455" s="7" t="str">
        <x:v>U12</x:v>
      </x:c>
      <x:c r="C455" s="14" t="n">
        <x:v>-10.8</x:v>
      </x:c>
      <x:c r="D455" s="7" t="str">
        <x:v>source_ring_mb</x:v>
      </x:c>
      <x:c r="E455" s="14" t="n">
        <x:v>96</x:v>
      </x:c>
    </x:row>
    <x:row r="456" ht="34" customHeight="1">
      <x:c r="A456" s="12" t="str">
        <x:v>DP3-B-R1</x:v>
      </x:c>
      <x:c r="B456" s="12" t="str">
        <x:v>U12</x:v>
      </x:c>
      <x:c r="C456" s="13" t="n">
        <x:v>-10.8</x:v>
      </x:c>
      <x:c r="D456" s="12" t="str">
        <x:v>common_history_mb</x:v>
      </x:c>
      <x:c r="E456" s="13" t="n">
        <x:v>64</x:v>
      </x:c>
    </x:row>
    <x:row r="457" ht="34" customHeight="1">
      <x:c r="A457" s="7" t="str">
        <x:v>DP3-B-R1</x:v>
      </x:c>
      <x:c r="B457" s="7" t="str">
        <x:v>U12</x:v>
      </x:c>
      <x:c r="C457" s="14" t="n">
        <x:v>-10.8</x:v>
      </x:c>
      <x:c r="D457" s="7" t="str">
        <x:v>pre_ui_load:ui_load_temp</x:v>
      </x:c>
      <x:c r="E457" s="14" t="n">
        <x:v>380</x:v>
      </x:c>
    </x:row>
    <x:row r="458" ht="34" customHeight="1">
      <x:c r="A458" s="12" t="str">
        <x:v>DP3-B-R1</x:v>
      </x:c>
      <x:c r="B458" s="12" t="str">
        <x:v>U12</x:v>
      </x:c>
      <x:c r="C458" s="13" t="n">
        <x:v>-10.8</x:v>
      </x:c>
      <x:c r="D458" s="12" t="str">
        <x:v>runtime_shared_pages</x:v>
      </x:c>
      <x:c r="E458" s="13" t="n">
        <x:v>60</x:v>
      </x:c>
    </x:row>
    <x:row r="459" ht="34" customHeight="1">
      <x:c r="A459" s="7" t="str">
        <x:v>DP3-B-R1</x:v>
      </x:c>
      <x:c r="B459" s="7" t="str">
        <x:v>U12</x:v>
      </x:c>
      <x:c r="C459" s="14" t="n">
        <x:v>-10.8</x:v>
      </x:c>
      <x:c r="D459" s="7" t="str">
        <x:v>vision_ipc</x:v>
      </x:c>
      <x:c r="E459" s="14" t="n">
        <x:v>24</x:v>
      </x:c>
    </x:row>
    <x:row r="460" ht="34" customHeight="1">
      <x:c r="A460" s="12" t="str">
        <x:v>DP3-B-R1</x:v>
      </x:c>
      <x:c r="B460" s="12" t="str">
        <x:v>U12</x:v>
      </x:c>
      <x:c r="C460" s="13" t="n">
        <x:v>-10.8</x:v>
      </x:c>
      <x:c r="D460" s="12" t="str">
        <x:v>runtime_private:shared</x:v>
      </x:c>
      <x:c r="E460" s="13" t="n">
        <x:v>280</x:v>
      </x:c>
    </x:row>
    <x:row r="461" ht="34" customHeight="1">
      <x:c r="A461" s="7" t="str">
        <x:v>DP3-B-R1</x:v>
      </x:c>
      <x:c r="B461" s="7" t="str">
        <x:v>U12</x:v>
      </x:c>
      <x:c r="C461" s="14" t="n">
        <x:v>-10.8</x:v>
      </x:c>
      <x:c r="D461" s="7" t="str">
        <x:v>weight:pre_ui_infer</x:v>
      </x:c>
      <x:c r="E461" s="14" t="n">
        <x:v>420</x:v>
      </x:c>
    </x:row>
    <x:row r="462" ht="34" customHeight="1">
      <x:c r="A462" s="12" t="str">
        <x:v>DP3-B-R1</x:v>
      </x:c>
      <x:c r="B462" s="12" t="str">
        <x:v>U12</x:v>
      </x:c>
      <x:c r="C462" s="13" t="n">
        <x:v>-10.8</x:v>
      </x:c>
      <x:c r="D462" s="12" t="str">
        <x:v>valid_audio</x:v>
      </x:c>
      <x:c r="E462" s="13" t="n">
        <x:v>0</x:v>
      </x:c>
    </x:row>
    <x:row r="463" ht="34" customHeight="1">
      <x:c r="A463" s="7" t="str">
        <x:v>DP3-B-R1</x:v>
      </x:c>
      <x:c r="B463" s="7" t="str">
        <x:v>U13</x:v>
      </x:c>
      <x:c r="C463" s="14" t="n">
        <x:v>0.14</x:v>
      </x:c>
      <x:c r="D463" s="7" t="str">
        <x:v>core_ui_mb</x:v>
      </x:c>
      <x:c r="E463" s="14" t="n">
        <x:v>180</x:v>
      </x:c>
    </x:row>
    <x:row r="464" ht="34" customHeight="1">
      <x:c r="A464" s="12" t="str">
        <x:v>DP3-B-R1</x:v>
      </x:c>
      <x:c r="B464" s="12" t="str">
        <x:v>U13</x:v>
      </x:c>
      <x:c r="C464" s="13" t="n">
        <x:v>0.14</x:v>
      </x:c>
      <x:c r="D464" s="12" t="str">
        <x:v>asr_audio_mb</x:v>
      </x:c>
      <x:c r="E464" s="13" t="n">
        <x:v>220</x:v>
      </x:c>
    </x:row>
    <x:row r="465" ht="34" customHeight="1">
      <x:c r="A465" s="7" t="str">
        <x:v>DP3-B-R1</x:v>
      </x:c>
      <x:c r="B465" s="7" t="str">
        <x:v>U13</x:v>
      </x:c>
      <x:c r="C465" s="14" t="n">
        <x:v>0.14</x:v>
      </x:c>
      <x:c r="D465" s="7" t="str">
        <x:v>source_ring_mb</x:v>
      </x:c>
      <x:c r="E465" s="14" t="n">
        <x:v>96</x:v>
      </x:c>
    </x:row>
    <x:row r="466" ht="34" customHeight="1">
      <x:c r="A466" s="12" t="str">
        <x:v>DP3-B-R1</x:v>
      </x:c>
      <x:c r="B466" s="12" t="str">
        <x:v>U13</x:v>
      </x:c>
      <x:c r="C466" s="13" t="n">
        <x:v>0.14</x:v>
      </x:c>
      <x:c r="D466" s="12" t="str">
        <x:v>common_history_mb</x:v>
      </x:c>
      <x:c r="E466" s="13" t="n">
        <x:v>64</x:v>
      </x:c>
    </x:row>
    <x:row r="467" ht="34" customHeight="1">
      <x:c r="A467" s="7" t="str">
        <x:v>DP3-B-R1</x:v>
      </x:c>
      <x:c r="B467" s="7" t="str">
        <x:v>U13</x:v>
      </x:c>
      <x:c r="C467" s="14" t="n">
        <x:v>0.14</x:v>
      </x:c>
      <x:c r="D467" s="7" t="str">
        <x:v>request</x:v>
      </x:c>
      <x:c r="E467" s="14" t="n">
        <x:v>11</x:v>
      </x:c>
    </x:row>
    <x:row r="468" ht="34" customHeight="1">
      <x:c r="A468" s="12" t="str">
        <x:v>DP3-B-R1</x:v>
      </x:c>
      <x:c r="B468" s="12" t="str">
        <x:v>U13</x:v>
      </x:c>
      <x:c r="C468" s="13" t="n">
        <x:v>0.14</x:v>
      </x:c>
      <x:c r="D468" s="12" t="str">
        <x:v>meaning:client</x:v>
      </x:c>
      <x:c r="E468" s="13" t="n">
        <x:v>17.4</x:v>
      </x:c>
    </x:row>
    <x:row r="469" ht="34" customHeight="1">
      <x:c r="A469" s="7" t="str">
        <x:v>DP3-B-R1</x:v>
      </x:c>
      <x:c r="B469" s="7" t="str">
        <x:v>U13</x:v>
      </x:c>
      <x:c r="C469" s="14" t="n">
        <x:v>0.14</x:v>
      </x:c>
      <x:c r="D469" s="7" t="str">
        <x:v>valid_audio</x:v>
      </x:c>
      <x:c r="E469" s="14" t="n">
        <x:v>0</x:v>
      </x:c>
    </x:row>
    <x:row r="470" ht="34" customHeight="1">
      <x:c r="A470" s="12" t="str">
        <x:v>DP3-B-R1</x:v>
      </x:c>
      <x:c r="B470" s="12" t="str">
        <x:v>U14</x:v>
      </x:c>
      <x:c r="C470" s="13" t="n">
        <x:v>0.38</x:v>
      </x:c>
      <x:c r="D470" s="12" t="str">
        <x:v>core_ui_mb</x:v>
      </x:c>
      <x:c r="E470" s="13" t="n">
        <x:v>180</x:v>
      </x:c>
    </x:row>
    <x:row r="471" ht="34" customHeight="1">
      <x:c r="A471" s="7" t="str">
        <x:v>DP3-B-R1</x:v>
      </x:c>
      <x:c r="B471" s="7" t="str">
        <x:v>U14</x:v>
      </x:c>
      <x:c r="C471" s="14" t="n">
        <x:v>0.38</x:v>
      </x:c>
      <x:c r="D471" s="7" t="str">
        <x:v>asr_audio_mb</x:v>
      </x:c>
      <x:c r="E471" s="14" t="n">
        <x:v>220</x:v>
      </x:c>
    </x:row>
    <x:row r="472" ht="34" customHeight="1">
      <x:c r="A472" s="12" t="str">
        <x:v>DP3-B-R1</x:v>
      </x:c>
      <x:c r="B472" s="12" t="str">
        <x:v>U14</x:v>
      </x:c>
      <x:c r="C472" s="13" t="n">
        <x:v>0.38</x:v>
      </x:c>
      <x:c r="D472" s="12" t="str">
        <x:v>source_ring_mb</x:v>
      </x:c>
      <x:c r="E472" s="13" t="n">
        <x:v>96</x:v>
      </x:c>
    </x:row>
    <x:row r="473" ht="34" customHeight="1">
      <x:c r="A473" s="7" t="str">
        <x:v>DP3-B-R1</x:v>
      </x:c>
      <x:c r="B473" s="7" t="str">
        <x:v>U14</x:v>
      </x:c>
      <x:c r="C473" s="14" t="n">
        <x:v>0.38</x:v>
      </x:c>
      <x:c r="D473" s="7" t="str">
        <x:v>common_history_mb</x:v>
      </x:c>
      <x:c r="E473" s="14" t="n">
        <x:v>64</x:v>
      </x:c>
    </x:row>
    <x:row r="474" ht="34" customHeight="1">
      <x:c r="A474" s="12" t="str">
        <x:v>DP3-B-R1</x:v>
      </x:c>
      <x:c r="B474" s="12" t="str">
        <x:v>U14</x:v>
      </x:c>
      <x:c r="C474" s="13" t="n">
        <x:v>0.38</x:v>
      </x:c>
      <x:c r="D474" s="12" t="str">
        <x:v>request</x:v>
      </x:c>
      <x:c r="E474" s="13" t="n">
        <x:v>11</x:v>
      </x:c>
    </x:row>
    <x:row r="475" ht="34" customHeight="1">
      <x:c r="A475" s="7" t="str">
        <x:v>DP3-B-R1</x:v>
      </x:c>
      <x:c r="B475" s="7" t="str">
        <x:v>U14</x:v>
      </x:c>
      <x:c r="C475" s="14" t="n">
        <x:v>0.38</x:v>
      </x:c>
      <x:c r="D475" s="7" t="str">
        <x:v>meaning:client</x:v>
      </x:c>
      <x:c r="E475" s="14" t="n">
        <x:v>27</x:v>
      </x:c>
    </x:row>
    <x:row r="476" ht="34" customHeight="1">
      <x:c r="A476" s="12" t="str">
        <x:v>DP3-B-R1</x:v>
      </x:c>
      <x:c r="B476" s="12" t="str">
        <x:v>U14</x:v>
      </x:c>
      <x:c r="C476" s="13" t="n">
        <x:v>0.38</x:v>
      </x:c>
      <x:c r="D476" s="12" t="str">
        <x:v>valid_audio</x:v>
      </x:c>
      <x:c r="E476" s="13" t="n">
        <x:v>0</x:v>
      </x:c>
    </x:row>
    <x:row r="477" ht="34" customHeight="1">
      <x:c r="A477" s="7" t="str">
        <x:v>DP3-B-R1</x:v>
      </x:c>
      <x:c r="B477" s="7" t="str">
        <x:v>U15</x:v>
      </x:c>
      <x:c r="C477" s="14" t="n">
        <x:v>0.14</x:v>
      </x:c>
      <x:c r="D477" s="7" t="str">
        <x:v>core_ui_mb</x:v>
      </x:c>
      <x:c r="E477" s="14" t="n">
        <x:v>180</x:v>
      </x:c>
    </x:row>
    <x:row r="478" ht="34" customHeight="1">
      <x:c r="A478" s="12" t="str">
        <x:v>DP3-B-R1</x:v>
      </x:c>
      <x:c r="B478" s="12" t="str">
        <x:v>U15</x:v>
      </x:c>
      <x:c r="C478" s="13" t="n">
        <x:v>0.14</x:v>
      </x:c>
      <x:c r="D478" s="12" t="str">
        <x:v>asr_audio_mb</x:v>
      </x:c>
      <x:c r="E478" s="13" t="n">
        <x:v>220</x:v>
      </x:c>
    </x:row>
    <x:row r="479" ht="34" customHeight="1">
      <x:c r="A479" s="7" t="str">
        <x:v>DP3-B-R1</x:v>
      </x:c>
      <x:c r="B479" s="7" t="str">
        <x:v>U15</x:v>
      </x:c>
      <x:c r="C479" s="14" t="n">
        <x:v>0.14</x:v>
      </x:c>
      <x:c r="D479" s="7" t="str">
        <x:v>source_ring_mb</x:v>
      </x:c>
      <x:c r="E479" s="14" t="n">
        <x:v>96</x:v>
      </x:c>
    </x:row>
    <x:row r="480" ht="34" customHeight="1">
      <x:c r="A480" s="12" t="str">
        <x:v>DP3-B-R1</x:v>
      </x:c>
      <x:c r="B480" s="12" t="str">
        <x:v>U15</x:v>
      </x:c>
      <x:c r="C480" s="13" t="n">
        <x:v>0.14</x:v>
      </x:c>
      <x:c r="D480" s="12" t="str">
        <x:v>common_history_mb</x:v>
      </x:c>
      <x:c r="E480" s="13" t="n">
        <x:v>64</x:v>
      </x:c>
    </x:row>
    <x:row r="481" ht="34" customHeight="1">
      <x:c r="A481" s="7" t="str">
        <x:v>DP3-B-R1</x:v>
      </x:c>
      <x:c r="B481" s="7" t="str">
        <x:v>U15</x:v>
      </x:c>
      <x:c r="C481" s="14" t="n">
        <x:v>0.14</x:v>
      </x:c>
      <x:c r="D481" s="7" t="str">
        <x:v>request</x:v>
      </x:c>
      <x:c r="E481" s="14" t="n">
        <x:v>11</x:v>
      </x:c>
    </x:row>
    <x:row r="482" ht="34" customHeight="1">
      <x:c r="A482" s="12" t="str">
        <x:v>DP3-B-R1</x:v>
      </x:c>
      <x:c r="B482" s="12" t="str">
        <x:v>U15</x:v>
      </x:c>
      <x:c r="C482" s="13" t="n">
        <x:v>0.14</x:v>
      </x:c>
      <x:c r="D482" s="12" t="str">
        <x:v>meaning:client</x:v>
      </x:c>
      <x:c r="E482" s="13" t="n">
        <x:v>17.4</x:v>
      </x:c>
    </x:row>
    <x:row r="483" ht="34" customHeight="1">
      <x:c r="A483" s="7" t="str">
        <x:v>DP3-B-R1</x:v>
      </x:c>
      <x:c r="B483" s="7" t="str">
        <x:v>U15</x:v>
      </x:c>
      <x:c r="C483" s="14" t="n">
        <x:v>0.14</x:v>
      </x:c>
      <x:c r="D483" s="7" t="str">
        <x:v>valid_audio</x:v>
      </x:c>
      <x:c r="E483" s="14" t="n">
        <x:v>0</x:v>
      </x:c>
    </x:row>
    <x:row r="484" ht="34" customHeight="1">
      <x:c r="A484" s="12" t="str">
        <x:v>DP3-B-R1</x:v>
      </x:c>
      <x:c r="B484" s="12" t="str">
        <x:v>U16</x:v>
      </x:c>
      <x:c r="C484" s="13" t="n">
        <x:v>0.38</x:v>
      </x:c>
      <x:c r="D484" s="12" t="str">
        <x:v>core_ui_mb</x:v>
      </x:c>
      <x:c r="E484" s="13" t="n">
        <x:v>180</x:v>
      </x:c>
    </x:row>
    <x:row r="485" ht="34" customHeight="1">
      <x:c r="A485" s="7" t="str">
        <x:v>DP3-B-R1</x:v>
      </x:c>
      <x:c r="B485" s="7" t="str">
        <x:v>U16</x:v>
      </x:c>
      <x:c r="C485" s="14" t="n">
        <x:v>0.38</x:v>
      </x:c>
      <x:c r="D485" s="7" t="str">
        <x:v>asr_audio_mb</x:v>
      </x:c>
      <x:c r="E485" s="14" t="n">
        <x:v>220</x:v>
      </x:c>
    </x:row>
    <x:row r="486" ht="34" customHeight="1">
      <x:c r="A486" s="12" t="str">
        <x:v>DP3-B-R1</x:v>
      </x:c>
      <x:c r="B486" s="12" t="str">
        <x:v>U16</x:v>
      </x:c>
      <x:c r="C486" s="13" t="n">
        <x:v>0.38</x:v>
      </x:c>
      <x:c r="D486" s="12" t="str">
        <x:v>source_ring_mb</x:v>
      </x:c>
      <x:c r="E486" s="13" t="n">
        <x:v>96</x:v>
      </x:c>
    </x:row>
    <x:row r="487" ht="34" customHeight="1">
      <x:c r="A487" s="7" t="str">
        <x:v>DP3-B-R1</x:v>
      </x:c>
      <x:c r="B487" s="7" t="str">
        <x:v>U16</x:v>
      </x:c>
      <x:c r="C487" s="14" t="n">
        <x:v>0.38</x:v>
      </x:c>
      <x:c r="D487" s="7" t="str">
        <x:v>common_history_mb</x:v>
      </x:c>
      <x:c r="E487" s="14" t="n">
        <x:v>64</x:v>
      </x:c>
    </x:row>
    <x:row r="488" ht="34" customHeight="1">
      <x:c r="A488" s="12" t="str">
        <x:v>DP3-B-R1</x:v>
      </x:c>
      <x:c r="B488" s="12" t="str">
        <x:v>U16</x:v>
      </x:c>
      <x:c r="C488" s="13" t="n">
        <x:v>0.38</x:v>
      </x:c>
      <x:c r="D488" s="12" t="str">
        <x:v>request</x:v>
      </x:c>
      <x:c r="E488" s="13" t="n">
        <x:v>11</x:v>
      </x:c>
    </x:row>
    <x:row r="489" ht="34" customHeight="1">
      <x:c r="A489" s="7" t="str">
        <x:v>DP3-B-R1</x:v>
      </x:c>
      <x:c r="B489" s="7" t="str">
        <x:v>U16</x:v>
      </x:c>
      <x:c r="C489" s="14" t="n">
        <x:v>0.38</x:v>
      </x:c>
      <x:c r="D489" s="7" t="str">
        <x:v>meaning:client</x:v>
      </x:c>
      <x:c r="E489" s="14" t="n">
        <x:v>27</x:v>
      </x:c>
    </x:row>
    <x:row r="490" ht="34" customHeight="1">
      <x:c r="A490" s="12" t="str">
        <x:v>DP3-B-R1</x:v>
      </x:c>
      <x:c r="B490" s="12" t="str">
        <x:v>U16</x:v>
      </x:c>
      <x:c r="C490" s="13" t="n">
        <x:v>0.38</x:v>
      </x:c>
      <x:c r="D490" s="12" t="str">
        <x:v>valid_audio</x:v>
      </x:c>
      <x:c r="E490" s="13" t="n">
        <x:v>0</x:v>
      </x:c>
    </x:row>
    <x:row r="491" ht="34" customHeight="1">
      <x:c r="A491" s="7" t="str">
        <x:v>DP3-B-R1</x:v>
      </x:c>
      <x:c r="B491" s="7" t="str">
        <x:v>U17</x:v>
      </x:c>
      <x:c r="C491" s="14" t="n">
        <x:v>0.3906666666666667</x:v>
      </x:c>
      <x:c r="D491" s="7" t="str">
        <x:v>core_ui_mb</x:v>
      </x:c>
      <x:c r="E491" s="14" t="n">
        <x:v>180</x:v>
      </x:c>
    </x:row>
    <x:row r="492" ht="34" customHeight="1">
      <x:c r="A492" s="12" t="str">
        <x:v>DP3-B-R1</x:v>
      </x:c>
      <x:c r="B492" s="12" t="str">
        <x:v>U17</x:v>
      </x:c>
      <x:c r="C492" s="13" t="n">
        <x:v>0.3906666666666667</x:v>
      </x:c>
      <x:c r="D492" s="12" t="str">
        <x:v>asr_audio_mb</x:v>
      </x:c>
      <x:c r="E492" s="13" t="n">
        <x:v>220</x:v>
      </x:c>
    </x:row>
    <x:row r="493" ht="34" customHeight="1">
      <x:c r="A493" s="7" t="str">
        <x:v>DP3-B-R1</x:v>
      </x:c>
      <x:c r="B493" s="7" t="str">
        <x:v>U17</x:v>
      </x:c>
      <x:c r="C493" s="14" t="n">
        <x:v>0.3906666666666667</x:v>
      </x:c>
      <x:c r="D493" s="7" t="str">
        <x:v>source_ring_mb</x:v>
      </x:c>
      <x:c r="E493" s="14" t="n">
        <x:v>96</x:v>
      </x:c>
    </x:row>
    <x:row r="494" ht="34" customHeight="1">
      <x:c r="A494" s="12" t="str">
        <x:v>DP3-B-R1</x:v>
      </x:c>
      <x:c r="B494" s="12" t="str">
        <x:v>U17</x:v>
      </x:c>
      <x:c r="C494" s="13" t="n">
        <x:v>0.3906666666666667</x:v>
      </x:c>
      <x:c r="D494" s="12" t="str">
        <x:v>common_history_mb</x:v>
      </x:c>
      <x:c r="E494" s="13" t="n">
        <x:v>64</x:v>
      </x:c>
    </x:row>
    <x:row r="495" ht="34" customHeight="1">
      <x:c r="A495" s="7" t="str">
        <x:v>DP3-B-R1</x:v>
      </x:c>
      <x:c r="B495" s="7" t="str">
        <x:v>U17</x:v>
      </x:c>
      <x:c r="C495" s="14" t="n">
        <x:v>0.3906666666666667</x:v>
      </x:c>
      <x:c r="D495" s="7" t="str">
        <x:v>request</x:v>
      </x:c>
      <x:c r="E495" s="14" t="n">
        <x:v>11</x:v>
      </x:c>
    </x:row>
    <x:row r="496" ht="34" customHeight="1">
      <x:c r="A496" s="12" t="str">
        <x:v>DP3-B-R1</x:v>
      </x:c>
      <x:c r="B496" s="12" t="str">
        <x:v>U17</x:v>
      </x:c>
      <x:c r="C496" s="13" t="n">
        <x:v>0.3906666666666667</x:v>
      </x:c>
      <x:c r="D496" s="12" t="str">
        <x:v>meaning:client</x:v>
      </x:c>
      <x:c r="E496" s="13" t="n">
        <x:v>17.4</x:v>
      </x:c>
    </x:row>
    <x:row r="497" ht="34" customHeight="1">
      <x:c r="A497" s="7" t="str">
        <x:v>DP3-B-R1</x:v>
      </x:c>
      <x:c r="B497" s="7" t="str">
        <x:v>U17</x:v>
      </x:c>
      <x:c r="C497" s="14" t="n">
        <x:v>0.3906666666666667</x:v>
      </x:c>
      <x:c r="D497" s="7" t="str">
        <x:v>valid_audio</x:v>
      </x:c>
      <x:c r="E497" s="14" t="n">
        <x:v>0.384</x:v>
      </x:c>
    </x:row>
    <x:row r="498" ht="34" customHeight="1">
      <x:c r="A498" s="12" t="str">
        <x:v>DP3-B-R1</x:v>
      </x:c>
      <x:c r="B498" s="12" t="str">
        <x:v>U18</x:v>
      </x:c>
      <x:c r="C498" s="13" t="n">
        <x:v>0.8933333333333335</x:v>
      </x:c>
      <x:c r="D498" s="12" t="str">
        <x:v>core_ui_mb</x:v>
      </x:c>
      <x:c r="E498" s="13" t="n">
        <x:v>180</x:v>
      </x:c>
    </x:row>
    <x:row r="499" ht="34" customHeight="1">
      <x:c r="A499" s="7" t="str">
        <x:v>DP3-B-R1</x:v>
      </x:c>
      <x:c r="B499" s="7" t="str">
        <x:v>U18</x:v>
      </x:c>
      <x:c r="C499" s="14" t="n">
        <x:v>0.8933333333333335</x:v>
      </x:c>
      <x:c r="D499" s="7" t="str">
        <x:v>asr_audio_mb</x:v>
      </x:c>
      <x:c r="E499" s="14" t="n">
        <x:v>220</x:v>
      </x:c>
    </x:row>
    <x:row r="500" ht="34" customHeight="1">
      <x:c r="A500" s="12" t="str">
        <x:v>DP3-B-R1</x:v>
      </x:c>
      <x:c r="B500" s="12" t="str">
        <x:v>U18</x:v>
      </x:c>
      <x:c r="C500" s="13" t="n">
        <x:v>0.8933333333333335</x:v>
      </x:c>
      <x:c r="D500" s="12" t="str">
        <x:v>source_ring_mb</x:v>
      </x:c>
      <x:c r="E500" s="13" t="n">
        <x:v>96</x:v>
      </x:c>
    </x:row>
    <x:row r="501" ht="34" customHeight="1">
      <x:c r="A501" s="7" t="str">
        <x:v>DP3-B-R1</x:v>
      </x:c>
      <x:c r="B501" s="7" t="str">
        <x:v>U18</x:v>
      </x:c>
      <x:c r="C501" s="14" t="n">
        <x:v>0.8933333333333335</x:v>
      </x:c>
      <x:c r="D501" s="7" t="str">
        <x:v>common_history_mb</x:v>
      </x:c>
      <x:c r="E501" s="14" t="n">
        <x:v>64</x:v>
      </x:c>
    </x:row>
    <x:row r="502" ht="34" customHeight="1">
      <x:c r="A502" s="12" t="str">
        <x:v>DP3-B-R1</x:v>
      </x:c>
      <x:c r="B502" s="12" t="str">
        <x:v>U18</x:v>
      </x:c>
      <x:c r="C502" s="13" t="n">
        <x:v>0.8933333333333335</x:v>
      </x:c>
      <x:c r="D502" s="12" t="str">
        <x:v>request</x:v>
      </x:c>
      <x:c r="E502" s="13" t="n">
        <x:v>11</x:v>
      </x:c>
    </x:row>
    <x:row r="503" ht="34" customHeight="1">
      <x:c r="A503" s="7" t="str">
        <x:v>DP3-B-R1</x:v>
      </x:c>
      <x:c r="B503" s="7" t="str">
        <x:v>U18</x:v>
      </x:c>
      <x:c r="C503" s="14" t="n">
        <x:v>0.8933333333333335</x:v>
      </x:c>
      <x:c r="D503" s="7" t="str">
        <x:v>meaning:client</x:v>
      </x:c>
      <x:c r="E503" s="14" t="n">
        <x:v>17.4</x:v>
      </x:c>
    </x:row>
    <x:row r="504" ht="34" customHeight="1">
      <x:c r="A504" s="12" t="str">
        <x:v>DP3-B-R1</x:v>
      </x:c>
      <x:c r="B504" s="12" t="str">
        <x:v>U18</x:v>
      </x:c>
      <x:c r="C504" s="13" t="n">
        <x:v>0.8933333333333335</x:v>
      </x:c>
      <x:c r="D504" s="12" t="str">
        <x:v>valid_audio</x:v>
      </x:c>
      <x:c r="E504" s="13" t="n">
        <x:v>0.864</x:v>
      </x:c>
    </x:row>
    <x:row r="505" ht="34" customHeight="1">
      <x:c r="A505" s="7" t="str">
        <x:v>DP3-B-R1</x:v>
      </x:c>
      <x:c r="B505" s="7" t="str">
        <x:v>U19</x:v>
      </x:c>
      <x:c r="C505" s="14" t="n">
        <x:v>1.47999999</x:v>
      </x:c>
      <x:c r="D505" s="7" t="str">
        <x:v>core_ui_mb</x:v>
      </x:c>
      <x:c r="E505" s="14" t="n">
        <x:v>180</x:v>
      </x:c>
    </x:row>
    <x:row r="506" ht="34" customHeight="1">
      <x:c r="A506" s="12" t="str">
        <x:v>DP3-B-R1</x:v>
      </x:c>
      <x:c r="B506" s="12" t="str">
        <x:v>U19</x:v>
      </x:c>
      <x:c r="C506" s="13" t="n">
        <x:v>1.47999999</x:v>
      </x:c>
      <x:c r="D506" s="12" t="str">
        <x:v>asr_audio_mb</x:v>
      </x:c>
      <x:c r="E506" s="13" t="n">
        <x:v>220</x:v>
      </x:c>
    </x:row>
    <x:row r="507" ht="34" customHeight="1">
      <x:c r="A507" s="7" t="str">
        <x:v>DP3-B-R1</x:v>
      </x:c>
      <x:c r="B507" s="7" t="str">
        <x:v>U19</x:v>
      </x:c>
      <x:c r="C507" s="14" t="n">
        <x:v>1.47999999</x:v>
      </x:c>
      <x:c r="D507" s="7" t="str">
        <x:v>source_ring_mb</x:v>
      </x:c>
      <x:c r="E507" s="14" t="n">
        <x:v>96</x:v>
      </x:c>
    </x:row>
    <x:row r="508" ht="34" customHeight="1">
      <x:c r="A508" s="12" t="str">
        <x:v>DP3-B-R1</x:v>
      </x:c>
      <x:c r="B508" s="12" t="str">
        <x:v>U19</x:v>
      </x:c>
      <x:c r="C508" s="13" t="n">
        <x:v>1.47999999</x:v>
      </x:c>
      <x:c r="D508" s="12" t="str">
        <x:v>common_history_mb</x:v>
      </x:c>
      <x:c r="E508" s="13" t="n">
        <x:v>64</x:v>
      </x:c>
    </x:row>
    <x:row r="509" ht="34" customHeight="1">
      <x:c r="A509" s="7" t="str">
        <x:v>DP3-B-R1</x:v>
      </x:c>
      <x:c r="B509" s="7" t="str">
        <x:v>U19</x:v>
      </x:c>
      <x:c r="C509" s="14" t="n">
        <x:v>1.47999999</x:v>
      </x:c>
      <x:c r="D509" s="7" t="str">
        <x:v>request</x:v>
      </x:c>
      <x:c r="E509" s="14" t="n">
        <x:v>11</x:v>
      </x:c>
    </x:row>
    <x:row r="510" ht="34" customHeight="1">
      <x:c r="A510" s="12" t="str">
        <x:v>DP3-B-R1</x:v>
      </x:c>
      <x:c r="B510" s="12" t="str">
        <x:v>U19</x:v>
      </x:c>
      <x:c r="C510" s="13" t="n">
        <x:v>1.47999999</x:v>
      </x:c>
      <x:c r="D510" s="12" t="str">
        <x:v>meaning:client</x:v>
      </x:c>
      <x:c r="E510" s="13" t="n">
        <x:v>17.4</x:v>
      </x:c>
    </x:row>
    <x:row r="511" ht="34" customHeight="1">
      <x:c r="A511" s="7" t="str">
        <x:v>DP3-B-R1</x:v>
      </x:c>
      <x:c r="B511" s="7" t="str">
        <x:v>U19</x:v>
      </x:c>
      <x:c r="C511" s="14" t="n">
        <x:v>1.47999999</x:v>
      </x:c>
      <x:c r="D511" s="7" t="str">
        <x:v>valid_audio</x:v>
      </x:c>
      <x:c r="E511" s="14" t="n">
        <x:v>0.87398399808</x:v>
      </x:c>
    </x:row>
    <x:row r="512" ht="34" customHeight="1">
      <x:c r="A512" s="12" t="str">
        <x:v>DP3-B-R1</x:v>
      </x:c>
      <x:c r="B512" s="12" t="str">
        <x:v>U20</x:v>
      </x:c>
      <x:c r="C512" s="13" t="n">
        <x:v>0.38</x:v>
      </x:c>
      <x:c r="D512" s="12" t="str">
        <x:v>core_ui_mb</x:v>
      </x:c>
      <x:c r="E512" s="13" t="n">
        <x:v>180</x:v>
      </x:c>
    </x:row>
    <x:row r="513" ht="34" customHeight="1">
      <x:c r="A513" s="7" t="str">
        <x:v>DP3-B-R1</x:v>
      </x:c>
      <x:c r="B513" s="7" t="str">
        <x:v>U20</x:v>
      </x:c>
      <x:c r="C513" s="14" t="n">
        <x:v>0.38</x:v>
      </x:c>
      <x:c r="D513" s="7" t="str">
        <x:v>asr_audio_mb</x:v>
      </x:c>
      <x:c r="E513" s="14" t="n">
        <x:v>220</x:v>
      </x:c>
    </x:row>
    <x:row r="514" ht="34" customHeight="1">
      <x:c r="A514" s="12" t="str">
        <x:v>DP3-B-R1</x:v>
      </x:c>
      <x:c r="B514" s="12" t="str">
        <x:v>U20</x:v>
      </x:c>
      <x:c r="C514" s="13" t="n">
        <x:v>0.38</x:v>
      </x:c>
      <x:c r="D514" s="12" t="str">
        <x:v>source_ring_mb</x:v>
      </x:c>
      <x:c r="E514" s="13" t="n">
        <x:v>96</x:v>
      </x:c>
    </x:row>
    <x:row r="515" ht="34" customHeight="1">
      <x:c r="A515" s="7" t="str">
        <x:v>DP3-B-R1</x:v>
      </x:c>
      <x:c r="B515" s="7" t="str">
        <x:v>U20</x:v>
      </x:c>
      <x:c r="C515" s="14" t="n">
        <x:v>0.38</x:v>
      </x:c>
      <x:c r="D515" s="7" t="str">
        <x:v>common_history_mb</x:v>
      </x:c>
      <x:c r="E515" s="14" t="n">
        <x:v>64</x:v>
      </x:c>
    </x:row>
    <x:row r="516" ht="34" customHeight="1">
      <x:c r="A516" s="12" t="str">
        <x:v>DP3-B-R1</x:v>
      </x:c>
      <x:c r="B516" s="12" t="str">
        <x:v>U20</x:v>
      </x:c>
      <x:c r="C516" s="13" t="n">
        <x:v>0.38</x:v>
      </x:c>
      <x:c r="D516" s="12" t="str">
        <x:v>request</x:v>
      </x:c>
      <x:c r="E516" s="13" t="n">
        <x:v>11</x:v>
      </x:c>
    </x:row>
    <x:row r="517" ht="34" customHeight="1">
      <x:c r="A517" s="7" t="str">
        <x:v>DP3-B-R1</x:v>
      </x:c>
      <x:c r="B517" s="7" t="str">
        <x:v>U20</x:v>
      </x:c>
      <x:c r="C517" s="14" t="n">
        <x:v>0.38</x:v>
      </x:c>
      <x:c r="D517" s="7" t="str">
        <x:v>meaning:client</x:v>
      </x:c>
      <x:c r="E517" s="14" t="n">
        <x:v>17.4</x:v>
      </x:c>
    </x:row>
    <x:row r="518" ht="34" customHeight="1">
      <x:c r="A518" s="12" t="str">
        <x:v>DP3-B-R1</x:v>
      </x:c>
      <x:c r="B518" s="12" t="str">
        <x:v>U20</x:v>
      </x:c>
      <x:c r="C518" s="13" t="n">
        <x:v>0.38</x:v>
      </x:c>
      <x:c r="D518" s="12" t="str">
        <x:v>valid_audio</x:v>
      </x:c>
      <x:c r="E518" s="13" t="n">
        <x:v>0.5760000000000001</x:v>
      </x:c>
    </x:row>
    <x:row r="519" ht="34" customHeight="1">
      <x:c r="A519" s="7" t="str">
        <x:v>DP3-B-R1</x:v>
      </x:c>
      <x:c r="B519" s="7" t="str">
        <x:v>U21</x:v>
      </x:c>
      <x:c r="C519" s="14" t="n">
        <x:v>1.58</x:v>
      </x:c>
      <x:c r="D519" s="7" t="str">
        <x:v>core_ui_mb</x:v>
      </x:c>
      <x:c r="E519" s="14" t="n">
        <x:v>180</x:v>
      </x:c>
    </x:row>
    <x:row r="520" ht="34" customHeight="1">
      <x:c r="A520" s="12" t="str">
        <x:v>DP3-B-R1</x:v>
      </x:c>
      <x:c r="B520" s="12" t="str">
        <x:v>U21</x:v>
      </x:c>
      <x:c r="C520" s="13" t="n">
        <x:v>1.58</x:v>
      </x:c>
      <x:c r="D520" s="12" t="str">
        <x:v>asr_audio_mb</x:v>
      </x:c>
      <x:c r="E520" s="13" t="n">
        <x:v>220</x:v>
      </x:c>
    </x:row>
    <x:row r="521" ht="34" customHeight="1">
      <x:c r="A521" s="7" t="str">
        <x:v>DP3-B-R1</x:v>
      </x:c>
      <x:c r="B521" s="7" t="str">
        <x:v>U21</x:v>
      </x:c>
      <x:c r="C521" s="14" t="n">
        <x:v>1.58</x:v>
      </x:c>
      <x:c r="D521" s="7" t="str">
        <x:v>source_ring_mb</x:v>
      </x:c>
      <x:c r="E521" s="14" t="n">
        <x:v>96</x:v>
      </x:c>
    </x:row>
    <x:row r="522" ht="34" customHeight="1">
      <x:c r="A522" s="12" t="str">
        <x:v>DP3-B-R1</x:v>
      </x:c>
      <x:c r="B522" s="12" t="str">
        <x:v>U21</x:v>
      </x:c>
      <x:c r="C522" s="13" t="n">
        <x:v>1.58</x:v>
      </x:c>
      <x:c r="D522" s="12" t="str">
        <x:v>common_history_mb</x:v>
      </x:c>
      <x:c r="E522" s="13" t="n">
        <x:v>64</x:v>
      </x:c>
    </x:row>
    <x:row r="523" ht="34" customHeight="1">
      <x:c r="A523" s="7" t="str">
        <x:v>DP3-B-R1</x:v>
      </x:c>
      <x:c r="B523" s="7" t="str">
        <x:v>U21</x:v>
      </x:c>
      <x:c r="C523" s="14" t="n">
        <x:v>1.58</x:v>
      </x:c>
      <x:c r="D523" s="7" t="str">
        <x:v>request</x:v>
      </x:c>
      <x:c r="E523" s="14" t="n">
        <x:v>11</x:v>
      </x:c>
    </x:row>
    <x:row r="524" ht="34" customHeight="1">
      <x:c r="A524" s="12" t="str">
        <x:v>DP3-B-R1</x:v>
      </x:c>
      <x:c r="B524" s="12" t="str">
        <x:v>U21</x:v>
      </x:c>
      <x:c r="C524" s="13" t="n">
        <x:v>1.58</x:v>
      </x:c>
      <x:c r="D524" s="12" t="str">
        <x:v>bg1:client</x:v>
      </x:c>
      <x:c r="E524" s="13" t="n">
        <x:v>19.8</x:v>
      </x:c>
    </x:row>
    <x:row r="525" ht="34" customHeight="1">
      <x:c r="A525" s="7" t="str">
        <x:v>DP3-B-R1</x:v>
      </x:c>
      <x:c r="B525" s="7" t="str">
        <x:v>U21</x:v>
      </x:c>
      <x:c r="C525" s="14" t="n">
        <x:v>1.58</x:v>
      </x:c>
      <x:c r="D525" s="7" t="str">
        <x:v>now_ui_load:ui_load_temp</x:v>
      </x:c>
      <x:c r="E525" s="14" t="n">
        <x:v>380</x:v>
      </x:c>
    </x:row>
    <x:row r="526" ht="34" customHeight="1">
      <x:c r="A526" s="12" t="str">
        <x:v>DP3-B-R1</x:v>
      </x:c>
      <x:c r="B526" s="12" t="str">
        <x:v>U21</x:v>
      </x:c>
      <x:c r="C526" s="13" t="n">
        <x:v>1.58</x:v>
      </x:c>
      <x:c r="D526" s="12" t="str">
        <x:v>cloud_image_buffer</x:v>
      </x:c>
      <x:c r="E526" s="13" t="n">
        <x:v>32</x:v>
      </x:c>
    </x:row>
    <x:row r="527" ht="34" customHeight="1">
      <x:c r="A527" s="7" t="str">
        <x:v>DP3-B-R1</x:v>
      </x:c>
      <x:c r="B527" s="7" t="str">
        <x:v>U21</x:v>
      </x:c>
      <x:c r="C527" s="14" t="n">
        <x:v>1.58</x:v>
      </x:c>
      <x:c r="D527" s="7" t="str">
        <x:v>runtime_shared_pages</x:v>
      </x:c>
      <x:c r="E527" s="14" t="n">
        <x:v>60</x:v>
      </x:c>
    </x:row>
    <x:row r="528" ht="34" customHeight="1">
      <x:c r="A528" s="12" t="str">
        <x:v>DP3-B-R1</x:v>
      </x:c>
      <x:c r="B528" s="12" t="str">
        <x:v>U21</x:v>
      </x:c>
      <x:c r="C528" s="13" t="n">
        <x:v>1.58</x:v>
      </x:c>
      <x:c r="D528" s="12" t="str">
        <x:v>vision_ipc</x:v>
      </x:c>
      <x:c r="E528" s="13" t="n">
        <x:v>24</x:v>
      </x:c>
    </x:row>
    <x:row r="529" ht="34" customHeight="1">
      <x:c r="A529" s="7" t="str">
        <x:v>DP3-B-R1</x:v>
      </x:c>
      <x:c r="B529" s="7" t="str">
        <x:v>U21</x:v>
      </x:c>
      <x:c r="C529" s="14" t="n">
        <x:v>1.58</x:v>
      </x:c>
      <x:c r="D529" s="7" t="str">
        <x:v>runtime_private:shared</x:v>
      </x:c>
      <x:c r="E529" s="14" t="n">
        <x:v>280</x:v>
      </x:c>
    </x:row>
    <x:row r="530" ht="34" customHeight="1">
      <x:c r="A530" s="12" t="str">
        <x:v>DP3-B-R1</x:v>
      </x:c>
      <x:c r="B530" s="12" t="str">
        <x:v>U21</x:v>
      </x:c>
      <x:c r="C530" s="13" t="n">
        <x:v>1.58</x:v>
      </x:c>
      <x:c r="D530" s="12" t="str">
        <x:v>weight:now_ui_infer</x:v>
      </x:c>
      <x:c r="E530" s="13" t="n">
        <x:v>420</x:v>
      </x:c>
    </x:row>
    <x:row r="531" ht="34" customHeight="1">
      <x:c r="A531" s="7" t="str">
        <x:v>DP3-B-R1</x:v>
      </x:c>
      <x:c r="B531" s="7" t="str">
        <x:v>U21</x:v>
      </x:c>
      <x:c r="C531" s="14" t="n">
        <x:v>1.58</x:v>
      </x:c>
      <x:c r="D531" s="7" t="str">
        <x:v>valid_audio</x:v>
      </x:c>
      <x:c r="E531" s="14" t="n">
        <x:v>0</x:v>
      </x:c>
    </x:row>
    <x:row r="532" ht="34" customHeight="1">
      <x:c r="A532" s="12" t="str">
        <x:v>DP3-B-R1</x:v>
      </x:c>
      <x:c r="B532" s="12" t="str">
        <x:v>U22</x:v>
      </x:c>
      <x:c r="C532" s="13" t="n">
        <x:v>0.38</x:v>
      </x:c>
      <x:c r="D532" s="12" t="str">
        <x:v>core_ui_mb</x:v>
      </x:c>
      <x:c r="E532" s="13" t="n">
        <x:v>180</x:v>
      </x:c>
    </x:row>
    <x:row r="533" ht="34" customHeight="1">
      <x:c r="A533" s="7" t="str">
        <x:v>DP3-B-R1</x:v>
      </x:c>
      <x:c r="B533" s="7" t="str">
        <x:v>U22</x:v>
      </x:c>
      <x:c r="C533" s="14" t="n">
        <x:v>0.38</x:v>
      </x:c>
      <x:c r="D533" s="7" t="str">
        <x:v>asr_audio_mb</x:v>
      </x:c>
      <x:c r="E533" s="14" t="n">
        <x:v>220</x:v>
      </x:c>
    </x:row>
    <x:row r="534" ht="34" customHeight="1">
      <x:c r="A534" s="12" t="str">
        <x:v>DP3-B-R1</x:v>
      </x:c>
      <x:c r="B534" s="12" t="str">
        <x:v>U22</x:v>
      </x:c>
      <x:c r="C534" s="13" t="n">
        <x:v>0.38</x:v>
      </x:c>
      <x:c r="D534" s="12" t="str">
        <x:v>source_ring_mb</x:v>
      </x:c>
      <x:c r="E534" s="13" t="n">
        <x:v>96</x:v>
      </x:c>
    </x:row>
    <x:row r="535" ht="34" customHeight="1">
      <x:c r="A535" s="7" t="str">
        <x:v>DP3-B-R1</x:v>
      </x:c>
      <x:c r="B535" s="7" t="str">
        <x:v>U22</x:v>
      </x:c>
      <x:c r="C535" s="14" t="n">
        <x:v>0.38</x:v>
      </x:c>
      <x:c r="D535" s="7" t="str">
        <x:v>common_history_mb</x:v>
      </x:c>
      <x:c r="E535" s="14" t="n">
        <x:v>64</x:v>
      </x:c>
    </x:row>
    <x:row r="536" ht="34" customHeight="1">
      <x:c r="A536" s="12" t="str">
        <x:v>DP3-B-R1</x:v>
      </x:c>
      <x:c r="B536" s="12" t="str">
        <x:v>U22</x:v>
      </x:c>
      <x:c r="C536" s="13" t="n">
        <x:v>0.38</x:v>
      </x:c>
      <x:c r="D536" s="12" t="str">
        <x:v>request</x:v>
      </x:c>
      <x:c r="E536" s="13" t="n">
        <x:v>11</x:v>
      </x:c>
    </x:row>
    <x:row r="537" ht="34" customHeight="1">
      <x:c r="A537" s="7" t="str">
        <x:v>DP3-B-R1</x:v>
      </x:c>
      <x:c r="B537" s="7" t="str">
        <x:v>U22</x:v>
      </x:c>
      <x:c r="C537" s="14" t="n">
        <x:v>0.38</x:v>
      </x:c>
      <x:c r="D537" s="7" t="str">
        <x:v>now_ui_load:ui_load_temp</x:v>
      </x:c>
      <x:c r="E537" s="14" t="n">
        <x:v>380</x:v>
      </x:c>
    </x:row>
    <x:row r="538" ht="34" customHeight="1">
      <x:c r="A538" s="12" t="str">
        <x:v>DP3-B-R1</x:v>
      </x:c>
      <x:c r="B538" s="12" t="str">
        <x:v>U22</x:v>
      </x:c>
      <x:c r="C538" s="13" t="n">
        <x:v>0.38</x:v>
      </x:c>
      <x:c r="D538" s="12" t="str">
        <x:v>cloud_image_buffer</x:v>
      </x:c>
      <x:c r="E538" s="13" t="n">
        <x:v>32</x:v>
      </x:c>
    </x:row>
    <x:row r="539" ht="34" customHeight="1">
      <x:c r="A539" s="7" t="str">
        <x:v>DP3-B-R1</x:v>
      </x:c>
      <x:c r="B539" s="7" t="str">
        <x:v>U22</x:v>
      </x:c>
      <x:c r="C539" s="14" t="n">
        <x:v>0.38</x:v>
      </x:c>
      <x:c r="D539" s="7" t="str">
        <x:v>runtime_shared_pages</x:v>
      </x:c>
      <x:c r="E539" s="14" t="n">
        <x:v>60</x:v>
      </x:c>
    </x:row>
    <x:row r="540" ht="34" customHeight="1">
      <x:c r="A540" s="12" t="str">
        <x:v>DP3-B-R1</x:v>
      </x:c>
      <x:c r="B540" s="12" t="str">
        <x:v>U22</x:v>
      </x:c>
      <x:c r="C540" s="13" t="n">
        <x:v>0.38</x:v>
      </x:c>
      <x:c r="D540" s="12" t="str">
        <x:v>vision_ipc</x:v>
      </x:c>
      <x:c r="E540" s="13" t="n">
        <x:v>24</x:v>
      </x:c>
    </x:row>
    <x:row r="541" ht="34" customHeight="1">
      <x:c r="A541" s="7" t="str">
        <x:v>DP3-B-R1</x:v>
      </x:c>
      <x:c r="B541" s="7" t="str">
        <x:v>U22</x:v>
      </x:c>
      <x:c r="C541" s="14" t="n">
        <x:v>0.38</x:v>
      </x:c>
      <x:c r="D541" s="7" t="str">
        <x:v>runtime_private:shared</x:v>
      </x:c>
      <x:c r="E541" s="14" t="n">
        <x:v>280</x:v>
      </x:c>
    </x:row>
    <x:row r="542" ht="34" customHeight="1">
      <x:c r="A542" s="12" t="str">
        <x:v>DP3-B-R1</x:v>
      </x:c>
      <x:c r="B542" s="12" t="str">
        <x:v>U22</x:v>
      </x:c>
      <x:c r="C542" s="13" t="n">
        <x:v>0.38</x:v>
      </x:c>
      <x:c r="D542" s="12" t="str">
        <x:v>weight:now_ui_infer</x:v>
      </x:c>
      <x:c r="E542" s="13" t="n">
        <x:v>420</x:v>
      </x:c>
    </x:row>
    <x:row r="543" ht="34" customHeight="1">
      <x:c r="A543" s="7" t="str">
        <x:v>DP3-B-R1</x:v>
      </x:c>
      <x:c r="B543" s="7" t="str">
        <x:v>U22</x:v>
      </x:c>
      <x:c r="C543" s="14" t="n">
        <x:v>0.38</x:v>
      </x:c>
      <x:c r="D543" s="7" t="str">
        <x:v>valid_audio</x:v>
      </x:c>
      <x:c r="E543" s="14" t="n">
        <x:v>0.28800000000000003</x:v>
      </x:c>
    </x:row>
    <x:row r="544" ht="34" customHeight="1">
      <x:c r="A544" s="12" t="str">
        <x:v>DP3-B-R1</x:v>
      </x:c>
      <x:c r="B544" s="12" t="str">
        <x:v>U23</x:v>
      </x:c>
      <x:c r="C544" s="13" t="n">
        <x:v>0.14</x:v>
      </x:c>
      <x:c r="D544" s="12" t="str">
        <x:v>core_ui_mb</x:v>
      </x:c>
      <x:c r="E544" s="13" t="n">
        <x:v>180</x:v>
      </x:c>
    </x:row>
    <x:row r="545" ht="34" customHeight="1">
      <x:c r="A545" s="7" t="str">
        <x:v>DP3-B-R1</x:v>
      </x:c>
      <x:c r="B545" s="7" t="str">
        <x:v>U23</x:v>
      </x:c>
      <x:c r="C545" s="14" t="n">
        <x:v>0.14</x:v>
      </x:c>
      <x:c r="D545" s="7" t="str">
        <x:v>asr_audio_mb</x:v>
      </x:c>
      <x:c r="E545" s="14" t="n">
        <x:v>220</x:v>
      </x:c>
    </x:row>
    <x:row r="546" ht="34" customHeight="1">
      <x:c r="A546" s="12" t="str">
        <x:v>DP3-B-R1</x:v>
      </x:c>
      <x:c r="B546" s="12" t="str">
        <x:v>U23</x:v>
      </x:c>
      <x:c r="C546" s="13" t="n">
        <x:v>0.14</x:v>
      </x:c>
      <x:c r="D546" s="12" t="str">
        <x:v>source_ring_mb</x:v>
      </x:c>
      <x:c r="E546" s="13" t="n">
        <x:v>96</x:v>
      </x:c>
    </x:row>
    <x:row r="547" ht="34" customHeight="1">
      <x:c r="A547" s="7" t="str">
        <x:v>DP3-B-R1</x:v>
      </x:c>
      <x:c r="B547" s="7" t="str">
        <x:v>U23</x:v>
      </x:c>
      <x:c r="C547" s="14" t="n">
        <x:v>0.14</x:v>
      </x:c>
      <x:c r="D547" s="7" t="str">
        <x:v>common_history_mb</x:v>
      </x:c>
      <x:c r="E547" s="14" t="n">
        <x:v>64</x:v>
      </x:c>
    </x:row>
    <x:row r="548" ht="34" customHeight="1">
      <x:c r="A548" s="12" t="str">
        <x:v>DP3-B-R1</x:v>
      </x:c>
      <x:c r="B548" s="12" t="str">
        <x:v>U23</x:v>
      </x:c>
      <x:c r="C548" s="13" t="n">
        <x:v>0.14</x:v>
      </x:c>
      <x:c r="D548" s="12" t="str">
        <x:v>request</x:v>
      </x:c>
      <x:c r="E548" s="13" t="n">
        <x:v>11</x:v>
      </x:c>
    </x:row>
    <x:row r="549" ht="34" customHeight="1">
      <x:c r="A549" s="7" t="str">
        <x:v>DP3-B-R1</x:v>
      </x:c>
      <x:c r="B549" s="7" t="str">
        <x:v>U23</x:v>
      </x:c>
      <x:c r="C549" s="14" t="n">
        <x:v>0.14</x:v>
      </x:c>
      <x:c r="D549" s="7" t="str">
        <x:v>meaning:client</x:v>
      </x:c>
      <x:c r="E549" s="14" t="n">
        <x:v>27</x:v>
      </x:c>
    </x:row>
    <x:row r="550" ht="34" customHeight="1">
      <x:c r="A550" s="12" t="str">
        <x:v>DP3-B-R1</x:v>
      </x:c>
      <x:c r="B550" s="12" t="str">
        <x:v>U23</x:v>
      </x:c>
      <x:c r="C550" s="13" t="n">
        <x:v>0.14</x:v>
      </x:c>
      <x:c r="D550" s="12" t="str">
        <x:v>valid_audio</x:v>
      </x:c>
      <x:c r="E550" s="13" t="n">
        <x:v>0.28800000000000003</x:v>
      </x:c>
    </x:row>
    <x:row r="551" ht="34" customHeight="1">
      <x:c r="A551" s="7" t="str">
        <x:v>DP3-B-R1</x:v>
      </x:c>
      <x:c r="B551" s="7" t="str">
        <x:v>U24</x:v>
      </x:c>
      <x:c r="C551" s="14" t="n">
        <x:v>5.080000000000001</x:v>
      </x:c>
      <x:c r="D551" s="7" t="str">
        <x:v>core_ui_mb</x:v>
      </x:c>
      <x:c r="E551" s="14" t="n">
        <x:v>180</x:v>
      </x:c>
    </x:row>
    <x:row r="552" ht="34" customHeight="1">
      <x:c r="A552" s="12" t="str">
        <x:v>DP3-B-R1</x:v>
      </x:c>
      <x:c r="B552" s="12" t="str">
        <x:v>U24</x:v>
      </x:c>
      <x:c r="C552" s="13" t="n">
        <x:v>5.080000000000001</x:v>
      </x:c>
      <x:c r="D552" s="12" t="str">
        <x:v>asr_audio_mb</x:v>
      </x:c>
      <x:c r="E552" s="13" t="n">
        <x:v>220</x:v>
      </x:c>
    </x:row>
    <x:row r="553" ht="34" customHeight="1">
      <x:c r="A553" s="7" t="str">
        <x:v>DP3-B-R1</x:v>
      </x:c>
      <x:c r="B553" s="7" t="str">
        <x:v>U24</x:v>
      </x:c>
      <x:c r="C553" s="14" t="n">
        <x:v>5.080000000000001</x:v>
      </x:c>
      <x:c r="D553" s="7" t="str">
        <x:v>source_ring_mb</x:v>
      </x:c>
      <x:c r="E553" s="14" t="n">
        <x:v>96</x:v>
      </x:c>
    </x:row>
    <x:row r="554" ht="34" customHeight="1">
      <x:c r="A554" s="12" t="str">
        <x:v>DP3-B-R1</x:v>
      </x:c>
      <x:c r="B554" s="12" t="str">
        <x:v>U24</x:v>
      </x:c>
      <x:c r="C554" s="13" t="n">
        <x:v>5.080000000000001</x:v>
      </x:c>
      <x:c r="D554" s="12" t="str">
        <x:v>common_history_mb</x:v>
      </x:c>
      <x:c r="E554" s="13" t="n">
        <x:v>64</x:v>
      </x:c>
    </x:row>
    <x:row r="555" ht="34" customHeight="1">
      <x:c r="A555" s="7" t="str">
        <x:v>DP3-B-R1</x:v>
      </x:c>
      <x:c r="B555" s="7" t="str">
        <x:v>U24</x:v>
      </x:c>
      <x:c r="C555" s="14" t="n">
        <x:v>5.080000000000001</x:v>
      </x:c>
      <x:c r="D555" s="7" t="str">
        <x:v>request</x:v>
      </x:c>
      <x:c r="E555" s="14" t="n">
        <x:v>11</x:v>
      </x:c>
    </x:row>
    <x:row r="556" ht="34" customHeight="1">
      <x:c r="A556" s="12" t="str">
        <x:v>DP3-B-R1</x:v>
      </x:c>
      <x:c r="B556" s="12" t="str">
        <x:v>U24</x:v>
      </x:c>
      <x:c r="C556" s="13" t="n">
        <x:v>5.080000000000001</x:v>
      </x:c>
      <x:c r="D556" s="12" t="str">
        <x:v>now_sam_infer:sam_workspace</x:v>
      </x:c>
      <x:c r="E556" s="13" t="n">
        <x:v>680</x:v>
      </x:c>
    </x:row>
    <x:row r="557" ht="34" customHeight="1">
      <x:c r="A557" s="7" t="str">
        <x:v>DP3-B-R1</x:v>
      </x:c>
      <x:c r="B557" s="7" t="str">
        <x:v>U24</x:v>
      </x:c>
      <x:c r="C557" s="14" t="n">
        <x:v>5.080000000000001</x:v>
      </x:c>
      <x:c r="D557" s="7" t="str">
        <x:v>cloud_image_buffer</x:v>
      </x:c>
      <x:c r="E557" s="14" t="n">
        <x:v>32</x:v>
      </x:c>
    </x:row>
    <x:row r="558" ht="34" customHeight="1">
      <x:c r="A558" s="12" t="str">
        <x:v>DP3-B-R1</x:v>
      </x:c>
      <x:c r="B558" s="12" t="str">
        <x:v>U24</x:v>
      </x:c>
      <x:c r="C558" s="13" t="n">
        <x:v>5.080000000000001</x:v>
      </x:c>
      <x:c r="D558" s="12" t="str">
        <x:v>runtime_shared_pages</x:v>
      </x:c>
      <x:c r="E558" s="13" t="n">
        <x:v>60</x:v>
      </x:c>
    </x:row>
    <x:row r="559" ht="34" customHeight="1">
      <x:c r="A559" s="7" t="str">
        <x:v>DP3-B-R1</x:v>
      </x:c>
      <x:c r="B559" s="7" t="str">
        <x:v>U24</x:v>
      </x:c>
      <x:c r="C559" s="14" t="n">
        <x:v>5.080000000000001</x:v>
      </x:c>
      <x:c r="D559" s="7" t="str">
        <x:v>vision_ipc</x:v>
      </x:c>
      <x:c r="E559" s="14" t="n">
        <x:v>24</x:v>
      </x:c>
    </x:row>
    <x:row r="560" ht="34" customHeight="1">
      <x:c r="A560" s="12" t="str">
        <x:v>DP3-B-R1</x:v>
      </x:c>
      <x:c r="B560" s="12" t="str">
        <x:v>U24</x:v>
      </x:c>
      <x:c r="C560" s="13" t="n">
        <x:v>5.080000000000001</x:v>
      </x:c>
      <x:c r="D560" s="12" t="str">
        <x:v>runtime_private:shared</x:v>
      </x:c>
      <x:c r="E560" s="13" t="n">
        <x:v>280</x:v>
      </x:c>
    </x:row>
    <x:row r="561" ht="34" customHeight="1">
      <x:c r="A561" s="7" t="str">
        <x:v>DP3-B-R1</x:v>
      </x:c>
      <x:c r="B561" s="7" t="str">
        <x:v>U24</x:v>
      </x:c>
      <x:c r="C561" s="14" t="n">
        <x:v>5.080000000000001</x:v>
      </x:c>
      <x:c r="D561" s="7" t="str">
        <x:v>weight:now_sam_infer</x:v>
      </x:c>
      <x:c r="E561" s="14" t="n">
        <x:v>170</x:v>
      </x:c>
    </x:row>
    <x:row r="562" ht="34" customHeight="1">
      <x:c r="A562" s="12" t="str">
        <x:v>DP3-B-R1</x:v>
      </x:c>
      <x:c r="B562" s="12" t="str">
        <x:v>U24</x:v>
      </x:c>
      <x:c r="C562" s="13" t="n">
        <x:v>5.080000000000001</x:v>
      </x:c>
      <x:c r="D562" s="12" t="str">
        <x:v>valid_audio</x:v>
      </x:c>
      <x:c r="E562" s="13" t="n">
        <x:v>0</x:v>
      </x:c>
    </x:row>
    <x:row r="563" ht="34" customHeight="1">
      <x:c r="A563" s="7" t="str">
        <x:v>DP3-B-R2</x:v>
      </x:c>
      <x:c r="B563" s="7" t="str">
        <x:v>U01</x:v>
      </x:c>
      <x:c r="C563" s="14" t="n">
        <x:v>0.14</x:v>
      </x:c>
      <x:c r="D563" s="7" t="str">
        <x:v>core_ui_mb</x:v>
      </x:c>
      <x:c r="E563" s="14" t="n">
        <x:v>180</x:v>
      </x:c>
    </x:row>
    <x:row r="564" ht="34" customHeight="1">
      <x:c r="A564" s="12" t="str">
        <x:v>DP3-B-R2</x:v>
      </x:c>
      <x:c r="B564" s="12" t="str">
        <x:v>U01</x:v>
      </x:c>
      <x:c r="C564" s="13" t="n">
        <x:v>0.14</x:v>
      </x:c>
      <x:c r="D564" s="12" t="str">
        <x:v>asr_audio_mb</x:v>
      </x:c>
      <x:c r="E564" s="13" t="n">
        <x:v>220</x:v>
      </x:c>
    </x:row>
    <x:row r="565" ht="34" customHeight="1">
      <x:c r="A565" s="7" t="str">
        <x:v>DP3-B-R2</x:v>
      </x:c>
      <x:c r="B565" s="7" t="str">
        <x:v>U01</x:v>
      </x:c>
      <x:c r="C565" s="14" t="n">
        <x:v>0.14</x:v>
      </x:c>
      <x:c r="D565" s="7" t="str">
        <x:v>source_ring_mb</x:v>
      </x:c>
      <x:c r="E565" s="14" t="n">
        <x:v>96</x:v>
      </x:c>
    </x:row>
    <x:row r="566" ht="34" customHeight="1">
      <x:c r="A566" s="12" t="str">
        <x:v>DP3-B-R2</x:v>
      </x:c>
      <x:c r="B566" s="12" t="str">
        <x:v>U01</x:v>
      </x:c>
      <x:c r="C566" s="13" t="n">
        <x:v>0.14</x:v>
      </x:c>
      <x:c r="D566" s="12" t="str">
        <x:v>common_history_mb</x:v>
      </x:c>
      <x:c r="E566" s="13" t="n">
        <x:v>64</x:v>
      </x:c>
    </x:row>
    <x:row r="567" ht="34" customHeight="1">
      <x:c r="A567" s="7" t="str">
        <x:v>DP3-B-R2</x:v>
      </x:c>
      <x:c r="B567" s="7" t="str">
        <x:v>U01</x:v>
      </x:c>
      <x:c r="C567" s="14" t="n">
        <x:v>0.14</x:v>
      </x:c>
      <x:c r="D567" s="7" t="str">
        <x:v>request</x:v>
      </x:c>
      <x:c r="E567" s="14" t="n">
        <x:v>11</x:v>
      </x:c>
    </x:row>
    <x:row r="568" ht="34" customHeight="1">
      <x:c r="A568" s="12" t="str">
        <x:v>DP3-B-R2</x:v>
      </x:c>
      <x:c r="B568" s="12" t="str">
        <x:v>U01</x:v>
      </x:c>
      <x:c r="C568" s="13" t="n">
        <x:v>0.14</x:v>
      </x:c>
      <x:c r="D568" s="12" t="str">
        <x:v>meaning:client</x:v>
      </x:c>
      <x:c r="E568" s="13" t="n">
        <x:v>17.4</x:v>
      </x:c>
    </x:row>
    <x:row r="569" ht="34" customHeight="1">
      <x:c r="A569" s="7" t="str">
        <x:v>DP3-B-R2</x:v>
      </x:c>
      <x:c r="B569" s="7" t="str">
        <x:v>U01</x:v>
      </x:c>
      <x:c r="C569" s="14" t="n">
        <x:v>0.14</x:v>
      </x:c>
      <x:c r="D569" s="7" t="str">
        <x:v>valid_audio</x:v>
      </x:c>
      <x:c r="E569" s="14" t="n">
        <x:v>0</x:v>
      </x:c>
    </x:row>
    <x:row r="570" ht="34" customHeight="1">
      <x:c r="A570" s="12" t="str">
        <x:v>DP3-B-R2</x:v>
      </x:c>
      <x:c r="B570" s="12" t="str">
        <x:v>U02</x:v>
      </x:c>
      <x:c r="C570" s="13" t="n">
        <x:v>0.38</x:v>
      </x:c>
      <x:c r="D570" s="12" t="str">
        <x:v>core_ui_mb</x:v>
      </x:c>
      <x:c r="E570" s="13" t="n">
        <x:v>180</x:v>
      </x:c>
    </x:row>
    <x:row r="571" ht="34" customHeight="1">
      <x:c r="A571" s="7" t="str">
        <x:v>DP3-B-R2</x:v>
      </x:c>
      <x:c r="B571" s="7" t="str">
        <x:v>U02</x:v>
      </x:c>
      <x:c r="C571" s="14" t="n">
        <x:v>0.38</x:v>
      </x:c>
      <x:c r="D571" s="7" t="str">
        <x:v>asr_audio_mb</x:v>
      </x:c>
      <x:c r="E571" s="14" t="n">
        <x:v>220</x:v>
      </x:c>
    </x:row>
    <x:row r="572" ht="34" customHeight="1">
      <x:c r="A572" s="12" t="str">
        <x:v>DP3-B-R2</x:v>
      </x:c>
      <x:c r="B572" s="12" t="str">
        <x:v>U02</x:v>
      </x:c>
      <x:c r="C572" s="13" t="n">
        <x:v>0.38</x:v>
      </x:c>
      <x:c r="D572" s="12" t="str">
        <x:v>source_ring_mb</x:v>
      </x:c>
      <x:c r="E572" s="13" t="n">
        <x:v>96</x:v>
      </x:c>
    </x:row>
    <x:row r="573" ht="34" customHeight="1">
      <x:c r="A573" s="7" t="str">
        <x:v>DP3-B-R2</x:v>
      </x:c>
      <x:c r="B573" s="7" t="str">
        <x:v>U02</x:v>
      </x:c>
      <x:c r="C573" s="14" t="n">
        <x:v>0.38</x:v>
      </x:c>
      <x:c r="D573" s="7" t="str">
        <x:v>common_history_mb</x:v>
      </x:c>
      <x:c r="E573" s="14" t="n">
        <x:v>64</x:v>
      </x:c>
    </x:row>
    <x:row r="574" ht="34" customHeight="1">
      <x:c r="A574" s="12" t="str">
        <x:v>DP3-B-R2</x:v>
      </x:c>
      <x:c r="B574" s="12" t="str">
        <x:v>U02</x:v>
      </x:c>
      <x:c r="C574" s="13" t="n">
        <x:v>0.38</x:v>
      </x:c>
      <x:c r="D574" s="12" t="str">
        <x:v>request</x:v>
      </x:c>
      <x:c r="E574" s="13" t="n">
        <x:v>11</x:v>
      </x:c>
    </x:row>
    <x:row r="575" ht="34" customHeight="1">
      <x:c r="A575" s="7" t="str">
        <x:v>DP3-B-R2</x:v>
      </x:c>
      <x:c r="B575" s="7" t="str">
        <x:v>U02</x:v>
      </x:c>
      <x:c r="C575" s="14" t="n">
        <x:v>0.38</x:v>
      </x:c>
      <x:c r="D575" s="7" t="str">
        <x:v>meaning:client</x:v>
      </x:c>
      <x:c r="E575" s="14" t="n">
        <x:v>17.4</x:v>
      </x:c>
    </x:row>
    <x:row r="576" ht="34" customHeight="1">
      <x:c r="A576" s="12" t="str">
        <x:v>DP3-B-R2</x:v>
      </x:c>
      <x:c r="B576" s="12" t="str">
        <x:v>U02</x:v>
      </x:c>
      <x:c r="C576" s="13" t="n">
        <x:v>0.38</x:v>
      </x:c>
      <x:c r="D576" s="12" t="str">
        <x:v>valid_audio</x:v>
      </x:c>
      <x:c r="E576" s="13" t="n">
        <x:v>0</x:v>
      </x:c>
    </x:row>
    <x:row r="577" ht="34" customHeight="1">
      <x:c r="A577" s="7" t="str">
        <x:v>DP3-B-R2</x:v>
      </x:c>
      <x:c r="B577" s="7" t="str">
        <x:v>U03</x:v>
      </x:c>
      <x:c r="C577" s="14" t="n">
        <x:v>2.404</x:v>
      </x:c>
      <x:c r="D577" s="7" t="str">
        <x:v>core_ui_mb</x:v>
      </x:c>
      <x:c r="E577" s="14" t="n">
        <x:v>180</x:v>
      </x:c>
    </x:row>
    <x:row r="578" ht="34" customHeight="1">
      <x:c r="A578" s="12" t="str">
        <x:v>DP3-B-R2</x:v>
      </x:c>
      <x:c r="B578" s="12" t="str">
        <x:v>U03</x:v>
      </x:c>
      <x:c r="C578" s="13" t="n">
        <x:v>2.404</x:v>
      </x:c>
      <x:c r="D578" s="12" t="str">
        <x:v>asr_audio_mb</x:v>
      </x:c>
      <x:c r="E578" s="13" t="n">
        <x:v>220</x:v>
      </x:c>
    </x:row>
    <x:row r="579" ht="34" customHeight="1">
      <x:c r="A579" s="7" t="str">
        <x:v>DP3-B-R2</x:v>
      </x:c>
      <x:c r="B579" s="7" t="str">
        <x:v>U03</x:v>
      </x:c>
      <x:c r="C579" s="14" t="n">
        <x:v>2.404</x:v>
      </x:c>
      <x:c r="D579" s="7" t="str">
        <x:v>source_ring_mb</x:v>
      </x:c>
      <x:c r="E579" s="14" t="n">
        <x:v>96</x:v>
      </x:c>
    </x:row>
    <x:row r="580" ht="34" customHeight="1">
      <x:c r="A580" s="12" t="str">
        <x:v>DP3-B-R2</x:v>
      </x:c>
      <x:c r="B580" s="12" t="str">
        <x:v>U03</x:v>
      </x:c>
      <x:c r="C580" s="13" t="n">
        <x:v>2.404</x:v>
      </x:c>
      <x:c r="D580" s="12" t="str">
        <x:v>common_history_mb</x:v>
      </x:c>
      <x:c r="E580" s="13" t="n">
        <x:v>64</x:v>
      </x:c>
    </x:row>
    <x:row r="581" ht="34" customHeight="1">
      <x:c r="A581" s="7" t="str">
        <x:v>DP3-B-R2</x:v>
      </x:c>
      <x:c r="B581" s="7" t="str">
        <x:v>U03</x:v>
      </x:c>
      <x:c r="C581" s="14" t="n">
        <x:v>2.404</x:v>
      </x:c>
      <x:c r="D581" s="7" t="str">
        <x:v>request</x:v>
      </x:c>
      <x:c r="E581" s="14" t="n">
        <x:v>11</x:v>
      </x:c>
    </x:row>
    <x:row r="582" ht="34" customHeight="1">
      <x:c r="A582" s="12" t="str">
        <x:v>DP3-B-R2</x:v>
      </x:c>
      <x:c r="B582" s="12" t="str">
        <x:v>U03</x:v>
      </x:c>
      <x:c r="C582" s="13" t="n">
        <x:v>2.404</x:v>
      </x:c>
      <x:c r="D582" s="12" t="str">
        <x:v>long_work:client</x:v>
      </x:c>
      <x:c r="E582" s="13" t="n">
        <x:v>19.8</x:v>
      </x:c>
    </x:row>
    <x:row r="583" ht="34" customHeight="1">
      <x:c r="A583" s="7" t="str">
        <x:v>DP3-B-R2</x:v>
      </x:c>
      <x:c r="B583" s="7" t="str">
        <x:v>U03</x:v>
      </x:c>
      <x:c r="C583" s="14" t="n">
        <x:v>2.404</x:v>
      </x:c>
      <x:c r="D583" s="7" t="str">
        <x:v>valid_audio</x:v>
      </x:c>
      <x:c r="E583" s="14" t="n">
        <x:v>0.14399999999999993</x:v>
      </x:c>
    </x:row>
    <x:row r="584" ht="34" customHeight="1">
      <x:c r="A584" s="12" t="str">
        <x:v>DP3-B-R2</x:v>
      </x:c>
      <x:c r="B584" s="12" t="str">
        <x:v>U04</x:v>
      </x:c>
      <x:c r="C584" s="13" t="n">
        <x:v>0.38</x:v>
      </x:c>
      <x:c r="D584" s="12" t="str">
        <x:v>core_ui_mb</x:v>
      </x:c>
      <x:c r="E584" s="13" t="n">
        <x:v>180</x:v>
      </x:c>
    </x:row>
    <x:row r="585" ht="34" customHeight="1">
      <x:c r="A585" s="7" t="str">
        <x:v>DP3-B-R2</x:v>
      </x:c>
      <x:c r="B585" s="7" t="str">
        <x:v>U04</x:v>
      </x:c>
      <x:c r="C585" s="14" t="n">
        <x:v>0.38</x:v>
      </x:c>
      <x:c r="D585" s="7" t="str">
        <x:v>asr_audio_mb</x:v>
      </x:c>
      <x:c r="E585" s="14" t="n">
        <x:v>220</x:v>
      </x:c>
    </x:row>
    <x:row r="586" ht="34" customHeight="1">
      <x:c r="A586" s="12" t="str">
        <x:v>DP3-B-R2</x:v>
      </x:c>
      <x:c r="B586" s="12" t="str">
        <x:v>U04</x:v>
      </x:c>
      <x:c r="C586" s="13" t="n">
        <x:v>0.38</x:v>
      </x:c>
      <x:c r="D586" s="12" t="str">
        <x:v>source_ring_mb</x:v>
      </x:c>
      <x:c r="E586" s="13" t="n">
        <x:v>96</x:v>
      </x:c>
    </x:row>
    <x:row r="587" ht="34" customHeight="1">
      <x:c r="A587" s="7" t="str">
        <x:v>DP3-B-R2</x:v>
      </x:c>
      <x:c r="B587" s="7" t="str">
        <x:v>U04</x:v>
      </x:c>
      <x:c r="C587" s="14" t="n">
        <x:v>0.38</x:v>
      </x:c>
      <x:c r="D587" s="7" t="str">
        <x:v>common_history_mb</x:v>
      </x:c>
      <x:c r="E587" s="14" t="n">
        <x:v>64</x:v>
      </x:c>
    </x:row>
    <x:row r="588" ht="34" customHeight="1">
      <x:c r="A588" s="12" t="str">
        <x:v>DP3-B-R2</x:v>
      </x:c>
      <x:c r="B588" s="12" t="str">
        <x:v>U04</x:v>
      </x:c>
      <x:c r="C588" s="13" t="n">
        <x:v>0.38</x:v>
      </x:c>
      <x:c r="D588" s="12" t="str">
        <x:v>request</x:v>
      </x:c>
      <x:c r="E588" s="13" t="n">
        <x:v>11</x:v>
      </x:c>
    </x:row>
    <x:row r="589" ht="34" customHeight="1">
      <x:c r="A589" s="7" t="str">
        <x:v>DP3-B-R2</x:v>
      </x:c>
      <x:c r="B589" s="7" t="str">
        <x:v>U04</x:v>
      </x:c>
      <x:c r="C589" s="14" t="n">
        <x:v>0.38</x:v>
      </x:c>
      <x:c r="D589" s="7" t="str">
        <x:v>meaning:client</x:v>
      </x:c>
      <x:c r="E589" s="14" t="n">
        <x:v>17.4</x:v>
      </x:c>
    </x:row>
    <x:row r="590" ht="34" customHeight="1">
      <x:c r="A590" s="12" t="str">
        <x:v>DP3-B-R2</x:v>
      </x:c>
      <x:c r="B590" s="12" t="str">
        <x:v>U04</x:v>
      </x:c>
      <x:c r="C590" s="13" t="n">
        <x:v>0.38</x:v>
      </x:c>
      <x:c r="D590" s="12" t="str">
        <x:v>valid_audio</x:v>
      </x:c>
      <x:c r="E590" s="13" t="n">
        <x:v>0</x:v>
      </x:c>
    </x:row>
    <x:row r="591" ht="34" customHeight="1">
      <x:c r="A591" s="7" t="str">
        <x:v>DP3-B-R2</x:v>
      </x:c>
      <x:c r="B591" s="7" t="str">
        <x:v>U05</x:v>
      </x:c>
      <x:c r="C591" s="14" t="n">
        <x:v>0</x:v>
      </x:c>
      <x:c r="D591" s="7" t="str">
        <x:v>core_ui_mb</x:v>
      </x:c>
      <x:c r="E591" s="14" t="n">
        <x:v>180</x:v>
      </x:c>
    </x:row>
    <x:row r="592" ht="34" customHeight="1">
      <x:c r="A592" s="12" t="str">
        <x:v>DP3-B-R2</x:v>
      </x:c>
      <x:c r="B592" s="12" t="str">
        <x:v>U05</x:v>
      </x:c>
      <x:c r="C592" s="13" t="n">
        <x:v>0</x:v>
      </x:c>
      <x:c r="D592" s="12" t="str">
        <x:v>asr_audio_mb</x:v>
      </x:c>
      <x:c r="E592" s="13" t="n">
        <x:v>220</x:v>
      </x:c>
    </x:row>
    <x:row r="593" ht="34" customHeight="1">
      <x:c r="A593" s="7" t="str">
        <x:v>DP3-B-R2</x:v>
      </x:c>
      <x:c r="B593" s="7" t="str">
        <x:v>U05</x:v>
      </x:c>
      <x:c r="C593" s="14" t="n">
        <x:v>0</x:v>
      </x:c>
      <x:c r="D593" s="7" t="str">
        <x:v>source_ring_mb</x:v>
      </x:c>
      <x:c r="E593" s="14" t="n">
        <x:v>96</x:v>
      </x:c>
    </x:row>
    <x:row r="594" ht="34" customHeight="1">
      <x:c r="A594" s="12" t="str">
        <x:v>DP3-B-R2</x:v>
      </x:c>
      <x:c r="B594" s="12" t="str">
        <x:v>U05</x:v>
      </x:c>
      <x:c r="C594" s="13" t="n">
        <x:v>0</x:v>
      </x:c>
      <x:c r="D594" s="12" t="str">
        <x:v>common_history_mb</x:v>
      </x:c>
      <x:c r="E594" s="13" t="n">
        <x:v>64</x:v>
      </x:c>
    </x:row>
    <x:row r="595" ht="34" customHeight="1">
      <x:c r="A595" s="7" t="str">
        <x:v>DP3-B-R2</x:v>
      </x:c>
      <x:c r="B595" s="7" t="str">
        <x:v>U05</x:v>
      </x:c>
      <x:c r="C595" s="14" t="n">
        <x:v>0</x:v>
      </x:c>
      <x:c r="D595" s="7" t="str">
        <x:v>request</x:v>
      </x:c>
      <x:c r="E595" s="14" t="n">
        <x:v>11</x:v>
      </x:c>
    </x:row>
    <x:row r="596" ht="34" customHeight="1">
      <x:c r="A596" s="12" t="str">
        <x:v>DP3-B-R2</x:v>
      </x:c>
      <x:c r="B596" s="12" t="str">
        <x:v>U05</x:v>
      </x:c>
      <x:c r="C596" s="13" t="n">
        <x:v>0</x:v>
      </x:c>
      <x:c r="D596" s="12" t="str">
        <x:v>bg1:client</x:v>
      </x:c>
      <x:c r="E596" s="13" t="n">
        <x:v>19.8</x:v>
      </x:c>
    </x:row>
    <x:row r="597" ht="34" customHeight="1">
      <x:c r="A597" s="7" t="str">
        <x:v>DP3-B-R2</x:v>
      </x:c>
      <x:c r="B597" s="7" t="str">
        <x:v>U05</x:v>
      </x:c>
      <x:c r="C597" s="14" t="n">
        <x:v>0</x:v>
      </x:c>
      <x:c r="D597" s="7" t="str">
        <x:v>valid_audio</x:v>
      </x:c>
      <x:c r="E597" s="14" t="n">
        <x:v>0</x:v>
      </x:c>
    </x:row>
    <x:row r="598" ht="34" customHeight="1">
      <x:c r="A598" s="12" t="str">
        <x:v>DP3-B-R2</x:v>
      </x:c>
      <x:c r="B598" s="12" t="str">
        <x:v>U06</x:v>
      </x:c>
      <x:c r="C598" s="13" t="n">
        <x:v>4.664</x:v>
      </x:c>
      <x:c r="D598" s="12" t="str">
        <x:v>core_ui_mb</x:v>
      </x:c>
      <x:c r="E598" s="13" t="n">
        <x:v>180</x:v>
      </x:c>
    </x:row>
    <x:row r="599" ht="34" customHeight="1">
      <x:c r="A599" s="7" t="str">
        <x:v>DP3-B-R2</x:v>
      </x:c>
      <x:c r="B599" s="7" t="str">
        <x:v>U06</x:v>
      </x:c>
      <x:c r="C599" s="14" t="n">
        <x:v>4.664</x:v>
      </x:c>
      <x:c r="D599" s="7" t="str">
        <x:v>asr_audio_mb</x:v>
      </x:c>
      <x:c r="E599" s="14" t="n">
        <x:v>220</x:v>
      </x:c>
    </x:row>
    <x:row r="600" ht="34" customHeight="1">
      <x:c r="A600" s="12" t="str">
        <x:v>DP3-B-R2</x:v>
      </x:c>
      <x:c r="B600" s="12" t="str">
        <x:v>U06</x:v>
      </x:c>
      <x:c r="C600" s="13" t="n">
        <x:v>4.664</x:v>
      </x:c>
      <x:c r="D600" s="12" t="str">
        <x:v>source_ring_mb</x:v>
      </x:c>
      <x:c r="E600" s="13" t="n">
        <x:v>96</x:v>
      </x:c>
    </x:row>
    <x:row r="601" ht="34" customHeight="1">
      <x:c r="A601" s="7" t="str">
        <x:v>DP3-B-R2</x:v>
      </x:c>
      <x:c r="B601" s="7" t="str">
        <x:v>U06</x:v>
      </x:c>
      <x:c r="C601" s="14" t="n">
        <x:v>4.664</x:v>
      </x:c>
      <x:c r="D601" s="7" t="str">
        <x:v>common_history_mb</x:v>
      </x:c>
      <x:c r="E601" s="14" t="n">
        <x:v>64</x:v>
      </x:c>
    </x:row>
    <x:row r="602" ht="34" customHeight="1">
      <x:c r="A602" s="12" t="str">
        <x:v>DP3-B-R2</x:v>
      </x:c>
      <x:c r="B602" s="12" t="str">
        <x:v>U06</x:v>
      </x:c>
      <x:c r="C602" s="13" t="n">
        <x:v>4.664</x:v>
      </x:c>
      <x:c r="D602" s="12" t="str">
        <x:v>request</x:v>
      </x:c>
      <x:c r="E602" s="13" t="n">
        <x:v>11</x:v>
      </x:c>
    </x:row>
    <x:row r="603" ht="34" customHeight="1">
      <x:c r="A603" s="7" t="str">
        <x:v>DP3-B-R2</x:v>
      </x:c>
      <x:c r="B603" s="7" t="str">
        <x:v>U06</x:v>
      </x:c>
      <x:c r="C603" s="14" t="n">
        <x:v>4.664</x:v>
      </x:c>
      <x:c r="D603" s="7" t="str">
        <x:v>long_work:client</x:v>
      </x:c>
      <x:c r="E603" s="14" t="n">
        <x:v>19.8</x:v>
      </x:c>
    </x:row>
    <x:row r="604" ht="34" customHeight="1">
      <x:c r="A604" s="12" t="str">
        <x:v>DP3-B-R2</x:v>
      </x:c>
      <x:c r="B604" s="12" t="str">
        <x:v>U06</x:v>
      </x:c>
      <x:c r="C604" s="13" t="n">
        <x:v>4.664</x:v>
      </x:c>
      <x:c r="D604" s="12" t="str">
        <x:v>valid_audio</x:v>
      </x:c>
      <x:c r="E604" s="13" t="n">
        <x:v>0.144</x:v>
      </x:c>
    </x:row>
    <x:row r="605" ht="34" customHeight="1">
      <x:c r="A605" s="7" t="str">
        <x:v>DP3-B-R2</x:v>
      </x:c>
      <x:c r="B605" s="7" t="str">
        <x:v>U07</x:v>
      </x:c>
      <x:c r="C605" s="14" t="n">
        <x:v>0</x:v>
      </x:c>
      <x:c r="D605" s="7" t="str">
        <x:v>core_ui_mb</x:v>
      </x:c>
      <x:c r="E605" s="14" t="n">
        <x:v>180</x:v>
      </x:c>
    </x:row>
    <x:row r="606" ht="34" customHeight="1">
      <x:c r="A606" s="12" t="str">
        <x:v>DP3-B-R2</x:v>
      </x:c>
      <x:c r="B606" s="12" t="str">
        <x:v>U07</x:v>
      </x:c>
      <x:c r="C606" s="13" t="n">
        <x:v>0</x:v>
      </x:c>
      <x:c r="D606" s="12" t="str">
        <x:v>asr_audio_mb</x:v>
      </x:c>
      <x:c r="E606" s="13" t="n">
        <x:v>220</x:v>
      </x:c>
    </x:row>
    <x:row r="607" ht="34" customHeight="1">
      <x:c r="A607" s="7" t="str">
        <x:v>DP3-B-R2</x:v>
      </x:c>
      <x:c r="B607" s="7" t="str">
        <x:v>U07</x:v>
      </x:c>
      <x:c r="C607" s="14" t="n">
        <x:v>0</x:v>
      </x:c>
      <x:c r="D607" s="7" t="str">
        <x:v>source_ring_mb</x:v>
      </x:c>
      <x:c r="E607" s="14" t="n">
        <x:v>96</x:v>
      </x:c>
    </x:row>
    <x:row r="608" ht="34" customHeight="1">
      <x:c r="A608" s="12" t="str">
        <x:v>DP3-B-R2</x:v>
      </x:c>
      <x:c r="B608" s="12" t="str">
        <x:v>U07</x:v>
      </x:c>
      <x:c r="C608" s="13" t="n">
        <x:v>0</x:v>
      </x:c>
      <x:c r="D608" s="12" t="str">
        <x:v>common_history_mb</x:v>
      </x:c>
      <x:c r="E608" s="13" t="n">
        <x:v>64</x:v>
      </x:c>
    </x:row>
    <x:row r="609" ht="34" customHeight="1">
      <x:c r="A609" s="7" t="str">
        <x:v>DP3-B-R2</x:v>
      </x:c>
      <x:c r="B609" s="7" t="str">
        <x:v>U07</x:v>
      </x:c>
      <x:c r="C609" s="14" t="n">
        <x:v>0</x:v>
      </x:c>
      <x:c r="D609" s="7" t="str">
        <x:v>request</x:v>
      </x:c>
      <x:c r="E609" s="14" t="n">
        <x:v>11</x:v>
      </x:c>
    </x:row>
    <x:row r="610" ht="34" customHeight="1">
      <x:c r="A610" s="12" t="str">
        <x:v>DP3-B-R2</x:v>
      </x:c>
      <x:c r="B610" s="12" t="str">
        <x:v>U07</x:v>
      </x:c>
      <x:c r="C610" s="13" t="n">
        <x:v>0</x:v>
      </x:c>
      <x:c r="D610" s="12" t="str">
        <x:v>bg1:client</x:v>
      </x:c>
      <x:c r="E610" s="13" t="n">
        <x:v>19.8</x:v>
      </x:c>
    </x:row>
    <x:row r="611" ht="34" customHeight="1">
      <x:c r="A611" s="7" t="str">
        <x:v>DP3-B-R2</x:v>
      </x:c>
      <x:c r="B611" s="7" t="str">
        <x:v>U07</x:v>
      </x:c>
      <x:c r="C611" s="14" t="n">
        <x:v>0</x:v>
      </x:c>
      <x:c r="D611" s="7" t="str">
        <x:v>bg2:client</x:v>
      </x:c>
      <x:c r="E611" s="14" t="n">
        <x:v>19.8</x:v>
      </x:c>
    </x:row>
    <x:row r="612" ht="34" customHeight="1">
      <x:c r="A612" s="12" t="str">
        <x:v>DP3-B-R2</x:v>
      </x:c>
      <x:c r="B612" s="12" t="str">
        <x:v>U07</x:v>
      </x:c>
      <x:c r="C612" s="13" t="n">
        <x:v>0</x:v>
      </x:c>
      <x:c r="D612" s="12" t="str">
        <x:v>valid_audio</x:v>
      </x:c>
      <x:c r="E612" s="13" t="n">
        <x:v>0</x:v>
      </x:c>
    </x:row>
    <x:row r="613" ht="34" customHeight="1">
      <x:c r="A613" s="7" t="str">
        <x:v>DP3-B-R2</x:v>
      </x:c>
      <x:c r="B613" s="7" t="str">
        <x:v>U08</x:v>
      </x:c>
      <x:c r="C613" s="14" t="n">
        <x:v>4.664</x:v>
      </x:c>
      <x:c r="D613" s="7" t="str">
        <x:v>core_ui_mb</x:v>
      </x:c>
      <x:c r="E613" s="14" t="n">
        <x:v>180</x:v>
      </x:c>
    </x:row>
    <x:row r="614" ht="34" customHeight="1">
      <x:c r="A614" s="12" t="str">
        <x:v>DP3-B-R2</x:v>
      </x:c>
      <x:c r="B614" s="12" t="str">
        <x:v>U08</x:v>
      </x:c>
      <x:c r="C614" s="13" t="n">
        <x:v>4.664</x:v>
      </x:c>
      <x:c r="D614" s="12" t="str">
        <x:v>asr_audio_mb</x:v>
      </x:c>
      <x:c r="E614" s="13" t="n">
        <x:v>220</x:v>
      </x:c>
    </x:row>
    <x:row r="615" ht="34" customHeight="1">
      <x:c r="A615" s="7" t="str">
        <x:v>DP3-B-R2</x:v>
      </x:c>
      <x:c r="B615" s="7" t="str">
        <x:v>U08</x:v>
      </x:c>
      <x:c r="C615" s="14" t="n">
        <x:v>4.664</x:v>
      </x:c>
      <x:c r="D615" s="7" t="str">
        <x:v>source_ring_mb</x:v>
      </x:c>
      <x:c r="E615" s="14" t="n">
        <x:v>96</x:v>
      </x:c>
    </x:row>
    <x:row r="616" ht="34" customHeight="1">
      <x:c r="A616" s="12" t="str">
        <x:v>DP3-B-R2</x:v>
      </x:c>
      <x:c r="B616" s="12" t="str">
        <x:v>U08</x:v>
      </x:c>
      <x:c r="C616" s="13" t="n">
        <x:v>4.664</x:v>
      </x:c>
      <x:c r="D616" s="12" t="str">
        <x:v>common_history_mb</x:v>
      </x:c>
      <x:c r="E616" s="13" t="n">
        <x:v>64</x:v>
      </x:c>
    </x:row>
    <x:row r="617" ht="34" customHeight="1">
      <x:c r="A617" s="7" t="str">
        <x:v>DP3-B-R2</x:v>
      </x:c>
      <x:c r="B617" s="7" t="str">
        <x:v>U08</x:v>
      </x:c>
      <x:c r="C617" s="14" t="n">
        <x:v>4.664</x:v>
      </x:c>
      <x:c r="D617" s="7" t="str">
        <x:v>request</x:v>
      </x:c>
      <x:c r="E617" s="14" t="n">
        <x:v>11</x:v>
      </x:c>
    </x:row>
    <x:row r="618" ht="34" customHeight="1">
      <x:c r="A618" s="12" t="str">
        <x:v>DP3-B-R2</x:v>
      </x:c>
      <x:c r="B618" s="12" t="str">
        <x:v>U08</x:v>
      </x:c>
      <x:c r="C618" s="13" t="n">
        <x:v>4.664</x:v>
      </x:c>
      <x:c r="D618" s="12" t="str">
        <x:v>long_work:client</x:v>
      </x:c>
      <x:c r="E618" s="13" t="n">
        <x:v>19.8</x:v>
      </x:c>
    </x:row>
    <x:row r="619" ht="34" customHeight="1">
      <x:c r="A619" s="7" t="str">
        <x:v>DP3-B-R2</x:v>
      </x:c>
      <x:c r="B619" s="7" t="str">
        <x:v>U08</x:v>
      </x:c>
      <x:c r="C619" s="14" t="n">
        <x:v>4.664</x:v>
      </x:c>
      <x:c r="D619" s="7" t="str">
        <x:v>valid_audio</x:v>
      </x:c>
      <x:c r="E619" s="14" t="n">
        <x:v>0.144</x:v>
      </x:c>
    </x:row>
    <x:row r="620" ht="34" customHeight="1">
      <x:c r="A620" s="12" t="str">
        <x:v>DP3-B-R2</x:v>
      </x:c>
      <x:c r="B620" s="12" t="str">
        <x:v>U09</x:v>
      </x:c>
      <x:c r="C620" s="13" t="n">
        <x:v>0.46</x:v>
      </x:c>
      <x:c r="D620" s="12" t="str">
        <x:v>core_ui_mb</x:v>
      </x:c>
      <x:c r="E620" s="13" t="n">
        <x:v>180</x:v>
      </x:c>
    </x:row>
    <x:row r="621" ht="34" customHeight="1">
      <x:c r="A621" s="7" t="str">
        <x:v>DP3-B-R2</x:v>
      </x:c>
      <x:c r="B621" s="7" t="str">
        <x:v>U09</x:v>
      </x:c>
      <x:c r="C621" s="14" t="n">
        <x:v>0.46</x:v>
      </x:c>
      <x:c r="D621" s="7" t="str">
        <x:v>asr_audio_mb</x:v>
      </x:c>
      <x:c r="E621" s="14" t="n">
        <x:v>220</x:v>
      </x:c>
    </x:row>
    <x:row r="622" ht="34" customHeight="1">
      <x:c r="A622" s="12" t="str">
        <x:v>DP3-B-R2</x:v>
      </x:c>
      <x:c r="B622" s="12" t="str">
        <x:v>U09</x:v>
      </x:c>
      <x:c r="C622" s="13" t="n">
        <x:v>0.46</x:v>
      </x:c>
      <x:c r="D622" s="12" t="str">
        <x:v>source_ring_mb</x:v>
      </x:c>
      <x:c r="E622" s="13" t="n">
        <x:v>96</x:v>
      </x:c>
    </x:row>
    <x:row r="623" ht="34" customHeight="1">
      <x:c r="A623" s="7" t="str">
        <x:v>DP3-B-R2</x:v>
      </x:c>
      <x:c r="B623" s="7" t="str">
        <x:v>U09</x:v>
      </x:c>
      <x:c r="C623" s="14" t="n">
        <x:v>0.46</x:v>
      </x:c>
      <x:c r="D623" s="7" t="str">
        <x:v>common_history_mb</x:v>
      </x:c>
      <x:c r="E623" s="14" t="n">
        <x:v>64</x:v>
      </x:c>
    </x:row>
    <x:row r="624" ht="34" customHeight="1">
      <x:c r="A624" s="12" t="str">
        <x:v>DP3-B-R2</x:v>
      </x:c>
      <x:c r="B624" s="12" t="str">
        <x:v>U09</x:v>
      </x:c>
      <x:c r="C624" s="13" t="n">
        <x:v>0.46</x:v>
      </x:c>
      <x:c r="D624" s="12" t="str">
        <x:v>request</x:v>
      </x:c>
      <x:c r="E624" s="13" t="n">
        <x:v>11</x:v>
      </x:c>
    </x:row>
    <x:row r="625" ht="34" customHeight="1">
      <x:c r="A625" s="7" t="str">
        <x:v>DP3-B-R2</x:v>
      </x:c>
      <x:c r="B625" s="7" t="str">
        <x:v>U09</x:v>
      </x:c>
      <x:c r="C625" s="14" t="n">
        <x:v>0.46</x:v>
      </x:c>
      <x:c r="D625" s="7" t="str">
        <x:v>meaning:client</x:v>
      </x:c>
      <x:c r="E625" s="14" t="n">
        <x:v>17.4</x:v>
      </x:c>
    </x:row>
    <x:row r="626" ht="34" customHeight="1">
      <x:c r="A626" s="12" t="str">
        <x:v>DP3-B-R2</x:v>
      </x:c>
      <x:c r="B626" s="12" t="str">
        <x:v>U09</x:v>
      </x:c>
      <x:c r="C626" s="13" t="n">
        <x:v>0.46</x:v>
      </x:c>
      <x:c r="D626" s="12" t="str">
        <x:v>valid_audio</x:v>
      </x:c>
      <x:c r="E626" s="13" t="n">
        <x:v>0</x:v>
      </x:c>
    </x:row>
    <x:row r="627" ht="34" customHeight="1">
      <x:c r="A627" s="7" t="str">
        <x:v>DP3-B-R2</x:v>
      </x:c>
      <x:c r="B627" s="7" t="str">
        <x:v>U10</x:v>
      </x:c>
      <x:c r="C627" s="14" t="n">
        <x:v>1.58</x:v>
      </x:c>
      <x:c r="D627" s="7" t="str">
        <x:v>core_ui_mb</x:v>
      </x:c>
      <x:c r="E627" s="14" t="n">
        <x:v>180</x:v>
      </x:c>
    </x:row>
    <x:row r="628" ht="34" customHeight="1">
      <x:c r="A628" s="12" t="str">
        <x:v>DP3-B-R2</x:v>
      </x:c>
      <x:c r="B628" s="12" t="str">
        <x:v>U10</x:v>
      </x:c>
      <x:c r="C628" s="13" t="n">
        <x:v>1.58</x:v>
      </x:c>
      <x:c r="D628" s="12" t="str">
        <x:v>asr_audio_mb</x:v>
      </x:c>
      <x:c r="E628" s="13" t="n">
        <x:v>220</x:v>
      </x:c>
    </x:row>
    <x:row r="629" ht="34" customHeight="1">
      <x:c r="A629" s="7" t="str">
        <x:v>DP3-B-R2</x:v>
      </x:c>
      <x:c r="B629" s="7" t="str">
        <x:v>U10</x:v>
      </x:c>
      <x:c r="C629" s="14" t="n">
        <x:v>1.58</x:v>
      </x:c>
      <x:c r="D629" s="7" t="str">
        <x:v>source_ring_mb</x:v>
      </x:c>
      <x:c r="E629" s="14" t="n">
        <x:v>96</x:v>
      </x:c>
    </x:row>
    <x:row r="630" ht="34" customHeight="1">
      <x:c r="A630" s="12" t="str">
        <x:v>DP3-B-R2</x:v>
      </x:c>
      <x:c r="B630" s="12" t="str">
        <x:v>U10</x:v>
      </x:c>
      <x:c r="C630" s="13" t="n">
        <x:v>1.58</x:v>
      </x:c>
      <x:c r="D630" s="12" t="str">
        <x:v>common_history_mb</x:v>
      </x:c>
      <x:c r="E630" s="13" t="n">
        <x:v>64</x:v>
      </x:c>
    </x:row>
    <x:row r="631" ht="34" customHeight="1">
      <x:c r="A631" s="7" t="str">
        <x:v>DP3-B-R2</x:v>
      </x:c>
      <x:c r="B631" s="7" t="str">
        <x:v>U10</x:v>
      </x:c>
      <x:c r="C631" s="14" t="n">
        <x:v>1.58</x:v>
      </x:c>
      <x:c r="D631" s="7" t="str">
        <x:v>request</x:v>
      </x:c>
      <x:c r="E631" s="14" t="n">
        <x:v>11</x:v>
      </x:c>
    </x:row>
    <x:row r="632" ht="34" customHeight="1">
      <x:c r="A632" s="12" t="str">
        <x:v>DP3-B-R2</x:v>
      </x:c>
      <x:c r="B632" s="12" t="str">
        <x:v>U10</x:v>
      </x:c>
      <x:c r="C632" s="13" t="n">
        <x:v>1.58</x:v>
      </x:c>
      <x:c r="D632" s="12" t="str">
        <x:v>now_ui_load:ui_load_temp</x:v>
      </x:c>
      <x:c r="E632" s="13" t="n">
        <x:v>380</x:v>
      </x:c>
    </x:row>
    <x:row r="633" ht="34" customHeight="1">
      <x:c r="A633" s="7" t="str">
        <x:v>DP3-B-R2</x:v>
      </x:c>
      <x:c r="B633" s="7" t="str">
        <x:v>U10</x:v>
      </x:c>
      <x:c r="C633" s="14" t="n">
        <x:v>1.58</x:v>
      </x:c>
      <x:c r="D633" s="7" t="str">
        <x:v>cloud_image_buffer</x:v>
      </x:c>
      <x:c r="E633" s="14" t="n">
        <x:v>32</x:v>
      </x:c>
    </x:row>
    <x:row r="634" ht="34" customHeight="1">
      <x:c r="A634" s="12" t="str">
        <x:v>DP3-B-R2</x:v>
      </x:c>
      <x:c r="B634" s="12" t="str">
        <x:v>U10</x:v>
      </x:c>
      <x:c r="C634" s="13" t="n">
        <x:v>1.58</x:v>
      </x:c>
      <x:c r="D634" s="12" t="str">
        <x:v>runtime_shared_pages</x:v>
      </x:c>
      <x:c r="E634" s="13" t="n">
        <x:v>60</x:v>
      </x:c>
    </x:row>
    <x:row r="635" ht="34" customHeight="1">
      <x:c r="A635" s="7" t="str">
        <x:v>DP3-B-R2</x:v>
      </x:c>
      <x:c r="B635" s="7" t="str">
        <x:v>U10</x:v>
      </x:c>
      <x:c r="C635" s="14" t="n">
        <x:v>1.58</x:v>
      </x:c>
      <x:c r="D635" s="7" t="str">
        <x:v>vision_ipc</x:v>
      </x:c>
      <x:c r="E635" s="14" t="n">
        <x:v>24</x:v>
      </x:c>
    </x:row>
    <x:row r="636" ht="34" customHeight="1">
      <x:c r="A636" s="12" t="str">
        <x:v>DP3-B-R2</x:v>
      </x:c>
      <x:c r="B636" s="12" t="str">
        <x:v>U10</x:v>
      </x:c>
      <x:c r="C636" s="13" t="n">
        <x:v>1.58</x:v>
      </x:c>
      <x:c r="D636" s="12" t="str">
        <x:v>runtime_private:shared</x:v>
      </x:c>
      <x:c r="E636" s="13" t="n">
        <x:v>280</x:v>
      </x:c>
    </x:row>
    <x:row r="637" ht="34" customHeight="1">
      <x:c r="A637" s="7" t="str">
        <x:v>DP3-B-R2</x:v>
      </x:c>
      <x:c r="B637" s="7" t="str">
        <x:v>U10</x:v>
      </x:c>
      <x:c r="C637" s="14" t="n">
        <x:v>1.58</x:v>
      </x:c>
      <x:c r="D637" s="7" t="str">
        <x:v>weight:now_ui_infer</x:v>
      </x:c>
      <x:c r="E637" s="14" t="n">
        <x:v>420</x:v>
      </x:c>
    </x:row>
    <x:row r="638" ht="34" customHeight="1">
      <x:c r="A638" s="12" t="str">
        <x:v>DP3-B-R2</x:v>
      </x:c>
      <x:c r="B638" s="12" t="str">
        <x:v>U10</x:v>
      </x:c>
      <x:c r="C638" s="13" t="n">
        <x:v>1.58</x:v>
      </x:c>
      <x:c r="D638" s="12" t="str">
        <x:v>valid_audio</x:v>
      </x:c>
      <x:c r="E638" s="13" t="n">
        <x:v>0</x:v>
      </x:c>
    </x:row>
    <x:row r="639" ht="34" customHeight="1">
      <x:c r="A639" s="7" t="str">
        <x:v>DP3-B-R2</x:v>
      </x:c>
      <x:c r="B639" s="7" t="str">
        <x:v>U11</x:v>
      </x:c>
      <x:c r="C639" s="14" t="n">
        <x:v>4.930000000000001</x:v>
      </x:c>
      <x:c r="D639" s="7" t="str">
        <x:v>core_ui_mb</x:v>
      </x:c>
      <x:c r="E639" s="14" t="n">
        <x:v>180</x:v>
      </x:c>
    </x:row>
    <x:row r="640" ht="34" customHeight="1">
      <x:c r="A640" s="12" t="str">
        <x:v>DP3-B-R2</x:v>
      </x:c>
      <x:c r="B640" s="12" t="str">
        <x:v>U11</x:v>
      </x:c>
      <x:c r="C640" s="13" t="n">
        <x:v>4.930000000000001</x:v>
      </x:c>
      <x:c r="D640" s="12" t="str">
        <x:v>asr_audio_mb</x:v>
      </x:c>
      <x:c r="E640" s="13" t="n">
        <x:v>220</x:v>
      </x:c>
    </x:row>
    <x:row r="641" ht="34" customHeight="1">
      <x:c r="A641" s="7" t="str">
        <x:v>DP3-B-R2</x:v>
      </x:c>
      <x:c r="B641" s="7" t="str">
        <x:v>U11</x:v>
      </x:c>
      <x:c r="C641" s="14" t="n">
        <x:v>4.930000000000001</x:v>
      </x:c>
      <x:c r="D641" s="7" t="str">
        <x:v>source_ring_mb</x:v>
      </x:c>
      <x:c r="E641" s="14" t="n">
        <x:v>96</x:v>
      </x:c>
    </x:row>
    <x:row r="642" ht="34" customHeight="1">
      <x:c r="A642" s="12" t="str">
        <x:v>DP3-B-R2</x:v>
      </x:c>
      <x:c r="B642" s="12" t="str">
        <x:v>U11</x:v>
      </x:c>
      <x:c r="C642" s="13" t="n">
        <x:v>4.930000000000001</x:v>
      </x:c>
      <x:c r="D642" s="12" t="str">
        <x:v>common_history_mb</x:v>
      </x:c>
      <x:c r="E642" s="13" t="n">
        <x:v>64</x:v>
      </x:c>
    </x:row>
    <x:row r="643" ht="34" customHeight="1">
      <x:c r="A643" s="7" t="str">
        <x:v>DP3-B-R2</x:v>
      </x:c>
      <x:c r="B643" s="7" t="str">
        <x:v>U11</x:v>
      </x:c>
      <x:c r="C643" s="14" t="n">
        <x:v>4.930000000000001</x:v>
      </x:c>
      <x:c r="D643" s="7" t="str">
        <x:v>request</x:v>
      </x:c>
      <x:c r="E643" s="14" t="n">
        <x:v>11</x:v>
      </x:c>
    </x:row>
    <x:row r="644" ht="34" customHeight="1">
      <x:c r="A644" s="12" t="str">
        <x:v>DP3-B-R2</x:v>
      </x:c>
      <x:c r="B644" s="12" t="str">
        <x:v>U11</x:v>
      </x:c>
      <x:c r="C644" s="13" t="n">
        <x:v>4.930000000000001</x:v>
      </x:c>
      <x:c r="D644" s="12" t="str">
        <x:v>now_sam_infer:sam_workspace</x:v>
      </x:c>
      <x:c r="E644" s="13" t="n">
        <x:v>680</x:v>
      </x:c>
    </x:row>
    <x:row r="645" ht="34" customHeight="1">
      <x:c r="A645" s="7" t="str">
        <x:v>DP3-B-R2</x:v>
      </x:c>
      <x:c r="B645" s="7" t="str">
        <x:v>U11</x:v>
      </x:c>
      <x:c r="C645" s="14" t="n">
        <x:v>4.930000000000001</x:v>
      </x:c>
      <x:c r="D645" s="7" t="str">
        <x:v>cloud_image_buffer</x:v>
      </x:c>
      <x:c r="E645" s="14" t="n">
        <x:v>32</x:v>
      </x:c>
    </x:row>
    <x:row r="646" ht="34" customHeight="1">
      <x:c r="A646" s="12" t="str">
        <x:v>DP3-B-R2</x:v>
      </x:c>
      <x:c r="B646" s="12" t="str">
        <x:v>U11</x:v>
      </x:c>
      <x:c r="C646" s="13" t="n">
        <x:v>4.930000000000001</x:v>
      </x:c>
      <x:c r="D646" s="12" t="str">
        <x:v>runtime_shared_pages</x:v>
      </x:c>
      <x:c r="E646" s="13" t="n">
        <x:v>60</x:v>
      </x:c>
    </x:row>
    <x:row r="647" ht="34" customHeight="1">
      <x:c r="A647" s="7" t="str">
        <x:v>DP3-B-R2</x:v>
      </x:c>
      <x:c r="B647" s="7" t="str">
        <x:v>U11</x:v>
      </x:c>
      <x:c r="C647" s="14" t="n">
        <x:v>4.930000000000001</x:v>
      </x:c>
      <x:c r="D647" s="7" t="str">
        <x:v>vision_ipc</x:v>
      </x:c>
      <x:c r="E647" s="14" t="n">
        <x:v>24</x:v>
      </x:c>
    </x:row>
    <x:row r="648" ht="34" customHeight="1">
      <x:c r="A648" s="12" t="str">
        <x:v>DP3-B-R2</x:v>
      </x:c>
      <x:c r="B648" s="12" t="str">
        <x:v>U11</x:v>
      </x:c>
      <x:c r="C648" s="13" t="n">
        <x:v>4.930000000000001</x:v>
      </x:c>
      <x:c r="D648" s="12" t="str">
        <x:v>runtime_private:shared</x:v>
      </x:c>
      <x:c r="E648" s="13" t="n">
        <x:v>280</x:v>
      </x:c>
    </x:row>
    <x:row r="649" ht="34" customHeight="1">
      <x:c r="A649" s="7" t="str">
        <x:v>DP3-B-R2</x:v>
      </x:c>
      <x:c r="B649" s="7" t="str">
        <x:v>U11</x:v>
      </x:c>
      <x:c r="C649" s="14" t="n">
        <x:v>4.930000000000001</x:v>
      </x:c>
      <x:c r="D649" s="7" t="str">
        <x:v>weight:now_ui_infer</x:v>
      </x:c>
      <x:c r="E649" s="14" t="n">
        <x:v>420</x:v>
      </x:c>
    </x:row>
    <x:row r="650" ht="34" customHeight="1">
      <x:c r="A650" s="12" t="str">
        <x:v>DP3-B-R2</x:v>
      </x:c>
      <x:c r="B650" s="12" t="str">
        <x:v>U11</x:v>
      </x:c>
      <x:c r="C650" s="13" t="n">
        <x:v>4.930000000000001</x:v>
      </x:c>
      <x:c r="D650" s="12" t="str">
        <x:v>weight:now_sam_infer</x:v>
      </x:c>
      <x:c r="E650" s="13" t="n">
        <x:v>170</x:v>
      </x:c>
    </x:row>
    <x:row r="651" ht="34" customHeight="1">
      <x:c r="A651" s="7" t="str">
        <x:v>DP3-B-R2</x:v>
      </x:c>
      <x:c r="B651" s="7" t="str">
        <x:v>U11</x:v>
      </x:c>
      <x:c r="C651" s="14" t="n">
        <x:v>4.930000000000001</x:v>
      </x:c>
      <x:c r="D651" s="7" t="str">
        <x:v>valid_audio</x:v>
      </x:c>
      <x:c r="E651" s="14" t="n">
        <x:v>0</x:v>
      </x:c>
    </x:row>
    <x:row r="652" ht="34" customHeight="1">
      <x:c r="A652" s="12" t="str">
        <x:v>DP3-B-R2</x:v>
      </x:c>
      <x:c r="B652" s="12" t="str">
        <x:v>U12</x:v>
      </x:c>
      <x:c r="C652" s="13" t="n">
        <x:v>-10.8</x:v>
      </x:c>
      <x:c r="D652" s="12" t="str">
        <x:v>core_ui_mb</x:v>
      </x:c>
      <x:c r="E652" s="13" t="n">
        <x:v>180</x:v>
      </x:c>
    </x:row>
    <x:row r="653" ht="34" customHeight="1">
      <x:c r="A653" s="7" t="str">
        <x:v>DP3-B-R2</x:v>
      </x:c>
      <x:c r="B653" s="7" t="str">
        <x:v>U12</x:v>
      </x:c>
      <x:c r="C653" s="14" t="n">
        <x:v>-10.8</x:v>
      </x:c>
      <x:c r="D653" s="7" t="str">
        <x:v>asr_audio_mb</x:v>
      </x:c>
      <x:c r="E653" s="14" t="n">
        <x:v>220</x:v>
      </x:c>
    </x:row>
    <x:row r="654" ht="34" customHeight="1">
      <x:c r="A654" s="12" t="str">
        <x:v>DP3-B-R2</x:v>
      </x:c>
      <x:c r="B654" s="12" t="str">
        <x:v>U12</x:v>
      </x:c>
      <x:c r="C654" s="13" t="n">
        <x:v>-10.8</x:v>
      </x:c>
      <x:c r="D654" s="12" t="str">
        <x:v>source_ring_mb</x:v>
      </x:c>
      <x:c r="E654" s="13" t="n">
        <x:v>96</x:v>
      </x:c>
    </x:row>
    <x:row r="655" ht="34" customHeight="1">
      <x:c r="A655" s="7" t="str">
        <x:v>DP3-B-R2</x:v>
      </x:c>
      <x:c r="B655" s="7" t="str">
        <x:v>U12</x:v>
      </x:c>
      <x:c r="C655" s="14" t="n">
        <x:v>-10.8</x:v>
      </x:c>
      <x:c r="D655" s="7" t="str">
        <x:v>common_history_mb</x:v>
      </x:c>
      <x:c r="E655" s="14" t="n">
        <x:v>64</x:v>
      </x:c>
    </x:row>
    <x:row r="656" ht="34" customHeight="1">
      <x:c r="A656" s="12" t="str">
        <x:v>DP3-B-R2</x:v>
      </x:c>
      <x:c r="B656" s="12" t="str">
        <x:v>U12</x:v>
      </x:c>
      <x:c r="C656" s="13" t="n">
        <x:v>-10.8</x:v>
      </x:c>
      <x:c r="D656" s="12" t="str">
        <x:v>pre_ui_load:ui_load_temp</x:v>
      </x:c>
      <x:c r="E656" s="13" t="n">
        <x:v>380</x:v>
      </x:c>
    </x:row>
    <x:row r="657" ht="34" customHeight="1">
      <x:c r="A657" s="7" t="str">
        <x:v>DP3-B-R2</x:v>
      </x:c>
      <x:c r="B657" s="7" t="str">
        <x:v>U12</x:v>
      </x:c>
      <x:c r="C657" s="14" t="n">
        <x:v>-10.8</x:v>
      </x:c>
      <x:c r="D657" s="7" t="str">
        <x:v>runtime_shared_pages</x:v>
      </x:c>
      <x:c r="E657" s="14" t="n">
        <x:v>60</x:v>
      </x:c>
    </x:row>
    <x:row r="658" ht="34" customHeight="1">
      <x:c r="A658" s="12" t="str">
        <x:v>DP3-B-R2</x:v>
      </x:c>
      <x:c r="B658" s="12" t="str">
        <x:v>U12</x:v>
      </x:c>
      <x:c r="C658" s="13" t="n">
        <x:v>-10.8</x:v>
      </x:c>
      <x:c r="D658" s="12" t="str">
        <x:v>vision_ipc</x:v>
      </x:c>
      <x:c r="E658" s="13" t="n">
        <x:v>24</x:v>
      </x:c>
    </x:row>
    <x:row r="659" ht="34" customHeight="1">
      <x:c r="A659" s="7" t="str">
        <x:v>DP3-B-R2</x:v>
      </x:c>
      <x:c r="B659" s="7" t="str">
        <x:v>U12</x:v>
      </x:c>
      <x:c r="C659" s="14" t="n">
        <x:v>-10.8</x:v>
      </x:c>
      <x:c r="D659" s="7" t="str">
        <x:v>runtime_private:shared</x:v>
      </x:c>
      <x:c r="E659" s="14" t="n">
        <x:v>280</x:v>
      </x:c>
    </x:row>
    <x:row r="660" ht="34" customHeight="1">
      <x:c r="A660" s="12" t="str">
        <x:v>DP3-B-R2</x:v>
      </x:c>
      <x:c r="B660" s="12" t="str">
        <x:v>U12</x:v>
      </x:c>
      <x:c r="C660" s="13" t="n">
        <x:v>-10.8</x:v>
      </x:c>
      <x:c r="D660" s="12" t="str">
        <x:v>weight:pre_ui_infer</x:v>
      </x:c>
      <x:c r="E660" s="13" t="n">
        <x:v>420</x:v>
      </x:c>
    </x:row>
    <x:row r="661" ht="34" customHeight="1">
      <x:c r="A661" s="7" t="str">
        <x:v>DP3-B-R2</x:v>
      </x:c>
      <x:c r="B661" s="7" t="str">
        <x:v>U12</x:v>
      </x:c>
      <x:c r="C661" s="14" t="n">
        <x:v>-10.8</x:v>
      </x:c>
      <x:c r="D661" s="7" t="str">
        <x:v>valid_audio</x:v>
      </x:c>
      <x:c r="E661" s="14" t="n">
        <x:v>0</x:v>
      </x:c>
    </x:row>
    <x:row r="662" ht="34" customHeight="1">
      <x:c r="A662" s="12" t="str">
        <x:v>DP3-B-R2</x:v>
      </x:c>
      <x:c r="B662" s="12" t="str">
        <x:v>U13</x:v>
      </x:c>
      <x:c r="C662" s="13" t="n">
        <x:v>0.14</x:v>
      </x:c>
      <x:c r="D662" s="12" t="str">
        <x:v>core_ui_mb</x:v>
      </x:c>
      <x:c r="E662" s="13" t="n">
        <x:v>180</x:v>
      </x:c>
    </x:row>
    <x:row r="663" ht="34" customHeight="1">
      <x:c r="A663" s="7" t="str">
        <x:v>DP3-B-R2</x:v>
      </x:c>
      <x:c r="B663" s="7" t="str">
        <x:v>U13</x:v>
      </x:c>
      <x:c r="C663" s="14" t="n">
        <x:v>0.14</x:v>
      </x:c>
      <x:c r="D663" s="7" t="str">
        <x:v>asr_audio_mb</x:v>
      </x:c>
      <x:c r="E663" s="14" t="n">
        <x:v>220</x:v>
      </x:c>
    </x:row>
    <x:row r="664" ht="34" customHeight="1">
      <x:c r="A664" s="12" t="str">
        <x:v>DP3-B-R2</x:v>
      </x:c>
      <x:c r="B664" s="12" t="str">
        <x:v>U13</x:v>
      </x:c>
      <x:c r="C664" s="13" t="n">
        <x:v>0.14</x:v>
      </x:c>
      <x:c r="D664" s="12" t="str">
        <x:v>source_ring_mb</x:v>
      </x:c>
      <x:c r="E664" s="13" t="n">
        <x:v>96</x:v>
      </x:c>
    </x:row>
    <x:row r="665" ht="34" customHeight="1">
      <x:c r="A665" s="7" t="str">
        <x:v>DP3-B-R2</x:v>
      </x:c>
      <x:c r="B665" s="7" t="str">
        <x:v>U13</x:v>
      </x:c>
      <x:c r="C665" s="14" t="n">
        <x:v>0.14</x:v>
      </x:c>
      <x:c r="D665" s="7" t="str">
        <x:v>common_history_mb</x:v>
      </x:c>
      <x:c r="E665" s="14" t="n">
        <x:v>64</x:v>
      </x:c>
    </x:row>
    <x:row r="666" ht="34" customHeight="1">
      <x:c r="A666" s="12" t="str">
        <x:v>DP3-B-R2</x:v>
      </x:c>
      <x:c r="B666" s="12" t="str">
        <x:v>U13</x:v>
      </x:c>
      <x:c r="C666" s="13" t="n">
        <x:v>0.14</x:v>
      </x:c>
      <x:c r="D666" s="12" t="str">
        <x:v>request</x:v>
      </x:c>
      <x:c r="E666" s="13" t="n">
        <x:v>11</x:v>
      </x:c>
    </x:row>
    <x:row r="667" ht="34" customHeight="1">
      <x:c r="A667" s="7" t="str">
        <x:v>DP3-B-R2</x:v>
      </x:c>
      <x:c r="B667" s="7" t="str">
        <x:v>U13</x:v>
      </x:c>
      <x:c r="C667" s="14" t="n">
        <x:v>0.14</x:v>
      </x:c>
      <x:c r="D667" s="7" t="str">
        <x:v>meaning:client</x:v>
      </x:c>
      <x:c r="E667" s="14" t="n">
        <x:v>17.4</x:v>
      </x:c>
    </x:row>
    <x:row r="668" ht="34" customHeight="1">
      <x:c r="A668" s="12" t="str">
        <x:v>DP3-B-R2</x:v>
      </x:c>
      <x:c r="B668" s="12" t="str">
        <x:v>U13</x:v>
      </x:c>
      <x:c r="C668" s="13" t="n">
        <x:v>0.14</x:v>
      </x:c>
      <x:c r="D668" s="12" t="str">
        <x:v>valid_audio</x:v>
      </x:c>
      <x:c r="E668" s="13" t="n">
        <x:v>0</x:v>
      </x:c>
    </x:row>
    <x:row r="669" ht="34" customHeight="1">
      <x:c r="A669" s="7" t="str">
        <x:v>DP3-B-R2</x:v>
      </x:c>
      <x:c r="B669" s="7" t="str">
        <x:v>U14</x:v>
      </x:c>
      <x:c r="C669" s="14" t="n">
        <x:v>0.38</x:v>
      </x:c>
      <x:c r="D669" s="7" t="str">
        <x:v>core_ui_mb</x:v>
      </x:c>
      <x:c r="E669" s="14" t="n">
        <x:v>180</x:v>
      </x:c>
    </x:row>
    <x:row r="670" ht="34" customHeight="1">
      <x:c r="A670" s="12" t="str">
        <x:v>DP3-B-R2</x:v>
      </x:c>
      <x:c r="B670" s="12" t="str">
        <x:v>U14</x:v>
      </x:c>
      <x:c r="C670" s="13" t="n">
        <x:v>0.38</x:v>
      </x:c>
      <x:c r="D670" s="12" t="str">
        <x:v>asr_audio_mb</x:v>
      </x:c>
      <x:c r="E670" s="13" t="n">
        <x:v>220</x:v>
      </x:c>
    </x:row>
    <x:row r="671" ht="34" customHeight="1">
      <x:c r="A671" s="7" t="str">
        <x:v>DP3-B-R2</x:v>
      </x:c>
      <x:c r="B671" s="7" t="str">
        <x:v>U14</x:v>
      </x:c>
      <x:c r="C671" s="14" t="n">
        <x:v>0.38</x:v>
      </x:c>
      <x:c r="D671" s="7" t="str">
        <x:v>source_ring_mb</x:v>
      </x:c>
      <x:c r="E671" s="14" t="n">
        <x:v>96</x:v>
      </x:c>
    </x:row>
    <x:row r="672" ht="34" customHeight="1">
      <x:c r="A672" s="12" t="str">
        <x:v>DP3-B-R2</x:v>
      </x:c>
      <x:c r="B672" s="12" t="str">
        <x:v>U14</x:v>
      </x:c>
      <x:c r="C672" s="13" t="n">
        <x:v>0.38</x:v>
      </x:c>
      <x:c r="D672" s="12" t="str">
        <x:v>common_history_mb</x:v>
      </x:c>
      <x:c r="E672" s="13" t="n">
        <x:v>64</x:v>
      </x:c>
    </x:row>
    <x:row r="673" ht="34" customHeight="1">
      <x:c r="A673" s="7" t="str">
        <x:v>DP3-B-R2</x:v>
      </x:c>
      <x:c r="B673" s="7" t="str">
        <x:v>U14</x:v>
      </x:c>
      <x:c r="C673" s="14" t="n">
        <x:v>0.38</x:v>
      </x:c>
      <x:c r="D673" s="7" t="str">
        <x:v>request</x:v>
      </x:c>
      <x:c r="E673" s="14" t="n">
        <x:v>11</x:v>
      </x:c>
    </x:row>
    <x:row r="674" ht="34" customHeight="1">
      <x:c r="A674" s="12" t="str">
        <x:v>DP3-B-R2</x:v>
      </x:c>
      <x:c r="B674" s="12" t="str">
        <x:v>U14</x:v>
      </x:c>
      <x:c r="C674" s="13" t="n">
        <x:v>0.38</x:v>
      </x:c>
      <x:c r="D674" s="12" t="str">
        <x:v>meaning:client</x:v>
      </x:c>
      <x:c r="E674" s="13" t="n">
        <x:v>27</x:v>
      </x:c>
    </x:row>
    <x:row r="675" ht="34" customHeight="1">
      <x:c r="A675" s="7" t="str">
        <x:v>DP3-B-R2</x:v>
      </x:c>
      <x:c r="B675" s="7" t="str">
        <x:v>U14</x:v>
      </x:c>
      <x:c r="C675" s="14" t="n">
        <x:v>0.38</x:v>
      </x:c>
      <x:c r="D675" s="7" t="str">
        <x:v>valid_audio</x:v>
      </x:c>
      <x:c r="E675" s="14" t="n">
        <x:v>0</x:v>
      </x:c>
    </x:row>
    <x:row r="676" ht="34" customHeight="1">
      <x:c r="A676" s="12" t="str">
        <x:v>DP3-B-R2</x:v>
      </x:c>
      <x:c r="B676" s="12" t="str">
        <x:v>U15</x:v>
      </x:c>
      <x:c r="C676" s="13" t="n">
        <x:v>0.14</x:v>
      </x:c>
      <x:c r="D676" s="12" t="str">
        <x:v>core_ui_mb</x:v>
      </x:c>
      <x:c r="E676" s="13" t="n">
        <x:v>180</x:v>
      </x:c>
    </x:row>
    <x:row r="677" ht="34" customHeight="1">
      <x:c r="A677" s="7" t="str">
        <x:v>DP3-B-R2</x:v>
      </x:c>
      <x:c r="B677" s="7" t="str">
        <x:v>U15</x:v>
      </x:c>
      <x:c r="C677" s="14" t="n">
        <x:v>0.14</x:v>
      </x:c>
      <x:c r="D677" s="7" t="str">
        <x:v>asr_audio_mb</x:v>
      </x:c>
      <x:c r="E677" s="14" t="n">
        <x:v>220</x:v>
      </x:c>
    </x:row>
    <x:row r="678" ht="34" customHeight="1">
      <x:c r="A678" s="12" t="str">
        <x:v>DP3-B-R2</x:v>
      </x:c>
      <x:c r="B678" s="12" t="str">
        <x:v>U15</x:v>
      </x:c>
      <x:c r="C678" s="13" t="n">
        <x:v>0.14</x:v>
      </x:c>
      <x:c r="D678" s="12" t="str">
        <x:v>source_ring_mb</x:v>
      </x:c>
      <x:c r="E678" s="13" t="n">
        <x:v>96</x:v>
      </x:c>
    </x:row>
    <x:row r="679" ht="34" customHeight="1">
      <x:c r="A679" s="7" t="str">
        <x:v>DP3-B-R2</x:v>
      </x:c>
      <x:c r="B679" s="7" t="str">
        <x:v>U15</x:v>
      </x:c>
      <x:c r="C679" s="14" t="n">
        <x:v>0.14</x:v>
      </x:c>
      <x:c r="D679" s="7" t="str">
        <x:v>common_history_mb</x:v>
      </x:c>
      <x:c r="E679" s="14" t="n">
        <x:v>64</x:v>
      </x:c>
    </x:row>
    <x:row r="680" ht="34" customHeight="1">
      <x:c r="A680" s="12" t="str">
        <x:v>DP3-B-R2</x:v>
      </x:c>
      <x:c r="B680" s="12" t="str">
        <x:v>U15</x:v>
      </x:c>
      <x:c r="C680" s="13" t="n">
        <x:v>0.14</x:v>
      </x:c>
      <x:c r="D680" s="12" t="str">
        <x:v>request</x:v>
      </x:c>
      <x:c r="E680" s="13" t="n">
        <x:v>11</x:v>
      </x:c>
    </x:row>
    <x:row r="681" ht="34" customHeight="1">
      <x:c r="A681" s="7" t="str">
        <x:v>DP3-B-R2</x:v>
      </x:c>
      <x:c r="B681" s="7" t="str">
        <x:v>U15</x:v>
      </x:c>
      <x:c r="C681" s="14" t="n">
        <x:v>0.14</x:v>
      </x:c>
      <x:c r="D681" s="7" t="str">
        <x:v>meaning:client</x:v>
      </x:c>
      <x:c r="E681" s="14" t="n">
        <x:v>17.4</x:v>
      </x:c>
    </x:row>
    <x:row r="682" ht="34" customHeight="1">
      <x:c r="A682" s="12" t="str">
        <x:v>DP3-B-R2</x:v>
      </x:c>
      <x:c r="B682" s="12" t="str">
        <x:v>U15</x:v>
      </x:c>
      <x:c r="C682" s="13" t="n">
        <x:v>0.14</x:v>
      </x:c>
      <x:c r="D682" s="12" t="str">
        <x:v>valid_audio</x:v>
      </x:c>
      <x:c r="E682" s="13" t="n">
        <x:v>0</x:v>
      </x:c>
    </x:row>
    <x:row r="683" ht="34" customHeight="1">
      <x:c r="A683" s="7" t="str">
        <x:v>DP3-B-R2</x:v>
      </x:c>
      <x:c r="B683" s="7" t="str">
        <x:v>U16</x:v>
      </x:c>
      <x:c r="C683" s="14" t="n">
        <x:v>0.38</x:v>
      </x:c>
      <x:c r="D683" s="7" t="str">
        <x:v>core_ui_mb</x:v>
      </x:c>
      <x:c r="E683" s="14" t="n">
        <x:v>180</x:v>
      </x:c>
    </x:row>
    <x:row r="684" ht="34" customHeight="1">
      <x:c r="A684" s="12" t="str">
        <x:v>DP3-B-R2</x:v>
      </x:c>
      <x:c r="B684" s="12" t="str">
        <x:v>U16</x:v>
      </x:c>
      <x:c r="C684" s="13" t="n">
        <x:v>0.38</x:v>
      </x:c>
      <x:c r="D684" s="12" t="str">
        <x:v>asr_audio_mb</x:v>
      </x:c>
      <x:c r="E684" s="13" t="n">
        <x:v>220</x:v>
      </x:c>
    </x:row>
    <x:row r="685" ht="34" customHeight="1">
      <x:c r="A685" s="7" t="str">
        <x:v>DP3-B-R2</x:v>
      </x:c>
      <x:c r="B685" s="7" t="str">
        <x:v>U16</x:v>
      </x:c>
      <x:c r="C685" s="14" t="n">
        <x:v>0.38</x:v>
      </x:c>
      <x:c r="D685" s="7" t="str">
        <x:v>source_ring_mb</x:v>
      </x:c>
      <x:c r="E685" s="14" t="n">
        <x:v>96</x:v>
      </x:c>
    </x:row>
    <x:row r="686" ht="34" customHeight="1">
      <x:c r="A686" s="12" t="str">
        <x:v>DP3-B-R2</x:v>
      </x:c>
      <x:c r="B686" s="12" t="str">
        <x:v>U16</x:v>
      </x:c>
      <x:c r="C686" s="13" t="n">
        <x:v>0.38</x:v>
      </x:c>
      <x:c r="D686" s="12" t="str">
        <x:v>common_history_mb</x:v>
      </x:c>
      <x:c r="E686" s="13" t="n">
        <x:v>64</x:v>
      </x:c>
    </x:row>
    <x:row r="687" ht="34" customHeight="1">
      <x:c r="A687" s="7" t="str">
        <x:v>DP3-B-R2</x:v>
      </x:c>
      <x:c r="B687" s="7" t="str">
        <x:v>U16</x:v>
      </x:c>
      <x:c r="C687" s="14" t="n">
        <x:v>0.38</x:v>
      </x:c>
      <x:c r="D687" s="7" t="str">
        <x:v>request</x:v>
      </x:c>
      <x:c r="E687" s="14" t="n">
        <x:v>11</x:v>
      </x:c>
    </x:row>
    <x:row r="688" ht="34" customHeight="1">
      <x:c r="A688" s="12" t="str">
        <x:v>DP3-B-R2</x:v>
      </x:c>
      <x:c r="B688" s="12" t="str">
        <x:v>U16</x:v>
      </x:c>
      <x:c r="C688" s="13" t="n">
        <x:v>0.38</x:v>
      </x:c>
      <x:c r="D688" s="12" t="str">
        <x:v>meaning:client</x:v>
      </x:c>
      <x:c r="E688" s="13" t="n">
        <x:v>27</x:v>
      </x:c>
    </x:row>
    <x:row r="689" ht="34" customHeight="1">
      <x:c r="A689" s="7" t="str">
        <x:v>DP3-B-R2</x:v>
      </x:c>
      <x:c r="B689" s="7" t="str">
        <x:v>U16</x:v>
      </x:c>
      <x:c r="C689" s="14" t="n">
        <x:v>0.38</x:v>
      </x:c>
      <x:c r="D689" s="7" t="str">
        <x:v>valid_audio</x:v>
      </x:c>
      <x:c r="E689" s="14" t="n">
        <x:v>0</x:v>
      </x:c>
    </x:row>
    <x:row r="690" ht="34" customHeight="1">
      <x:c r="A690" s="12" t="str">
        <x:v>DP3-B-R2</x:v>
      </x:c>
      <x:c r="B690" s="12" t="str">
        <x:v>U17</x:v>
      </x:c>
      <x:c r="C690" s="13" t="n">
        <x:v>0.3906666666666667</x:v>
      </x:c>
      <x:c r="D690" s="12" t="str">
        <x:v>core_ui_mb</x:v>
      </x:c>
      <x:c r="E690" s="13" t="n">
        <x:v>180</x:v>
      </x:c>
    </x:row>
    <x:row r="691" ht="34" customHeight="1">
      <x:c r="A691" s="7" t="str">
        <x:v>DP3-B-R2</x:v>
      </x:c>
      <x:c r="B691" s="7" t="str">
        <x:v>U17</x:v>
      </x:c>
      <x:c r="C691" s="14" t="n">
        <x:v>0.3906666666666667</x:v>
      </x:c>
      <x:c r="D691" s="7" t="str">
        <x:v>asr_audio_mb</x:v>
      </x:c>
      <x:c r="E691" s="14" t="n">
        <x:v>220</x:v>
      </x:c>
    </x:row>
    <x:row r="692" ht="34" customHeight="1">
      <x:c r="A692" s="12" t="str">
        <x:v>DP3-B-R2</x:v>
      </x:c>
      <x:c r="B692" s="12" t="str">
        <x:v>U17</x:v>
      </x:c>
      <x:c r="C692" s="13" t="n">
        <x:v>0.3906666666666667</x:v>
      </x:c>
      <x:c r="D692" s="12" t="str">
        <x:v>source_ring_mb</x:v>
      </x:c>
      <x:c r="E692" s="13" t="n">
        <x:v>96</x:v>
      </x:c>
    </x:row>
    <x:row r="693" ht="34" customHeight="1">
      <x:c r="A693" s="7" t="str">
        <x:v>DP3-B-R2</x:v>
      </x:c>
      <x:c r="B693" s="7" t="str">
        <x:v>U17</x:v>
      </x:c>
      <x:c r="C693" s="14" t="n">
        <x:v>0.3906666666666667</x:v>
      </x:c>
      <x:c r="D693" s="7" t="str">
        <x:v>common_history_mb</x:v>
      </x:c>
      <x:c r="E693" s="14" t="n">
        <x:v>64</x:v>
      </x:c>
    </x:row>
    <x:row r="694" ht="34" customHeight="1">
      <x:c r="A694" s="12" t="str">
        <x:v>DP3-B-R2</x:v>
      </x:c>
      <x:c r="B694" s="12" t="str">
        <x:v>U17</x:v>
      </x:c>
      <x:c r="C694" s="13" t="n">
        <x:v>0.3906666666666667</x:v>
      </x:c>
      <x:c r="D694" s="12" t="str">
        <x:v>request</x:v>
      </x:c>
      <x:c r="E694" s="13" t="n">
        <x:v>11</x:v>
      </x:c>
    </x:row>
    <x:row r="695" ht="34" customHeight="1">
      <x:c r="A695" s="7" t="str">
        <x:v>DP3-B-R2</x:v>
      </x:c>
      <x:c r="B695" s="7" t="str">
        <x:v>U17</x:v>
      </x:c>
      <x:c r="C695" s="14" t="n">
        <x:v>0.3906666666666667</x:v>
      </x:c>
      <x:c r="D695" s="7" t="str">
        <x:v>meaning:client</x:v>
      </x:c>
      <x:c r="E695" s="14" t="n">
        <x:v>17.4</x:v>
      </x:c>
    </x:row>
    <x:row r="696" ht="34" customHeight="1">
      <x:c r="A696" s="12" t="str">
        <x:v>DP3-B-R2</x:v>
      </x:c>
      <x:c r="B696" s="12" t="str">
        <x:v>U17</x:v>
      </x:c>
      <x:c r="C696" s="13" t="n">
        <x:v>0.3906666666666667</x:v>
      </x:c>
      <x:c r="D696" s="12" t="str">
        <x:v>valid_audio</x:v>
      </x:c>
      <x:c r="E696" s="13" t="n">
        <x:v>0.384</x:v>
      </x:c>
    </x:row>
    <x:row r="697" ht="34" customHeight="1">
      <x:c r="A697" s="7" t="str">
        <x:v>DP3-B-R2</x:v>
      </x:c>
      <x:c r="B697" s="7" t="str">
        <x:v>U18</x:v>
      </x:c>
      <x:c r="C697" s="14" t="n">
        <x:v>0.8933333333333335</x:v>
      </x:c>
      <x:c r="D697" s="7" t="str">
        <x:v>core_ui_mb</x:v>
      </x:c>
      <x:c r="E697" s="14" t="n">
        <x:v>180</x:v>
      </x:c>
    </x:row>
    <x:row r="698" ht="34" customHeight="1">
      <x:c r="A698" s="12" t="str">
        <x:v>DP3-B-R2</x:v>
      </x:c>
      <x:c r="B698" s="12" t="str">
        <x:v>U18</x:v>
      </x:c>
      <x:c r="C698" s="13" t="n">
        <x:v>0.8933333333333335</x:v>
      </x:c>
      <x:c r="D698" s="12" t="str">
        <x:v>asr_audio_mb</x:v>
      </x:c>
      <x:c r="E698" s="13" t="n">
        <x:v>220</x:v>
      </x:c>
    </x:row>
    <x:row r="699" ht="34" customHeight="1">
      <x:c r="A699" s="7" t="str">
        <x:v>DP3-B-R2</x:v>
      </x:c>
      <x:c r="B699" s="7" t="str">
        <x:v>U18</x:v>
      </x:c>
      <x:c r="C699" s="14" t="n">
        <x:v>0.8933333333333335</x:v>
      </x:c>
      <x:c r="D699" s="7" t="str">
        <x:v>source_ring_mb</x:v>
      </x:c>
      <x:c r="E699" s="14" t="n">
        <x:v>96</x:v>
      </x:c>
    </x:row>
    <x:row r="700" ht="34" customHeight="1">
      <x:c r="A700" s="12" t="str">
        <x:v>DP3-B-R2</x:v>
      </x:c>
      <x:c r="B700" s="12" t="str">
        <x:v>U18</x:v>
      </x:c>
      <x:c r="C700" s="13" t="n">
        <x:v>0.8933333333333335</x:v>
      </x:c>
      <x:c r="D700" s="12" t="str">
        <x:v>common_history_mb</x:v>
      </x:c>
      <x:c r="E700" s="13" t="n">
        <x:v>64</x:v>
      </x:c>
    </x:row>
    <x:row r="701" ht="34" customHeight="1">
      <x:c r="A701" s="7" t="str">
        <x:v>DP3-B-R2</x:v>
      </x:c>
      <x:c r="B701" s="7" t="str">
        <x:v>U18</x:v>
      </x:c>
      <x:c r="C701" s="14" t="n">
        <x:v>0.8933333333333335</x:v>
      </x:c>
      <x:c r="D701" s="7" t="str">
        <x:v>request</x:v>
      </x:c>
      <x:c r="E701" s="14" t="n">
        <x:v>11</x:v>
      </x:c>
    </x:row>
    <x:row r="702" ht="34" customHeight="1">
      <x:c r="A702" s="12" t="str">
        <x:v>DP3-B-R2</x:v>
      </x:c>
      <x:c r="B702" s="12" t="str">
        <x:v>U18</x:v>
      </x:c>
      <x:c r="C702" s="13" t="n">
        <x:v>0.8933333333333335</x:v>
      </x:c>
      <x:c r="D702" s="12" t="str">
        <x:v>meaning:client</x:v>
      </x:c>
      <x:c r="E702" s="13" t="n">
        <x:v>17.4</x:v>
      </x:c>
    </x:row>
    <x:row r="703" ht="34" customHeight="1">
      <x:c r="A703" s="7" t="str">
        <x:v>DP3-B-R2</x:v>
      </x:c>
      <x:c r="B703" s="7" t="str">
        <x:v>U18</x:v>
      </x:c>
      <x:c r="C703" s="14" t="n">
        <x:v>0.8933333333333335</x:v>
      </x:c>
      <x:c r="D703" s="7" t="str">
        <x:v>valid_audio</x:v>
      </x:c>
      <x:c r="E703" s="14" t="n">
        <x:v>0.864</x:v>
      </x:c>
    </x:row>
    <x:row r="704" ht="34" customHeight="1">
      <x:c r="A704" s="12" t="str">
        <x:v>DP3-B-R2</x:v>
      </x:c>
      <x:c r="B704" s="12" t="str">
        <x:v>U19</x:v>
      </x:c>
      <x:c r="C704" s="13" t="n">
        <x:v>1.47999999</x:v>
      </x:c>
      <x:c r="D704" s="12" t="str">
        <x:v>core_ui_mb</x:v>
      </x:c>
      <x:c r="E704" s="13" t="n">
        <x:v>180</x:v>
      </x:c>
    </x:row>
    <x:row r="705" ht="34" customHeight="1">
      <x:c r="A705" s="7" t="str">
        <x:v>DP3-B-R2</x:v>
      </x:c>
      <x:c r="B705" s="7" t="str">
        <x:v>U19</x:v>
      </x:c>
      <x:c r="C705" s="14" t="n">
        <x:v>1.47999999</x:v>
      </x:c>
      <x:c r="D705" s="7" t="str">
        <x:v>asr_audio_mb</x:v>
      </x:c>
      <x:c r="E705" s="14" t="n">
        <x:v>220</x:v>
      </x:c>
    </x:row>
    <x:row r="706" ht="34" customHeight="1">
      <x:c r="A706" s="12" t="str">
        <x:v>DP3-B-R2</x:v>
      </x:c>
      <x:c r="B706" s="12" t="str">
        <x:v>U19</x:v>
      </x:c>
      <x:c r="C706" s="13" t="n">
        <x:v>1.47999999</x:v>
      </x:c>
      <x:c r="D706" s="12" t="str">
        <x:v>source_ring_mb</x:v>
      </x:c>
      <x:c r="E706" s="13" t="n">
        <x:v>96</x:v>
      </x:c>
    </x:row>
    <x:row r="707" ht="34" customHeight="1">
      <x:c r="A707" s="7" t="str">
        <x:v>DP3-B-R2</x:v>
      </x:c>
      <x:c r="B707" s="7" t="str">
        <x:v>U19</x:v>
      </x:c>
      <x:c r="C707" s="14" t="n">
        <x:v>1.47999999</x:v>
      </x:c>
      <x:c r="D707" s="7" t="str">
        <x:v>common_history_mb</x:v>
      </x:c>
      <x:c r="E707" s="14" t="n">
        <x:v>64</x:v>
      </x:c>
    </x:row>
    <x:row r="708" ht="34" customHeight="1">
      <x:c r="A708" s="12" t="str">
        <x:v>DP3-B-R2</x:v>
      </x:c>
      <x:c r="B708" s="12" t="str">
        <x:v>U19</x:v>
      </x:c>
      <x:c r="C708" s="13" t="n">
        <x:v>1.47999999</x:v>
      </x:c>
      <x:c r="D708" s="12" t="str">
        <x:v>request</x:v>
      </x:c>
      <x:c r="E708" s="13" t="n">
        <x:v>11</x:v>
      </x:c>
    </x:row>
    <x:row r="709" ht="34" customHeight="1">
      <x:c r="A709" s="7" t="str">
        <x:v>DP3-B-R2</x:v>
      </x:c>
      <x:c r="B709" s="7" t="str">
        <x:v>U19</x:v>
      </x:c>
      <x:c r="C709" s="14" t="n">
        <x:v>1.47999999</x:v>
      </x:c>
      <x:c r="D709" s="7" t="str">
        <x:v>meaning:client</x:v>
      </x:c>
      <x:c r="E709" s="14" t="n">
        <x:v>17.4</x:v>
      </x:c>
    </x:row>
    <x:row r="710" ht="34" customHeight="1">
      <x:c r="A710" s="12" t="str">
        <x:v>DP3-B-R2</x:v>
      </x:c>
      <x:c r="B710" s="12" t="str">
        <x:v>U19</x:v>
      </x:c>
      <x:c r="C710" s="13" t="n">
        <x:v>1.47999999</x:v>
      </x:c>
      <x:c r="D710" s="12" t="str">
        <x:v>valid_audio</x:v>
      </x:c>
      <x:c r="E710" s="13" t="n">
        <x:v>0.87398399808</x:v>
      </x:c>
    </x:row>
    <x:row r="711" ht="34" customHeight="1">
      <x:c r="A711" s="7" t="str">
        <x:v>DP3-B-R2</x:v>
      </x:c>
      <x:c r="B711" s="7" t="str">
        <x:v>U20</x:v>
      </x:c>
      <x:c r="C711" s="14" t="n">
        <x:v>0.38</x:v>
      </x:c>
      <x:c r="D711" s="7" t="str">
        <x:v>core_ui_mb</x:v>
      </x:c>
      <x:c r="E711" s="14" t="n">
        <x:v>180</x:v>
      </x:c>
    </x:row>
    <x:row r="712" ht="34" customHeight="1">
      <x:c r="A712" s="12" t="str">
        <x:v>DP3-B-R2</x:v>
      </x:c>
      <x:c r="B712" s="12" t="str">
        <x:v>U20</x:v>
      </x:c>
      <x:c r="C712" s="13" t="n">
        <x:v>0.38</x:v>
      </x:c>
      <x:c r="D712" s="12" t="str">
        <x:v>asr_audio_mb</x:v>
      </x:c>
      <x:c r="E712" s="13" t="n">
        <x:v>220</x:v>
      </x:c>
    </x:row>
    <x:row r="713" ht="34" customHeight="1">
      <x:c r="A713" s="7" t="str">
        <x:v>DP3-B-R2</x:v>
      </x:c>
      <x:c r="B713" s="7" t="str">
        <x:v>U20</x:v>
      </x:c>
      <x:c r="C713" s="14" t="n">
        <x:v>0.38</x:v>
      </x:c>
      <x:c r="D713" s="7" t="str">
        <x:v>source_ring_mb</x:v>
      </x:c>
      <x:c r="E713" s="14" t="n">
        <x:v>96</x:v>
      </x:c>
    </x:row>
    <x:row r="714" ht="34" customHeight="1">
      <x:c r="A714" s="12" t="str">
        <x:v>DP3-B-R2</x:v>
      </x:c>
      <x:c r="B714" s="12" t="str">
        <x:v>U20</x:v>
      </x:c>
      <x:c r="C714" s="13" t="n">
        <x:v>0.38</x:v>
      </x:c>
      <x:c r="D714" s="12" t="str">
        <x:v>common_history_mb</x:v>
      </x:c>
      <x:c r="E714" s="13" t="n">
        <x:v>64</x:v>
      </x:c>
    </x:row>
    <x:row r="715" ht="34" customHeight="1">
      <x:c r="A715" s="7" t="str">
        <x:v>DP3-B-R2</x:v>
      </x:c>
      <x:c r="B715" s="7" t="str">
        <x:v>U20</x:v>
      </x:c>
      <x:c r="C715" s="14" t="n">
        <x:v>0.38</x:v>
      </x:c>
      <x:c r="D715" s="7" t="str">
        <x:v>request</x:v>
      </x:c>
      <x:c r="E715" s="14" t="n">
        <x:v>11</x:v>
      </x:c>
    </x:row>
    <x:row r="716" ht="34" customHeight="1">
      <x:c r="A716" s="12" t="str">
        <x:v>DP3-B-R2</x:v>
      </x:c>
      <x:c r="B716" s="12" t="str">
        <x:v>U20</x:v>
      </x:c>
      <x:c r="C716" s="13" t="n">
        <x:v>0.38</x:v>
      </x:c>
      <x:c r="D716" s="12" t="str">
        <x:v>meaning:client</x:v>
      </x:c>
      <x:c r="E716" s="13" t="n">
        <x:v>17.4</x:v>
      </x:c>
    </x:row>
    <x:row r="717" ht="34" customHeight="1">
      <x:c r="A717" s="7" t="str">
        <x:v>DP3-B-R2</x:v>
      </x:c>
      <x:c r="B717" s="7" t="str">
        <x:v>U20</x:v>
      </x:c>
      <x:c r="C717" s="14" t="n">
        <x:v>0.38</x:v>
      </x:c>
      <x:c r="D717" s="7" t="str">
        <x:v>valid_audio</x:v>
      </x:c>
      <x:c r="E717" s="14" t="n">
        <x:v>0.5760000000000001</x:v>
      </x:c>
    </x:row>
    <x:row r="718" ht="34" customHeight="1">
      <x:c r="A718" s="12" t="str">
        <x:v>DP3-B-R2</x:v>
      </x:c>
      <x:c r="B718" s="12" t="str">
        <x:v>U21</x:v>
      </x:c>
      <x:c r="C718" s="13" t="n">
        <x:v>1.58</x:v>
      </x:c>
      <x:c r="D718" s="12" t="str">
        <x:v>core_ui_mb</x:v>
      </x:c>
      <x:c r="E718" s="13" t="n">
        <x:v>180</x:v>
      </x:c>
    </x:row>
    <x:row r="719" ht="34" customHeight="1">
      <x:c r="A719" s="7" t="str">
        <x:v>DP3-B-R2</x:v>
      </x:c>
      <x:c r="B719" s="7" t="str">
        <x:v>U21</x:v>
      </x:c>
      <x:c r="C719" s="14" t="n">
        <x:v>1.58</x:v>
      </x:c>
      <x:c r="D719" s="7" t="str">
        <x:v>asr_audio_mb</x:v>
      </x:c>
      <x:c r="E719" s="14" t="n">
        <x:v>220</x:v>
      </x:c>
    </x:row>
    <x:row r="720" ht="34" customHeight="1">
      <x:c r="A720" s="12" t="str">
        <x:v>DP3-B-R2</x:v>
      </x:c>
      <x:c r="B720" s="12" t="str">
        <x:v>U21</x:v>
      </x:c>
      <x:c r="C720" s="13" t="n">
        <x:v>1.58</x:v>
      </x:c>
      <x:c r="D720" s="12" t="str">
        <x:v>source_ring_mb</x:v>
      </x:c>
      <x:c r="E720" s="13" t="n">
        <x:v>96</x:v>
      </x:c>
    </x:row>
    <x:row r="721" ht="34" customHeight="1">
      <x:c r="A721" s="7" t="str">
        <x:v>DP3-B-R2</x:v>
      </x:c>
      <x:c r="B721" s="7" t="str">
        <x:v>U21</x:v>
      </x:c>
      <x:c r="C721" s="14" t="n">
        <x:v>1.58</x:v>
      </x:c>
      <x:c r="D721" s="7" t="str">
        <x:v>common_history_mb</x:v>
      </x:c>
      <x:c r="E721" s="14" t="n">
        <x:v>64</x:v>
      </x:c>
    </x:row>
    <x:row r="722" ht="34" customHeight="1">
      <x:c r="A722" s="12" t="str">
        <x:v>DP3-B-R2</x:v>
      </x:c>
      <x:c r="B722" s="12" t="str">
        <x:v>U21</x:v>
      </x:c>
      <x:c r="C722" s="13" t="n">
        <x:v>1.58</x:v>
      </x:c>
      <x:c r="D722" s="12" t="str">
        <x:v>request</x:v>
      </x:c>
      <x:c r="E722" s="13" t="n">
        <x:v>11</x:v>
      </x:c>
    </x:row>
    <x:row r="723" ht="34" customHeight="1">
      <x:c r="A723" s="7" t="str">
        <x:v>DP3-B-R2</x:v>
      </x:c>
      <x:c r="B723" s="7" t="str">
        <x:v>U21</x:v>
      </x:c>
      <x:c r="C723" s="14" t="n">
        <x:v>1.58</x:v>
      </x:c>
      <x:c r="D723" s="7" t="str">
        <x:v>bg1:client</x:v>
      </x:c>
      <x:c r="E723" s="14" t="n">
        <x:v>19.8</x:v>
      </x:c>
    </x:row>
    <x:row r="724" ht="34" customHeight="1">
      <x:c r="A724" s="12" t="str">
        <x:v>DP3-B-R2</x:v>
      </x:c>
      <x:c r="B724" s="12" t="str">
        <x:v>U21</x:v>
      </x:c>
      <x:c r="C724" s="13" t="n">
        <x:v>1.58</x:v>
      </x:c>
      <x:c r="D724" s="12" t="str">
        <x:v>now_ui_load:ui_load_temp</x:v>
      </x:c>
      <x:c r="E724" s="13" t="n">
        <x:v>380</x:v>
      </x:c>
    </x:row>
    <x:row r="725" ht="34" customHeight="1">
      <x:c r="A725" s="7" t="str">
        <x:v>DP3-B-R2</x:v>
      </x:c>
      <x:c r="B725" s="7" t="str">
        <x:v>U21</x:v>
      </x:c>
      <x:c r="C725" s="14" t="n">
        <x:v>1.58</x:v>
      </x:c>
      <x:c r="D725" s="7" t="str">
        <x:v>cloud_image_buffer</x:v>
      </x:c>
      <x:c r="E725" s="14" t="n">
        <x:v>32</x:v>
      </x:c>
    </x:row>
    <x:row r="726" ht="34" customHeight="1">
      <x:c r="A726" s="12" t="str">
        <x:v>DP3-B-R2</x:v>
      </x:c>
      <x:c r="B726" s="12" t="str">
        <x:v>U21</x:v>
      </x:c>
      <x:c r="C726" s="13" t="n">
        <x:v>1.58</x:v>
      </x:c>
      <x:c r="D726" s="12" t="str">
        <x:v>runtime_shared_pages</x:v>
      </x:c>
      <x:c r="E726" s="13" t="n">
        <x:v>60</x:v>
      </x:c>
    </x:row>
    <x:row r="727" ht="34" customHeight="1">
      <x:c r="A727" s="7" t="str">
        <x:v>DP3-B-R2</x:v>
      </x:c>
      <x:c r="B727" s="7" t="str">
        <x:v>U21</x:v>
      </x:c>
      <x:c r="C727" s="14" t="n">
        <x:v>1.58</x:v>
      </x:c>
      <x:c r="D727" s="7" t="str">
        <x:v>vision_ipc</x:v>
      </x:c>
      <x:c r="E727" s="14" t="n">
        <x:v>24</x:v>
      </x:c>
    </x:row>
    <x:row r="728" ht="34" customHeight="1">
      <x:c r="A728" s="12" t="str">
        <x:v>DP3-B-R2</x:v>
      </x:c>
      <x:c r="B728" s="12" t="str">
        <x:v>U21</x:v>
      </x:c>
      <x:c r="C728" s="13" t="n">
        <x:v>1.58</x:v>
      </x:c>
      <x:c r="D728" s="12" t="str">
        <x:v>runtime_private:shared</x:v>
      </x:c>
      <x:c r="E728" s="13" t="n">
        <x:v>280</x:v>
      </x:c>
    </x:row>
    <x:row r="729" ht="34" customHeight="1">
      <x:c r="A729" s="7" t="str">
        <x:v>DP3-B-R2</x:v>
      </x:c>
      <x:c r="B729" s="7" t="str">
        <x:v>U21</x:v>
      </x:c>
      <x:c r="C729" s="14" t="n">
        <x:v>1.58</x:v>
      </x:c>
      <x:c r="D729" s="7" t="str">
        <x:v>weight:now_ui_infer</x:v>
      </x:c>
      <x:c r="E729" s="14" t="n">
        <x:v>420</x:v>
      </x:c>
    </x:row>
    <x:row r="730" ht="34" customHeight="1">
      <x:c r="A730" s="12" t="str">
        <x:v>DP3-B-R2</x:v>
      </x:c>
      <x:c r="B730" s="12" t="str">
        <x:v>U21</x:v>
      </x:c>
      <x:c r="C730" s="13" t="n">
        <x:v>1.58</x:v>
      </x:c>
      <x:c r="D730" s="12" t="str">
        <x:v>valid_audio</x:v>
      </x:c>
      <x:c r="E730" s="13" t="n">
        <x:v>0</x:v>
      </x:c>
    </x:row>
    <x:row r="731" ht="34" customHeight="1">
      <x:c r="A731" s="7" t="str">
        <x:v>DP3-B-R2</x:v>
      </x:c>
      <x:c r="B731" s="7" t="str">
        <x:v>U22</x:v>
      </x:c>
      <x:c r="C731" s="14" t="n">
        <x:v>-10.8</x:v>
      </x:c>
      <x:c r="D731" s="7" t="str">
        <x:v>core_ui_mb</x:v>
      </x:c>
      <x:c r="E731" s="14" t="n">
        <x:v>180</x:v>
      </x:c>
    </x:row>
    <x:row r="732" ht="34" customHeight="1">
      <x:c r="A732" s="12" t="str">
        <x:v>DP3-B-R2</x:v>
      </x:c>
      <x:c r="B732" s="12" t="str">
        <x:v>U22</x:v>
      </x:c>
      <x:c r="C732" s="13" t="n">
        <x:v>-10.8</x:v>
      </x:c>
      <x:c r="D732" s="12" t="str">
        <x:v>asr_audio_mb</x:v>
      </x:c>
      <x:c r="E732" s="13" t="n">
        <x:v>220</x:v>
      </x:c>
    </x:row>
    <x:row r="733" ht="34" customHeight="1">
      <x:c r="A733" s="7" t="str">
        <x:v>DP3-B-R2</x:v>
      </x:c>
      <x:c r="B733" s="7" t="str">
        <x:v>U22</x:v>
      </x:c>
      <x:c r="C733" s="14" t="n">
        <x:v>-10.8</x:v>
      </x:c>
      <x:c r="D733" s="7" t="str">
        <x:v>source_ring_mb</x:v>
      </x:c>
      <x:c r="E733" s="14" t="n">
        <x:v>96</x:v>
      </x:c>
    </x:row>
    <x:row r="734" ht="34" customHeight="1">
      <x:c r="A734" s="12" t="str">
        <x:v>DP3-B-R2</x:v>
      </x:c>
      <x:c r="B734" s="12" t="str">
        <x:v>U22</x:v>
      </x:c>
      <x:c r="C734" s="13" t="n">
        <x:v>-10.8</x:v>
      </x:c>
      <x:c r="D734" s="12" t="str">
        <x:v>common_history_mb</x:v>
      </x:c>
      <x:c r="E734" s="13" t="n">
        <x:v>64</x:v>
      </x:c>
    </x:row>
    <x:row r="735" ht="34" customHeight="1">
      <x:c r="A735" s="7" t="str">
        <x:v>DP3-B-R2</x:v>
      </x:c>
      <x:c r="B735" s="7" t="str">
        <x:v>U22</x:v>
      </x:c>
      <x:c r="C735" s="14" t="n">
        <x:v>-10.8</x:v>
      </x:c>
      <x:c r="D735" s="7" t="str">
        <x:v>pre_ui_load:ui_load_temp</x:v>
      </x:c>
      <x:c r="E735" s="14" t="n">
        <x:v>380</x:v>
      </x:c>
    </x:row>
    <x:row r="736" ht="34" customHeight="1">
      <x:c r="A736" s="12" t="str">
        <x:v>DP3-B-R2</x:v>
      </x:c>
      <x:c r="B736" s="12" t="str">
        <x:v>U22</x:v>
      </x:c>
      <x:c r="C736" s="13" t="n">
        <x:v>-10.8</x:v>
      </x:c>
      <x:c r="D736" s="12" t="str">
        <x:v>runtime_shared_pages</x:v>
      </x:c>
      <x:c r="E736" s="13" t="n">
        <x:v>60</x:v>
      </x:c>
    </x:row>
    <x:row r="737" ht="34" customHeight="1">
      <x:c r="A737" s="7" t="str">
        <x:v>DP3-B-R2</x:v>
      </x:c>
      <x:c r="B737" s="7" t="str">
        <x:v>U22</x:v>
      </x:c>
      <x:c r="C737" s="14" t="n">
        <x:v>-10.8</x:v>
      </x:c>
      <x:c r="D737" s="7" t="str">
        <x:v>vision_ipc</x:v>
      </x:c>
      <x:c r="E737" s="14" t="n">
        <x:v>24</x:v>
      </x:c>
    </x:row>
    <x:row r="738" ht="34" customHeight="1">
      <x:c r="A738" s="12" t="str">
        <x:v>DP3-B-R2</x:v>
      </x:c>
      <x:c r="B738" s="12" t="str">
        <x:v>U22</x:v>
      </x:c>
      <x:c r="C738" s="13" t="n">
        <x:v>-10.8</x:v>
      </x:c>
      <x:c r="D738" s="12" t="str">
        <x:v>runtime_private:shared</x:v>
      </x:c>
      <x:c r="E738" s="13" t="n">
        <x:v>280</x:v>
      </x:c>
    </x:row>
    <x:row r="739" ht="34" customHeight="1">
      <x:c r="A739" s="7" t="str">
        <x:v>DP3-B-R2</x:v>
      </x:c>
      <x:c r="B739" s="7" t="str">
        <x:v>U22</x:v>
      </x:c>
      <x:c r="C739" s="14" t="n">
        <x:v>-10.8</x:v>
      </x:c>
      <x:c r="D739" s="7" t="str">
        <x:v>weight:pre_ui_infer</x:v>
      </x:c>
      <x:c r="E739" s="14" t="n">
        <x:v>420</x:v>
      </x:c>
    </x:row>
    <x:row r="740" ht="34" customHeight="1">
      <x:c r="A740" s="12" t="str">
        <x:v>DP3-B-R2</x:v>
      </x:c>
      <x:c r="B740" s="12" t="str">
        <x:v>U22</x:v>
      </x:c>
      <x:c r="C740" s="13" t="n">
        <x:v>-10.8</x:v>
      </x:c>
      <x:c r="D740" s="12" t="str">
        <x:v>valid_audio</x:v>
      </x:c>
      <x:c r="E740" s="13" t="n">
        <x:v>0</x:v>
      </x:c>
    </x:row>
    <x:row r="741" ht="34" customHeight="1">
      <x:c r="A741" s="7" t="str">
        <x:v>DP3-B-R2</x:v>
      </x:c>
      <x:c r="B741" s="7" t="str">
        <x:v>U23</x:v>
      </x:c>
      <x:c r="C741" s="14" t="n">
        <x:v>0.14</x:v>
      </x:c>
      <x:c r="D741" s="7" t="str">
        <x:v>core_ui_mb</x:v>
      </x:c>
      <x:c r="E741" s="14" t="n">
        <x:v>180</x:v>
      </x:c>
    </x:row>
    <x:row r="742" ht="34" customHeight="1">
      <x:c r="A742" s="12" t="str">
        <x:v>DP3-B-R2</x:v>
      </x:c>
      <x:c r="B742" s="12" t="str">
        <x:v>U23</x:v>
      </x:c>
      <x:c r="C742" s="13" t="n">
        <x:v>0.14</x:v>
      </x:c>
      <x:c r="D742" s="12" t="str">
        <x:v>asr_audio_mb</x:v>
      </x:c>
      <x:c r="E742" s="13" t="n">
        <x:v>220</x:v>
      </x:c>
    </x:row>
    <x:row r="743" ht="34" customHeight="1">
      <x:c r="A743" s="7" t="str">
        <x:v>DP3-B-R2</x:v>
      </x:c>
      <x:c r="B743" s="7" t="str">
        <x:v>U23</x:v>
      </x:c>
      <x:c r="C743" s="14" t="n">
        <x:v>0.14</x:v>
      </x:c>
      <x:c r="D743" s="7" t="str">
        <x:v>source_ring_mb</x:v>
      </x:c>
      <x:c r="E743" s="14" t="n">
        <x:v>96</x:v>
      </x:c>
    </x:row>
    <x:row r="744" ht="34" customHeight="1">
      <x:c r="A744" s="12" t="str">
        <x:v>DP3-B-R2</x:v>
      </x:c>
      <x:c r="B744" s="12" t="str">
        <x:v>U23</x:v>
      </x:c>
      <x:c r="C744" s="13" t="n">
        <x:v>0.14</x:v>
      </x:c>
      <x:c r="D744" s="12" t="str">
        <x:v>common_history_mb</x:v>
      </x:c>
      <x:c r="E744" s="13" t="n">
        <x:v>64</x:v>
      </x:c>
    </x:row>
    <x:row r="745" ht="34" customHeight="1">
      <x:c r="A745" s="7" t="str">
        <x:v>DP3-B-R2</x:v>
      </x:c>
      <x:c r="B745" s="7" t="str">
        <x:v>U23</x:v>
      </x:c>
      <x:c r="C745" s="14" t="n">
        <x:v>0.14</x:v>
      </x:c>
      <x:c r="D745" s="7" t="str">
        <x:v>request</x:v>
      </x:c>
      <x:c r="E745" s="14" t="n">
        <x:v>11</x:v>
      </x:c>
    </x:row>
    <x:row r="746" ht="34" customHeight="1">
      <x:c r="A746" s="12" t="str">
        <x:v>DP3-B-R2</x:v>
      </x:c>
      <x:c r="B746" s="12" t="str">
        <x:v>U23</x:v>
      </x:c>
      <x:c r="C746" s="13" t="n">
        <x:v>0.14</x:v>
      </x:c>
      <x:c r="D746" s="12" t="str">
        <x:v>meaning:client</x:v>
      </x:c>
      <x:c r="E746" s="13" t="n">
        <x:v>27</x:v>
      </x:c>
    </x:row>
    <x:row r="747" ht="34" customHeight="1">
      <x:c r="A747" s="7" t="str">
        <x:v>DP3-B-R2</x:v>
      </x:c>
      <x:c r="B747" s="7" t="str">
        <x:v>U23</x:v>
      </x:c>
      <x:c r="C747" s="14" t="n">
        <x:v>0.14</x:v>
      </x:c>
      <x:c r="D747" s="7" t="str">
        <x:v>valid_audio</x:v>
      </x:c>
      <x:c r="E747" s="14" t="n">
        <x:v>0.28800000000000003</x:v>
      </x:c>
    </x:row>
    <x:row r="748" ht="34" customHeight="1">
      <x:c r="A748" s="12" t="str">
        <x:v>DP3-B-R2</x:v>
      </x:c>
      <x:c r="B748" s="12" t="str">
        <x:v>U24</x:v>
      </x:c>
      <x:c r="C748" s="13" t="n">
        <x:v>4.930000000000001</x:v>
      </x:c>
      <x:c r="D748" s="12" t="str">
        <x:v>core_ui_mb</x:v>
      </x:c>
      <x:c r="E748" s="13" t="n">
        <x:v>180</x:v>
      </x:c>
    </x:row>
    <x:row r="749" ht="34" customHeight="1">
      <x:c r="A749" s="7" t="str">
        <x:v>DP3-B-R2</x:v>
      </x:c>
      <x:c r="B749" s="7" t="str">
        <x:v>U24</x:v>
      </x:c>
      <x:c r="C749" s="14" t="n">
        <x:v>4.930000000000001</x:v>
      </x:c>
      <x:c r="D749" s="7" t="str">
        <x:v>asr_audio_mb</x:v>
      </x:c>
      <x:c r="E749" s="14" t="n">
        <x:v>220</x:v>
      </x:c>
    </x:row>
    <x:row r="750" ht="34" customHeight="1">
      <x:c r="A750" s="12" t="str">
        <x:v>DP3-B-R2</x:v>
      </x:c>
      <x:c r="B750" s="12" t="str">
        <x:v>U24</x:v>
      </x:c>
      <x:c r="C750" s="13" t="n">
        <x:v>4.930000000000001</x:v>
      </x:c>
      <x:c r="D750" s="12" t="str">
        <x:v>source_ring_mb</x:v>
      </x:c>
      <x:c r="E750" s="13" t="n">
        <x:v>96</x:v>
      </x:c>
    </x:row>
    <x:row r="751" ht="34" customHeight="1">
      <x:c r="A751" s="7" t="str">
        <x:v>DP3-B-R2</x:v>
      </x:c>
      <x:c r="B751" s="7" t="str">
        <x:v>U24</x:v>
      </x:c>
      <x:c r="C751" s="14" t="n">
        <x:v>4.930000000000001</x:v>
      </x:c>
      <x:c r="D751" s="7" t="str">
        <x:v>common_history_mb</x:v>
      </x:c>
      <x:c r="E751" s="14" t="n">
        <x:v>64</x:v>
      </x:c>
    </x:row>
    <x:row r="752" ht="34" customHeight="1">
      <x:c r="A752" s="12" t="str">
        <x:v>DP3-B-R2</x:v>
      </x:c>
      <x:c r="B752" s="12" t="str">
        <x:v>U24</x:v>
      </x:c>
      <x:c r="C752" s="13" t="n">
        <x:v>4.930000000000001</x:v>
      </x:c>
      <x:c r="D752" s="12" t="str">
        <x:v>request</x:v>
      </x:c>
      <x:c r="E752" s="13" t="n">
        <x:v>11</x:v>
      </x:c>
    </x:row>
    <x:row r="753" ht="34" customHeight="1">
      <x:c r="A753" s="7" t="str">
        <x:v>DP3-B-R2</x:v>
      </x:c>
      <x:c r="B753" s="7" t="str">
        <x:v>U24</x:v>
      </x:c>
      <x:c r="C753" s="14" t="n">
        <x:v>4.930000000000001</x:v>
      </x:c>
      <x:c r="D753" s="7" t="str">
        <x:v>now_sam_infer:sam_workspace</x:v>
      </x:c>
      <x:c r="E753" s="14" t="n">
        <x:v>680</x:v>
      </x:c>
    </x:row>
    <x:row r="754" ht="34" customHeight="1">
      <x:c r="A754" s="12" t="str">
        <x:v>DP3-B-R2</x:v>
      </x:c>
      <x:c r="B754" s="12" t="str">
        <x:v>U24</x:v>
      </x:c>
      <x:c r="C754" s="13" t="n">
        <x:v>4.930000000000001</x:v>
      </x:c>
      <x:c r="D754" s="12" t="str">
        <x:v>cloud_image_buffer</x:v>
      </x:c>
      <x:c r="E754" s="13" t="n">
        <x:v>32</x:v>
      </x:c>
    </x:row>
    <x:row r="755" ht="34" customHeight="1">
      <x:c r="A755" s="7" t="str">
        <x:v>DP3-B-R2</x:v>
      </x:c>
      <x:c r="B755" s="7" t="str">
        <x:v>U24</x:v>
      </x:c>
      <x:c r="C755" s="14" t="n">
        <x:v>4.930000000000001</x:v>
      </x:c>
      <x:c r="D755" s="7" t="str">
        <x:v>runtime_shared_pages</x:v>
      </x:c>
      <x:c r="E755" s="14" t="n">
        <x:v>60</x:v>
      </x:c>
    </x:row>
    <x:row r="756" ht="34" customHeight="1">
      <x:c r="A756" s="12" t="str">
        <x:v>DP3-B-R2</x:v>
      </x:c>
      <x:c r="B756" s="12" t="str">
        <x:v>U24</x:v>
      </x:c>
      <x:c r="C756" s="13" t="n">
        <x:v>4.930000000000001</x:v>
      </x:c>
      <x:c r="D756" s="12" t="str">
        <x:v>vision_ipc</x:v>
      </x:c>
      <x:c r="E756" s="13" t="n">
        <x:v>24</x:v>
      </x:c>
    </x:row>
    <x:row r="757" ht="34" customHeight="1">
      <x:c r="A757" s="7" t="str">
        <x:v>DP3-B-R2</x:v>
      </x:c>
      <x:c r="B757" s="7" t="str">
        <x:v>U24</x:v>
      </x:c>
      <x:c r="C757" s="14" t="n">
        <x:v>4.930000000000001</x:v>
      </x:c>
      <x:c r="D757" s="7" t="str">
        <x:v>runtime_private:shared</x:v>
      </x:c>
      <x:c r="E757" s="14" t="n">
        <x:v>280</x:v>
      </x:c>
    </x:row>
    <x:row r="758" ht="34" customHeight="1">
      <x:c r="A758" s="12" t="str">
        <x:v>DP3-B-R2</x:v>
      </x:c>
      <x:c r="B758" s="12" t="str">
        <x:v>U24</x:v>
      </x:c>
      <x:c r="C758" s="13" t="n">
        <x:v>4.930000000000001</x:v>
      </x:c>
      <x:c r="D758" s="12" t="str">
        <x:v>weight:now_ui_infer</x:v>
      </x:c>
      <x:c r="E758" s="13" t="n">
        <x:v>420</x:v>
      </x:c>
    </x:row>
    <x:row r="759" ht="34" customHeight="1">
      <x:c r="A759" s="7" t="str">
        <x:v>DP3-B-R2</x:v>
      </x:c>
      <x:c r="B759" s="7" t="str">
        <x:v>U24</x:v>
      </x:c>
      <x:c r="C759" s="14" t="n">
        <x:v>4.930000000000001</x:v>
      </x:c>
      <x:c r="D759" s="7" t="str">
        <x:v>weight:now_sam_infer</x:v>
      </x:c>
      <x:c r="E759" s="14" t="n">
        <x:v>170</x:v>
      </x:c>
    </x:row>
    <x:row r="760" ht="34" customHeight="1">
      <x:c r="A760" s="12" t="str">
        <x:v>DP3-B-R2</x:v>
      </x:c>
      <x:c r="B760" s="12" t="str">
        <x:v>U24</x:v>
      </x:c>
      <x:c r="C760" s="13" t="n">
        <x:v>4.930000000000001</x:v>
      </x:c>
      <x:c r="D760" s="12" t="str">
        <x:v>valid_audio</x:v>
      </x:c>
      <x:c r="E760" s="13" t="n">
        <x:v>0</x:v>
      </x:c>
    </x:row>
    <x:row r="761" ht="34" customHeight="1">
      <x:c r="A761" s="7" t="str">
        <x:v>DP3-B-R3</x:v>
      </x:c>
      <x:c r="B761" s="7" t="str">
        <x:v>U01</x:v>
      </x:c>
      <x:c r="C761" s="14" t="n">
        <x:v>0.14</x:v>
      </x:c>
      <x:c r="D761" s="7" t="str">
        <x:v>core_ui_mb</x:v>
      </x:c>
      <x:c r="E761" s="14" t="n">
        <x:v>180</x:v>
      </x:c>
    </x:row>
    <x:row r="762" ht="34" customHeight="1">
      <x:c r="A762" s="12" t="str">
        <x:v>DP3-B-R3</x:v>
      </x:c>
      <x:c r="B762" s="12" t="str">
        <x:v>U01</x:v>
      </x:c>
      <x:c r="C762" s="13" t="n">
        <x:v>0.14</x:v>
      </x:c>
      <x:c r="D762" s="12" t="str">
        <x:v>asr_audio_mb</x:v>
      </x:c>
      <x:c r="E762" s="13" t="n">
        <x:v>220</x:v>
      </x:c>
    </x:row>
    <x:row r="763" ht="34" customHeight="1">
      <x:c r="A763" s="7" t="str">
        <x:v>DP3-B-R3</x:v>
      </x:c>
      <x:c r="B763" s="7" t="str">
        <x:v>U01</x:v>
      </x:c>
      <x:c r="C763" s="14" t="n">
        <x:v>0.14</x:v>
      </x:c>
      <x:c r="D763" s="7" t="str">
        <x:v>source_ring_mb</x:v>
      </x:c>
      <x:c r="E763" s="14" t="n">
        <x:v>96</x:v>
      </x:c>
    </x:row>
    <x:row r="764" ht="34" customHeight="1">
      <x:c r="A764" s="12" t="str">
        <x:v>DP3-B-R3</x:v>
      </x:c>
      <x:c r="B764" s="12" t="str">
        <x:v>U01</x:v>
      </x:c>
      <x:c r="C764" s="13" t="n">
        <x:v>0.14</x:v>
      </x:c>
      <x:c r="D764" s="12" t="str">
        <x:v>common_history_mb</x:v>
      </x:c>
      <x:c r="E764" s="13" t="n">
        <x:v>64</x:v>
      </x:c>
    </x:row>
    <x:row r="765" ht="34" customHeight="1">
      <x:c r="A765" s="7" t="str">
        <x:v>DP3-B-R3</x:v>
      </x:c>
      <x:c r="B765" s="7" t="str">
        <x:v>U01</x:v>
      </x:c>
      <x:c r="C765" s="14" t="n">
        <x:v>0.14</x:v>
      </x:c>
      <x:c r="D765" s="7" t="str">
        <x:v>request</x:v>
      </x:c>
      <x:c r="E765" s="14" t="n">
        <x:v>11</x:v>
      </x:c>
    </x:row>
    <x:row r="766" ht="34" customHeight="1">
      <x:c r="A766" s="12" t="str">
        <x:v>DP3-B-R3</x:v>
      </x:c>
      <x:c r="B766" s="12" t="str">
        <x:v>U01</x:v>
      </x:c>
      <x:c r="C766" s="13" t="n">
        <x:v>0.14</x:v>
      </x:c>
      <x:c r="D766" s="12" t="str">
        <x:v>meaning:client</x:v>
      </x:c>
      <x:c r="E766" s="13" t="n">
        <x:v>17.4</x:v>
      </x:c>
    </x:row>
    <x:row r="767" ht="34" customHeight="1">
      <x:c r="A767" s="7" t="str">
        <x:v>DP3-B-R3</x:v>
      </x:c>
      <x:c r="B767" s="7" t="str">
        <x:v>U01</x:v>
      </x:c>
      <x:c r="C767" s="14" t="n">
        <x:v>0.14</x:v>
      </x:c>
      <x:c r="D767" s="7" t="str">
        <x:v>valid_audio</x:v>
      </x:c>
      <x:c r="E767" s="14" t="n">
        <x:v>0</x:v>
      </x:c>
    </x:row>
    <x:row r="768" ht="34" customHeight="1">
      <x:c r="A768" s="12" t="str">
        <x:v>DP3-B-R3</x:v>
      </x:c>
      <x:c r="B768" s="12" t="str">
        <x:v>U02</x:v>
      </x:c>
      <x:c r="C768" s="13" t="n">
        <x:v>0.38</x:v>
      </x:c>
      <x:c r="D768" s="12" t="str">
        <x:v>core_ui_mb</x:v>
      </x:c>
      <x:c r="E768" s="13" t="n">
        <x:v>180</x:v>
      </x:c>
    </x:row>
    <x:row r="769" ht="34" customHeight="1">
      <x:c r="A769" s="7" t="str">
        <x:v>DP3-B-R3</x:v>
      </x:c>
      <x:c r="B769" s="7" t="str">
        <x:v>U02</x:v>
      </x:c>
      <x:c r="C769" s="14" t="n">
        <x:v>0.38</x:v>
      </x:c>
      <x:c r="D769" s="7" t="str">
        <x:v>asr_audio_mb</x:v>
      </x:c>
      <x:c r="E769" s="14" t="n">
        <x:v>220</x:v>
      </x:c>
    </x:row>
    <x:row r="770" ht="34" customHeight="1">
      <x:c r="A770" s="12" t="str">
        <x:v>DP3-B-R3</x:v>
      </x:c>
      <x:c r="B770" s="12" t="str">
        <x:v>U02</x:v>
      </x:c>
      <x:c r="C770" s="13" t="n">
        <x:v>0.38</x:v>
      </x:c>
      <x:c r="D770" s="12" t="str">
        <x:v>source_ring_mb</x:v>
      </x:c>
      <x:c r="E770" s="13" t="n">
        <x:v>96</x:v>
      </x:c>
    </x:row>
    <x:row r="771" ht="34" customHeight="1">
      <x:c r="A771" s="7" t="str">
        <x:v>DP3-B-R3</x:v>
      </x:c>
      <x:c r="B771" s="7" t="str">
        <x:v>U02</x:v>
      </x:c>
      <x:c r="C771" s="14" t="n">
        <x:v>0.38</x:v>
      </x:c>
      <x:c r="D771" s="7" t="str">
        <x:v>common_history_mb</x:v>
      </x:c>
      <x:c r="E771" s="14" t="n">
        <x:v>64</x:v>
      </x:c>
    </x:row>
    <x:row r="772" ht="34" customHeight="1">
      <x:c r="A772" s="12" t="str">
        <x:v>DP3-B-R3</x:v>
      </x:c>
      <x:c r="B772" s="12" t="str">
        <x:v>U02</x:v>
      </x:c>
      <x:c r="C772" s="13" t="n">
        <x:v>0.38</x:v>
      </x:c>
      <x:c r="D772" s="12" t="str">
        <x:v>request</x:v>
      </x:c>
      <x:c r="E772" s="13" t="n">
        <x:v>11</x:v>
      </x:c>
    </x:row>
    <x:row r="773" ht="34" customHeight="1">
      <x:c r="A773" s="7" t="str">
        <x:v>DP3-B-R3</x:v>
      </x:c>
      <x:c r="B773" s="7" t="str">
        <x:v>U02</x:v>
      </x:c>
      <x:c r="C773" s="14" t="n">
        <x:v>0.38</x:v>
      </x:c>
      <x:c r="D773" s="7" t="str">
        <x:v>meaning:client</x:v>
      </x:c>
      <x:c r="E773" s="14" t="n">
        <x:v>17.4</x:v>
      </x:c>
    </x:row>
    <x:row r="774" ht="34" customHeight="1">
      <x:c r="A774" s="12" t="str">
        <x:v>DP3-B-R3</x:v>
      </x:c>
      <x:c r="B774" s="12" t="str">
        <x:v>U02</x:v>
      </x:c>
      <x:c r="C774" s="13" t="n">
        <x:v>0.38</x:v>
      </x:c>
      <x:c r="D774" s="12" t="str">
        <x:v>valid_audio</x:v>
      </x:c>
      <x:c r="E774" s="13" t="n">
        <x:v>0</x:v>
      </x:c>
    </x:row>
    <x:row r="775" ht="34" customHeight="1">
      <x:c r="A775" s="7" t="str">
        <x:v>DP3-B-R3</x:v>
      </x:c>
      <x:c r="B775" s="7" t="str">
        <x:v>U03</x:v>
      </x:c>
      <x:c r="C775" s="14" t="n">
        <x:v>2.404</x:v>
      </x:c>
      <x:c r="D775" s="7" t="str">
        <x:v>core_ui_mb</x:v>
      </x:c>
      <x:c r="E775" s="14" t="n">
        <x:v>180</x:v>
      </x:c>
    </x:row>
    <x:row r="776" ht="34" customHeight="1">
      <x:c r="A776" s="12" t="str">
        <x:v>DP3-B-R3</x:v>
      </x:c>
      <x:c r="B776" s="12" t="str">
        <x:v>U03</x:v>
      </x:c>
      <x:c r="C776" s="13" t="n">
        <x:v>2.404</x:v>
      </x:c>
      <x:c r="D776" s="12" t="str">
        <x:v>asr_audio_mb</x:v>
      </x:c>
      <x:c r="E776" s="13" t="n">
        <x:v>220</x:v>
      </x:c>
    </x:row>
    <x:row r="777" ht="34" customHeight="1">
      <x:c r="A777" s="7" t="str">
        <x:v>DP3-B-R3</x:v>
      </x:c>
      <x:c r="B777" s="7" t="str">
        <x:v>U03</x:v>
      </x:c>
      <x:c r="C777" s="14" t="n">
        <x:v>2.404</x:v>
      </x:c>
      <x:c r="D777" s="7" t="str">
        <x:v>source_ring_mb</x:v>
      </x:c>
      <x:c r="E777" s="14" t="n">
        <x:v>96</x:v>
      </x:c>
    </x:row>
    <x:row r="778" ht="34" customHeight="1">
      <x:c r="A778" s="12" t="str">
        <x:v>DP3-B-R3</x:v>
      </x:c>
      <x:c r="B778" s="12" t="str">
        <x:v>U03</x:v>
      </x:c>
      <x:c r="C778" s="13" t="n">
        <x:v>2.404</x:v>
      </x:c>
      <x:c r="D778" s="12" t="str">
        <x:v>common_history_mb</x:v>
      </x:c>
      <x:c r="E778" s="13" t="n">
        <x:v>64</x:v>
      </x:c>
    </x:row>
    <x:row r="779" ht="34" customHeight="1">
      <x:c r="A779" s="7" t="str">
        <x:v>DP3-B-R3</x:v>
      </x:c>
      <x:c r="B779" s="7" t="str">
        <x:v>U03</x:v>
      </x:c>
      <x:c r="C779" s="14" t="n">
        <x:v>2.404</x:v>
      </x:c>
      <x:c r="D779" s="7" t="str">
        <x:v>request</x:v>
      </x:c>
      <x:c r="E779" s="14" t="n">
        <x:v>11</x:v>
      </x:c>
    </x:row>
    <x:row r="780" ht="34" customHeight="1">
      <x:c r="A780" s="12" t="str">
        <x:v>DP3-B-R3</x:v>
      </x:c>
      <x:c r="B780" s="12" t="str">
        <x:v>U03</x:v>
      </x:c>
      <x:c r="C780" s="13" t="n">
        <x:v>2.404</x:v>
      </x:c>
      <x:c r="D780" s="12" t="str">
        <x:v>long_work:client</x:v>
      </x:c>
      <x:c r="E780" s="13" t="n">
        <x:v>19.8</x:v>
      </x:c>
    </x:row>
    <x:row r="781" ht="34" customHeight="1">
      <x:c r="A781" s="7" t="str">
        <x:v>DP3-B-R3</x:v>
      </x:c>
      <x:c r="B781" s="7" t="str">
        <x:v>U03</x:v>
      </x:c>
      <x:c r="C781" s="14" t="n">
        <x:v>2.404</x:v>
      </x:c>
      <x:c r="D781" s="7" t="str">
        <x:v>valid_audio</x:v>
      </x:c>
      <x:c r="E781" s="14" t="n">
        <x:v>0.14399999999999993</x:v>
      </x:c>
    </x:row>
    <x:row r="782" ht="34" customHeight="1">
      <x:c r="A782" s="12" t="str">
        <x:v>DP3-B-R3</x:v>
      </x:c>
      <x:c r="B782" s="12" t="str">
        <x:v>U04</x:v>
      </x:c>
      <x:c r="C782" s="13" t="n">
        <x:v>0.38</x:v>
      </x:c>
      <x:c r="D782" s="12" t="str">
        <x:v>core_ui_mb</x:v>
      </x:c>
      <x:c r="E782" s="13" t="n">
        <x:v>180</x:v>
      </x:c>
    </x:row>
    <x:row r="783" ht="34" customHeight="1">
      <x:c r="A783" s="7" t="str">
        <x:v>DP3-B-R3</x:v>
      </x:c>
      <x:c r="B783" s="7" t="str">
        <x:v>U04</x:v>
      </x:c>
      <x:c r="C783" s="14" t="n">
        <x:v>0.38</x:v>
      </x:c>
      <x:c r="D783" s="7" t="str">
        <x:v>asr_audio_mb</x:v>
      </x:c>
      <x:c r="E783" s="14" t="n">
        <x:v>220</x:v>
      </x:c>
    </x:row>
    <x:row r="784" ht="34" customHeight="1">
      <x:c r="A784" s="12" t="str">
        <x:v>DP3-B-R3</x:v>
      </x:c>
      <x:c r="B784" s="12" t="str">
        <x:v>U04</x:v>
      </x:c>
      <x:c r="C784" s="13" t="n">
        <x:v>0.38</x:v>
      </x:c>
      <x:c r="D784" s="12" t="str">
        <x:v>source_ring_mb</x:v>
      </x:c>
      <x:c r="E784" s="13" t="n">
        <x:v>96</x:v>
      </x:c>
    </x:row>
    <x:row r="785" ht="34" customHeight="1">
      <x:c r="A785" s="7" t="str">
        <x:v>DP3-B-R3</x:v>
      </x:c>
      <x:c r="B785" s="7" t="str">
        <x:v>U04</x:v>
      </x:c>
      <x:c r="C785" s="14" t="n">
        <x:v>0.38</x:v>
      </x:c>
      <x:c r="D785" s="7" t="str">
        <x:v>common_history_mb</x:v>
      </x:c>
      <x:c r="E785" s="14" t="n">
        <x:v>64</x:v>
      </x:c>
    </x:row>
    <x:row r="786" ht="34" customHeight="1">
      <x:c r="A786" s="12" t="str">
        <x:v>DP3-B-R3</x:v>
      </x:c>
      <x:c r="B786" s="12" t="str">
        <x:v>U04</x:v>
      </x:c>
      <x:c r="C786" s="13" t="n">
        <x:v>0.38</x:v>
      </x:c>
      <x:c r="D786" s="12" t="str">
        <x:v>request</x:v>
      </x:c>
      <x:c r="E786" s="13" t="n">
        <x:v>11</x:v>
      </x:c>
    </x:row>
    <x:row r="787" ht="34" customHeight="1">
      <x:c r="A787" s="7" t="str">
        <x:v>DP3-B-R3</x:v>
      </x:c>
      <x:c r="B787" s="7" t="str">
        <x:v>U04</x:v>
      </x:c>
      <x:c r="C787" s="14" t="n">
        <x:v>0.38</x:v>
      </x:c>
      <x:c r="D787" s="7" t="str">
        <x:v>meaning:client</x:v>
      </x:c>
      <x:c r="E787" s="14" t="n">
        <x:v>17.4</x:v>
      </x:c>
    </x:row>
    <x:row r="788" ht="34" customHeight="1">
      <x:c r="A788" s="12" t="str">
        <x:v>DP3-B-R3</x:v>
      </x:c>
      <x:c r="B788" s="12" t="str">
        <x:v>U04</x:v>
      </x:c>
      <x:c r="C788" s="13" t="n">
        <x:v>0.38</x:v>
      </x:c>
      <x:c r="D788" s="12" t="str">
        <x:v>valid_audio</x:v>
      </x:c>
      <x:c r="E788" s="13" t="n">
        <x:v>0</x:v>
      </x:c>
    </x:row>
    <x:row r="789" ht="34" customHeight="1">
      <x:c r="A789" s="7" t="str">
        <x:v>DP3-B-R3</x:v>
      </x:c>
      <x:c r="B789" s="7" t="str">
        <x:v>U05</x:v>
      </x:c>
      <x:c r="C789" s="14" t="n">
        <x:v>0</x:v>
      </x:c>
      <x:c r="D789" s="7" t="str">
        <x:v>core_ui_mb</x:v>
      </x:c>
      <x:c r="E789" s="14" t="n">
        <x:v>180</x:v>
      </x:c>
    </x:row>
    <x:row r="790" ht="34" customHeight="1">
      <x:c r="A790" s="12" t="str">
        <x:v>DP3-B-R3</x:v>
      </x:c>
      <x:c r="B790" s="12" t="str">
        <x:v>U05</x:v>
      </x:c>
      <x:c r="C790" s="13" t="n">
        <x:v>0</x:v>
      </x:c>
      <x:c r="D790" s="12" t="str">
        <x:v>asr_audio_mb</x:v>
      </x:c>
      <x:c r="E790" s="13" t="n">
        <x:v>220</x:v>
      </x:c>
    </x:row>
    <x:row r="791" ht="34" customHeight="1">
      <x:c r="A791" s="7" t="str">
        <x:v>DP3-B-R3</x:v>
      </x:c>
      <x:c r="B791" s="7" t="str">
        <x:v>U05</x:v>
      </x:c>
      <x:c r="C791" s="14" t="n">
        <x:v>0</x:v>
      </x:c>
      <x:c r="D791" s="7" t="str">
        <x:v>source_ring_mb</x:v>
      </x:c>
      <x:c r="E791" s="14" t="n">
        <x:v>96</x:v>
      </x:c>
    </x:row>
    <x:row r="792" ht="34" customHeight="1">
      <x:c r="A792" s="12" t="str">
        <x:v>DP3-B-R3</x:v>
      </x:c>
      <x:c r="B792" s="12" t="str">
        <x:v>U05</x:v>
      </x:c>
      <x:c r="C792" s="13" t="n">
        <x:v>0</x:v>
      </x:c>
      <x:c r="D792" s="12" t="str">
        <x:v>common_history_mb</x:v>
      </x:c>
      <x:c r="E792" s="13" t="n">
        <x:v>64</x:v>
      </x:c>
    </x:row>
    <x:row r="793" ht="34" customHeight="1">
      <x:c r="A793" s="7" t="str">
        <x:v>DP3-B-R3</x:v>
      </x:c>
      <x:c r="B793" s="7" t="str">
        <x:v>U05</x:v>
      </x:c>
      <x:c r="C793" s="14" t="n">
        <x:v>0</x:v>
      </x:c>
      <x:c r="D793" s="7" t="str">
        <x:v>request</x:v>
      </x:c>
      <x:c r="E793" s="14" t="n">
        <x:v>11</x:v>
      </x:c>
    </x:row>
    <x:row r="794" ht="34" customHeight="1">
      <x:c r="A794" s="12" t="str">
        <x:v>DP3-B-R3</x:v>
      </x:c>
      <x:c r="B794" s="12" t="str">
        <x:v>U05</x:v>
      </x:c>
      <x:c r="C794" s="13" t="n">
        <x:v>0</x:v>
      </x:c>
      <x:c r="D794" s="12" t="str">
        <x:v>bg1:client</x:v>
      </x:c>
      <x:c r="E794" s="13" t="n">
        <x:v>19.8</x:v>
      </x:c>
    </x:row>
    <x:row r="795" ht="34" customHeight="1">
      <x:c r="A795" s="7" t="str">
        <x:v>DP3-B-R3</x:v>
      </x:c>
      <x:c r="B795" s="7" t="str">
        <x:v>U05</x:v>
      </x:c>
      <x:c r="C795" s="14" t="n">
        <x:v>0</x:v>
      </x:c>
      <x:c r="D795" s="7" t="str">
        <x:v>valid_audio</x:v>
      </x:c>
      <x:c r="E795" s="14" t="n">
        <x:v>0</x:v>
      </x:c>
    </x:row>
    <x:row r="796" ht="34" customHeight="1">
      <x:c r="A796" s="12" t="str">
        <x:v>DP3-B-R3</x:v>
      </x:c>
      <x:c r="B796" s="12" t="str">
        <x:v>U06</x:v>
      </x:c>
      <x:c r="C796" s="13" t="n">
        <x:v>4.664</x:v>
      </x:c>
      <x:c r="D796" s="12" t="str">
        <x:v>core_ui_mb</x:v>
      </x:c>
      <x:c r="E796" s="13" t="n">
        <x:v>180</x:v>
      </x:c>
    </x:row>
    <x:row r="797" ht="34" customHeight="1">
      <x:c r="A797" s="7" t="str">
        <x:v>DP3-B-R3</x:v>
      </x:c>
      <x:c r="B797" s="7" t="str">
        <x:v>U06</x:v>
      </x:c>
      <x:c r="C797" s="14" t="n">
        <x:v>4.664</x:v>
      </x:c>
      <x:c r="D797" s="7" t="str">
        <x:v>asr_audio_mb</x:v>
      </x:c>
      <x:c r="E797" s="14" t="n">
        <x:v>220</x:v>
      </x:c>
    </x:row>
    <x:row r="798" ht="34" customHeight="1">
      <x:c r="A798" s="12" t="str">
        <x:v>DP3-B-R3</x:v>
      </x:c>
      <x:c r="B798" s="12" t="str">
        <x:v>U06</x:v>
      </x:c>
      <x:c r="C798" s="13" t="n">
        <x:v>4.664</x:v>
      </x:c>
      <x:c r="D798" s="12" t="str">
        <x:v>source_ring_mb</x:v>
      </x:c>
      <x:c r="E798" s="13" t="n">
        <x:v>96</x:v>
      </x:c>
    </x:row>
    <x:row r="799" ht="34" customHeight="1">
      <x:c r="A799" s="7" t="str">
        <x:v>DP3-B-R3</x:v>
      </x:c>
      <x:c r="B799" s="7" t="str">
        <x:v>U06</x:v>
      </x:c>
      <x:c r="C799" s="14" t="n">
        <x:v>4.664</x:v>
      </x:c>
      <x:c r="D799" s="7" t="str">
        <x:v>common_history_mb</x:v>
      </x:c>
      <x:c r="E799" s="14" t="n">
        <x:v>64</x:v>
      </x:c>
    </x:row>
    <x:row r="800" ht="34" customHeight="1">
      <x:c r="A800" s="12" t="str">
        <x:v>DP3-B-R3</x:v>
      </x:c>
      <x:c r="B800" s="12" t="str">
        <x:v>U06</x:v>
      </x:c>
      <x:c r="C800" s="13" t="n">
        <x:v>4.664</x:v>
      </x:c>
      <x:c r="D800" s="12" t="str">
        <x:v>request</x:v>
      </x:c>
      <x:c r="E800" s="13" t="n">
        <x:v>11</x:v>
      </x:c>
    </x:row>
    <x:row r="801" ht="34" customHeight="1">
      <x:c r="A801" s="7" t="str">
        <x:v>DP3-B-R3</x:v>
      </x:c>
      <x:c r="B801" s="7" t="str">
        <x:v>U06</x:v>
      </x:c>
      <x:c r="C801" s="14" t="n">
        <x:v>4.664</x:v>
      </x:c>
      <x:c r="D801" s="7" t="str">
        <x:v>long_work:client</x:v>
      </x:c>
      <x:c r="E801" s="14" t="n">
        <x:v>19.8</x:v>
      </x:c>
    </x:row>
    <x:row r="802" ht="34" customHeight="1">
      <x:c r="A802" s="12" t="str">
        <x:v>DP3-B-R3</x:v>
      </x:c>
      <x:c r="B802" s="12" t="str">
        <x:v>U06</x:v>
      </x:c>
      <x:c r="C802" s="13" t="n">
        <x:v>4.664</x:v>
      </x:c>
      <x:c r="D802" s="12" t="str">
        <x:v>valid_audio</x:v>
      </x:c>
      <x:c r="E802" s="13" t="n">
        <x:v>0.144</x:v>
      </x:c>
    </x:row>
    <x:row r="803" ht="34" customHeight="1">
      <x:c r="A803" s="7" t="str">
        <x:v>DP3-B-R3</x:v>
      </x:c>
      <x:c r="B803" s="7" t="str">
        <x:v>U07</x:v>
      </x:c>
      <x:c r="C803" s="14" t="n">
        <x:v>0</x:v>
      </x:c>
      <x:c r="D803" s="7" t="str">
        <x:v>core_ui_mb</x:v>
      </x:c>
      <x:c r="E803" s="14" t="n">
        <x:v>180</x:v>
      </x:c>
    </x:row>
    <x:row r="804" ht="34" customHeight="1">
      <x:c r="A804" s="12" t="str">
        <x:v>DP3-B-R3</x:v>
      </x:c>
      <x:c r="B804" s="12" t="str">
        <x:v>U07</x:v>
      </x:c>
      <x:c r="C804" s="13" t="n">
        <x:v>0</x:v>
      </x:c>
      <x:c r="D804" s="12" t="str">
        <x:v>asr_audio_mb</x:v>
      </x:c>
      <x:c r="E804" s="13" t="n">
        <x:v>220</x:v>
      </x:c>
    </x:row>
    <x:row r="805" ht="34" customHeight="1">
      <x:c r="A805" s="7" t="str">
        <x:v>DP3-B-R3</x:v>
      </x:c>
      <x:c r="B805" s="7" t="str">
        <x:v>U07</x:v>
      </x:c>
      <x:c r="C805" s="14" t="n">
        <x:v>0</x:v>
      </x:c>
      <x:c r="D805" s="7" t="str">
        <x:v>source_ring_mb</x:v>
      </x:c>
      <x:c r="E805" s="14" t="n">
        <x:v>96</x:v>
      </x:c>
    </x:row>
    <x:row r="806" ht="34" customHeight="1">
      <x:c r="A806" s="12" t="str">
        <x:v>DP3-B-R3</x:v>
      </x:c>
      <x:c r="B806" s="12" t="str">
        <x:v>U07</x:v>
      </x:c>
      <x:c r="C806" s="13" t="n">
        <x:v>0</x:v>
      </x:c>
      <x:c r="D806" s="12" t="str">
        <x:v>common_history_mb</x:v>
      </x:c>
      <x:c r="E806" s="13" t="n">
        <x:v>64</x:v>
      </x:c>
    </x:row>
    <x:row r="807" ht="34" customHeight="1">
      <x:c r="A807" s="7" t="str">
        <x:v>DP3-B-R3</x:v>
      </x:c>
      <x:c r="B807" s="7" t="str">
        <x:v>U07</x:v>
      </x:c>
      <x:c r="C807" s="14" t="n">
        <x:v>0</x:v>
      </x:c>
      <x:c r="D807" s="7" t="str">
        <x:v>request</x:v>
      </x:c>
      <x:c r="E807" s="14" t="n">
        <x:v>11</x:v>
      </x:c>
    </x:row>
    <x:row r="808" ht="34" customHeight="1">
      <x:c r="A808" s="12" t="str">
        <x:v>DP3-B-R3</x:v>
      </x:c>
      <x:c r="B808" s="12" t="str">
        <x:v>U07</x:v>
      </x:c>
      <x:c r="C808" s="13" t="n">
        <x:v>0</x:v>
      </x:c>
      <x:c r="D808" s="12" t="str">
        <x:v>bg1:client</x:v>
      </x:c>
      <x:c r="E808" s="13" t="n">
        <x:v>19.8</x:v>
      </x:c>
    </x:row>
    <x:row r="809" ht="34" customHeight="1">
      <x:c r="A809" s="7" t="str">
        <x:v>DP3-B-R3</x:v>
      </x:c>
      <x:c r="B809" s="7" t="str">
        <x:v>U07</x:v>
      </x:c>
      <x:c r="C809" s="14" t="n">
        <x:v>0</x:v>
      </x:c>
      <x:c r="D809" s="7" t="str">
        <x:v>bg2:client</x:v>
      </x:c>
      <x:c r="E809" s="14" t="n">
        <x:v>19.8</x:v>
      </x:c>
    </x:row>
    <x:row r="810" ht="34" customHeight="1">
      <x:c r="A810" s="12" t="str">
        <x:v>DP3-B-R3</x:v>
      </x:c>
      <x:c r="B810" s="12" t="str">
        <x:v>U07</x:v>
      </x:c>
      <x:c r="C810" s="13" t="n">
        <x:v>0</x:v>
      </x:c>
      <x:c r="D810" s="12" t="str">
        <x:v>valid_audio</x:v>
      </x:c>
      <x:c r="E810" s="13" t="n">
        <x:v>0</x:v>
      </x:c>
    </x:row>
    <x:row r="811" ht="34" customHeight="1">
      <x:c r="A811" s="7" t="str">
        <x:v>DP3-B-R3</x:v>
      </x:c>
      <x:c r="B811" s="7" t="str">
        <x:v>U08</x:v>
      </x:c>
      <x:c r="C811" s="14" t="n">
        <x:v>4.664</x:v>
      </x:c>
      <x:c r="D811" s="7" t="str">
        <x:v>core_ui_mb</x:v>
      </x:c>
      <x:c r="E811" s="14" t="n">
        <x:v>180</x:v>
      </x:c>
    </x:row>
    <x:row r="812" ht="34" customHeight="1">
      <x:c r="A812" s="12" t="str">
        <x:v>DP3-B-R3</x:v>
      </x:c>
      <x:c r="B812" s="12" t="str">
        <x:v>U08</x:v>
      </x:c>
      <x:c r="C812" s="13" t="n">
        <x:v>4.664</x:v>
      </x:c>
      <x:c r="D812" s="12" t="str">
        <x:v>asr_audio_mb</x:v>
      </x:c>
      <x:c r="E812" s="13" t="n">
        <x:v>220</x:v>
      </x:c>
    </x:row>
    <x:row r="813" ht="34" customHeight="1">
      <x:c r="A813" s="7" t="str">
        <x:v>DP3-B-R3</x:v>
      </x:c>
      <x:c r="B813" s="7" t="str">
        <x:v>U08</x:v>
      </x:c>
      <x:c r="C813" s="14" t="n">
        <x:v>4.664</x:v>
      </x:c>
      <x:c r="D813" s="7" t="str">
        <x:v>source_ring_mb</x:v>
      </x:c>
      <x:c r="E813" s="14" t="n">
        <x:v>96</x:v>
      </x:c>
    </x:row>
    <x:row r="814" ht="34" customHeight="1">
      <x:c r="A814" s="12" t="str">
        <x:v>DP3-B-R3</x:v>
      </x:c>
      <x:c r="B814" s="12" t="str">
        <x:v>U08</x:v>
      </x:c>
      <x:c r="C814" s="13" t="n">
        <x:v>4.664</x:v>
      </x:c>
      <x:c r="D814" s="12" t="str">
        <x:v>common_history_mb</x:v>
      </x:c>
      <x:c r="E814" s="13" t="n">
        <x:v>64</x:v>
      </x:c>
    </x:row>
    <x:row r="815" ht="34" customHeight="1">
      <x:c r="A815" s="7" t="str">
        <x:v>DP3-B-R3</x:v>
      </x:c>
      <x:c r="B815" s="7" t="str">
        <x:v>U08</x:v>
      </x:c>
      <x:c r="C815" s="14" t="n">
        <x:v>4.664</x:v>
      </x:c>
      <x:c r="D815" s="7" t="str">
        <x:v>request</x:v>
      </x:c>
      <x:c r="E815" s="14" t="n">
        <x:v>11</x:v>
      </x:c>
    </x:row>
    <x:row r="816" ht="34" customHeight="1">
      <x:c r="A816" s="12" t="str">
        <x:v>DP3-B-R3</x:v>
      </x:c>
      <x:c r="B816" s="12" t="str">
        <x:v>U08</x:v>
      </x:c>
      <x:c r="C816" s="13" t="n">
        <x:v>4.664</x:v>
      </x:c>
      <x:c r="D816" s="12" t="str">
        <x:v>long_work:client</x:v>
      </x:c>
      <x:c r="E816" s="13" t="n">
        <x:v>19.8</x:v>
      </x:c>
    </x:row>
    <x:row r="817" ht="34" customHeight="1">
      <x:c r="A817" s="7" t="str">
        <x:v>DP3-B-R3</x:v>
      </x:c>
      <x:c r="B817" s="7" t="str">
        <x:v>U08</x:v>
      </x:c>
      <x:c r="C817" s="14" t="n">
        <x:v>4.664</x:v>
      </x:c>
      <x:c r="D817" s="7" t="str">
        <x:v>valid_audio</x:v>
      </x:c>
      <x:c r="E817" s="14" t="n">
        <x:v>0.144</x:v>
      </x:c>
    </x:row>
    <x:row r="818" ht="34" customHeight="1">
      <x:c r="A818" s="12" t="str">
        <x:v>DP3-B-R3</x:v>
      </x:c>
      <x:c r="B818" s="12" t="str">
        <x:v>U09</x:v>
      </x:c>
      <x:c r="C818" s="13" t="n">
        <x:v>0.46</x:v>
      </x:c>
      <x:c r="D818" s="12" t="str">
        <x:v>core_ui_mb</x:v>
      </x:c>
      <x:c r="E818" s="13" t="n">
        <x:v>180</x:v>
      </x:c>
    </x:row>
    <x:row r="819" ht="34" customHeight="1">
      <x:c r="A819" s="7" t="str">
        <x:v>DP3-B-R3</x:v>
      </x:c>
      <x:c r="B819" s="7" t="str">
        <x:v>U09</x:v>
      </x:c>
      <x:c r="C819" s="14" t="n">
        <x:v>0.46</x:v>
      </x:c>
      <x:c r="D819" s="7" t="str">
        <x:v>asr_audio_mb</x:v>
      </x:c>
      <x:c r="E819" s="14" t="n">
        <x:v>220</x:v>
      </x:c>
    </x:row>
    <x:row r="820" ht="34" customHeight="1">
      <x:c r="A820" s="12" t="str">
        <x:v>DP3-B-R3</x:v>
      </x:c>
      <x:c r="B820" s="12" t="str">
        <x:v>U09</x:v>
      </x:c>
      <x:c r="C820" s="13" t="n">
        <x:v>0.46</x:v>
      </x:c>
      <x:c r="D820" s="12" t="str">
        <x:v>source_ring_mb</x:v>
      </x:c>
      <x:c r="E820" s="13" t="n">
        <x:v>96</x:v>
      </x:c>
    </x:row>
    <x:row r="821" ht="34" customHeight="1">
      <x:c r="A821" s="7" t="str">
        <x:v>DP3-B-R3</x:v>
      </x:c>
      <x:c r="B821" s="7" t="str">
        <x:v>U09</x:v>
      </x:c>
      <x:c r="C821" s="14" t="n">
        <x:v>0.46</x:v>
      </x:c>
      <x:c r="D821" s="7" t="str">
        <x:v>common_history_mb</x:v>
      </x:c>
      <x:c r="E821" s="14" t="n">
        <x:v>64</x:v>
      </x:c>
    </x:row>
    <x:row r="822" ht="34" customHeight="1">
      <x:c r="A822" s="12" t="str">
        <x:v>DP3-B-R3</x:v>
      </x:c>
      <x:c r="B822" s="12" t="str">
        <x:v>U09</x:v>
      </x:c>
      <x:c r="C822" s="13" t="n">
        <x:v>0.46</x:v>
      </x:c>
      <x:c r="D822" s="12" t="str">
        <x:v>request</x:v>
      </x:c>
      <x:c r="E822" s="13" t="n">
        <x:v>11</x:v>
      </x:c>
    </x:row>
    <x:row r="823" ht="34" customHeight="1">
      <x:c r="A823" s="7" t="str">
        <x:v>DP3-B-R3</x:v>
      </x:c>
      <x:c r="B823" s="7" t="str">
        <x:v>U09</x:v>
      </x:c>
      <x:c r="C823" s="14" t="n">
        <x:v>0.46</x:v>
      </x:c>
      <x:c r="D823" s="7" t="str">
        <x:v>meaning:client</x:v>
      </x:c>
      <x:c r="E823" s="14" t="n">
        <x:v>17.4</x:v>
      </x:c>
    </x:row>
    <x:row r="824" ht="34" customHeight="1">
      <x:c r="A824" s="12" t="str">
        <x:v>DP3-B-R3</x:v>
      </x:c>
      <x:c r="B824" s="12" t="str">
        <x:v>U09</x:v>
      </x:c>
      <x:c r="C824" s="13" t="n">
        <x:v>0.46</x:v>
      </x:c>
      <x:c r="D824" s="12" t="str">
        <x:v>valid_audio</x:v>
      </x:c>
      <x:c r="E824" s="13" t="n">
        <x:v>0</x:v>
      </x:c>
    </x:row>
    <x:row r="825" ht="34" customHeight="1">
      <x:c r="A825" s="7" t="str">
        <x:v>DP3-B-R3</x:v>
      </x:c>
      <x:c r="B825" s="7" t="str">
        <x:v>U10</x:v>
      </x:c>
      <x:c r="C825" s="14" t="n">
        <x:v>1.58</x:v>
      </x:c>
      <x:c r="D825" s="7" t="str">
        <x:v>core_ui_mb</x:v>
      </x:c>
      <x:c r="E825" s="14" t="n">
        <x:v>180</x:v>
      </x:c>
    </x:row>
    <x:row r="826" ht="34" customHeight="1">
      <x:c r="A826" s="12" t="str">
        <x:v>DP3-B-R3</x:v>
      </x:c>
      <x:c r="B826" s="12" t="str">
        <x:v>U10</x:v>
      </x:c>
      <x:c r="C826" s="13" t="n">
        <x:v>1.58</x:v>
      </x:c>
      <x:c r="D826" s="12" t="str">
        <x:v>asr_audio_mb</x:v>
      </x:c>
      <x:c r="E826" s="13" t="n">
        <x:v>220</x:v>
      </x:c>
    </x:row>
    <x:row r="827" ht="34" customHeight="1">
      <x:c r="A827" s="7" t="str">
        <x:v>DP3-B-R3</x:v>
      </x:c>
      <x:c r="B827" s="7" t="str">
        <x:v>U10</x:v>
      </x:c>
      <x:c r="C827" s="14" t="n">
        <x:v>1.58</x:v>
      </x:c>
      <x:c r="D827" s="7" t="str">
        <x:v>source_ring_mb</x:v>
      </x:c>
      <x:c r="E827" s="14" t="n">
        <x:v>96</x:v>
      </x:c>
    </x:row>
    <x:row r="828" ht="34" customHeight="1">
      <x:c r="A828" s="12" t="str">
        <x:v>DP3-B-R3</x:v>
      </x:c>
      <x:c r="B828" s="12" t="str">
        <x:v>U10</x:v>
      </x:c>
      <x:c r="C828" s="13" t="n">
        <x:v>1.58</x:v>
      </x:c>
      <x:c r="D828" s="12" t="str">
        <x:v>common_history_mb</x:v>
      </x:c>
      <x:c r="E828" s="13" t="n">
        <x:v>64</x:v>
      </x:c>
    </x:row>
    <x:row r="829" ht="34" customHeight="1">
      <x:c r="A829" s="7" t="str">
        <x:v>DP3-B-R3</x:v>
      </x:c>
      <x:c r="B829" s="7" t="str">
        <x:v>U10</x:v>
      </x:c>
      <x:c r="C829" s="14" t="n">
        <x:v>1.58</x:v>
      </x:c>
      <x:c r="D829" s="7" t="str">
        <x:v>request</x:v>
      </x:c>
      <x:c r="E829" s="14" t="n">
        <x:v>11</x:v>
      </x:c>
    </x:row>
    <x:row r="830" ht="34" customHeight="1">
      <x:c r="A830" s="12" t="str">
        <x:v>DP3-B-R3</x:v>
      </x:c>
      <x:c r="B830" s="12" t="str">
        <x:v>U10</x:v>
      </x:c>
      <x:c r="C830" s="13" t="n">
        <x:v>1.58</x:v>
      </x:c>
      <x:c r="D830" s="12" t="str">
        <x:v>now_ui_load:ui_load_temp</x:v>
      </x:c>
      <x:c r="E830" s="13" t="n">
        <x:v>380</x:v>
      </x:c>
    </x:row>
    <x:row r="831" ht="34" customHeight="1">
      <x:c r="A831" s="7" t="str">
        <x:v>DP3-B-R3</x:v>
      </x:c>
      <x:c r="B831" s="7" t="str">
        <x:v>U10</x:v>
      </x:c>
      <x:c r="C831" s="14" t="n">
        <x:v>1.58</x:v>
      </x:c>
      <x:c r="D831" s="7" t="str">
        <x:v>cloud_image_buffer</x:v>
      </x:c>
      <x:c r="E831" s="14" t="n">
        <x:v>32</x:v>
      </x:c>
    </x:row>
    <x:row r="832" ht="34" customHeight="1">
      <x:c r="A832" s="12" t="str">
        <x:v>DP3-B-R3</x:v>
      </x:c>
      <x:c r="B832" s="12" t="str">
        <x:v>U10</x:v>
      </x:c>
      <x:c r="C832" s="13" t="n">
        <x:v>1.58</x:v>
      </x:c>
      <x:c r="D832" s="12" t="str">
        <x:v>runtime_shared_pages</x:v>
      </x:c>
      <x:c r="E832" s="13" t="n">
        <x:v>60</x:v>
      </x:c>
    </x:row>
    <x:row r="833" ht="34" customHeight="1">
      <x:c r="A833" s="7" t="str">
        <x:v>DP3-B-R3</x:v>
      </x:c>
      <x:c r="B833" s="7" t="str">
        <x:v>U10</x:v>
      </x:c>
      <x:c r="C833" s="14" t="n">
        <x:v>1.58</x:v>
      </x:c>
      <x:c r="D833" s="7" t="str">
        <x:v>vision_ipc</x:v>
      </x:c>
      <x:c r="E833" s="14" t="n">
        <x:v>32</x:v>
      </x:c>
    </x:row>
    <x:row r="834" ht="34" customHeight="1">
      <x:c r="A834" s="12" t="str">
        <x:v>DP3-B-R3</x:v>
      </x:c>
      <x:c r="B834" s="12" t="str">
        <x:v>U10</x:v>
      </x:c>
      <x:c r="C834" s="13" t="n">
        <x:v>1.58</x:v>
      </x:c>
      <x:c r="D834" s="12" t="str">
        <x:v>runtime_private:ui</x:v>
      </x:c>
      <x:c r="E834" s="13" t="n">
        <x:v>280</x:v>
      </x:c>
    </x:row>
    <x:row r="835" ht="34" customHeight="1">
      <x:c r="A835" s="7" t="str">
        <x:v>DP3-B-R3</x:v>
      </x:c>
      <x:c r="B835" s="7" t="str">
        <x:v>U10</x:v>
      </x:c>
      <x:c r="C835" s="14" t="n">
        <x:v>1.58</x:v>
      </x:c>
      <x:c r="D835" s="7" t="str">
        <x:v>weight:now_ui_infer</x:v>
      </x:c>
      <x:c r="E835" s="14" t="n">
        <x:v>420</x:v>
      </x:c>
    </x:row>
    <x:row r="836" ht="34" customHeight="1">
      <x:c r="A836" s="12" t="str">
        <x:v>DP3-B-R3</x:v>
      </x:c>
      <x:c r="B836" s="12" t="str">
        <x:v>U10</x:v>
      </x:c>
      <x:c r="C836" s="13" t="n">
        <x:v>1.58</x:v>
      </x:c>
      <x:c r="D836" s="12" t="str">
        <x:v>valid_audio</x:v>
      </x:c>
      <x:c r="E836" s="13" t="n">
        <x:v>0</x:v>
      </x:c>
    </x:row>
    <x:row r="837" ht="34" customHeight="1">
      <x:c r="A837" s="7" t="str">
        <x:v>DP3-B-R3</x:v>
      </x:c>
      <x:c r="B837" s="7" t="str">
        <x:v>U11</x:v>
      </x:c>
      <x:c r="C837" s="14" t="n">
        <x:v>6.19</x:v>
      </x:c>
      <x:c r="D837" s="7" t="str">
        <x:v>core_ui_mb</x:v>
      </x:c>
      <x:c r="E837" s="14" t="n">
        <x:v>180</x:v>
      </x:c>
    </x:row>
    <x:row r="838" ht="34" customHeight="1">
      <x:c r="A838" s="12" t="str">
        <x:v>DP3-B-R3</x:v>
      </x:c>
      <x:c r="B838" s="12" t="str">
        <x:v>U11</x:v>
      </x:c>
      <x:c r="C838" s="13" t="n">
        <x:v>6.19</x:v>
      </x:c>
      <x:c r="D838" s="12" t="str">
        <x:v>asr_audio_mb</x:v>
      </x:c>
      <x:c r="E838" s="13" t="n">
        <x:v>220</x:v>
      </x:c>
    </x:row>
    <x:row r="839" ht="34" customHeight="1">
      <x:c r="A839" s="7" t="str">
        <x:v>DP3-B-R3</x:v>
      </x:c>
      <x:c r="B839" s="7" t="str">
        <x:v>U11</x:v>
      </x:c>
      <x:c r="C839" s="14" t="n">
        <x:v>6.19</x:v>
      </x:c>
      <x:c r="D839" s="7" t="str">
        <x:v>source_ring_mb</x:v>
      </x:c>
      <x:c r="E839" s="14" t="n">
        <x:v>96</x:v>
      </x:c>
    </x:row>
    <x:row r="840" ht="34" customHeight="1">
      <x:c r="A840" s="12" t="str">
        <x:v>DP3-B-R3</x:v>
      </x:c>
      <x:c r="B840" s="12" t="str">
        <x:v>U11</x:v>
      </x:c>
      <x:c r="C840" s="13" t="n">
        <x:v>6.19</x:v>
      </x:c>
      <x:c r="D840" s="12" t="str">
        <x:v>common_history_mb</x:v>
      </x:c>
      <x:c r="E840" s="13" t="n">
        <x:v>64</x:v>
      </x:c>
    </x:row>
    <x:row r="841" ht="34" customHeight="1">
      <x:c r="A841" s="7" t="str">
        <x:v>DP3-B-R3</x:v>
      </x:c>
      <x:c r="B841" s="7" t="str">
        <x:v>U11</x:v>
      </x:c>
      <x:c r="C841" s="14" t="n">
        <x:v>6.19</x:v>
      </x:c>
      <x:c r="D841" s="7" t="str">
        <x:v>request</x:v>
      </x:c>
      <x:c r="E841" s="14" t="n">
        <x:v>11</x:v>
      </x:c>
    </x:row>
    <x:row r="842" ht="34" customHeight="1">
      <x:c r="A842" s="12" t="str">
        <x:v>DP3-B-R3</x:v>
      </x:c>
      <x:c r="B842" s="12" t="str">
        <x:v>U11</x:v>
      </x:c>
      <x:c r="C842" s="13" t="n">
        <x:v>6.19</x:v>
      </x:c>
      <x:c r="D842" s="12" t="str">
        <x:v>now_sam_infer:sam_workspace</x:v>
      </x:c>
      <x:c r="E842" s="13" t="n">
        <x:v>680</x:v>
      </x:c>
    </x:row>
    <x:row r="843" ht="34" customHeight="1">
      <x:c r="A843" s="7" t="str">
        <x:v>DP3-B-R3</x:v>
      </x:c>
      <x:c r="B843" s="7" t="str">
        <x:v>U11</x:v>
      </x:c>
      <x:c r="C843" s="14" t="n">
        <x:v>6.19</x:v>
      </x:c>
      <x:c r="D843" s="7" t="str">
        <x:v>cloud_image_buffer</x:v>
      </x:c>
      <x:c r="E843" s="14" t="n">
        <x:v>32</x:v>
      </x:c>
    </x:row>
    <x:row r="844" ht="34" customHeight="1">
      <x:c r="A844" s="12" t="str">
        <x:v>DP3-B-R3</x:v>
      </x:c>
      <x:c r="B844" s="12" t="str">
        <x:v>U11</x:v>
      </x:c>
      <x:c r="C844" s="13" t="n">
        <x:v>6.19</x:v>
      </x:c>
      <x:c r="D844" s="12" t="str">
        <x:v>runtime_shared_pages</x:v>
      </x:c>
      <x:c r="E844" s="13" t="n">
        <x:v>60</x:v>
      </x:c>
    </x:row>
    <x:row r="845" ht="34" customHeight="1">
      <x:c r="A845" s="7" t="str">
        <x:v>DP3-B-R3</x:v>
      </x:c>
      <x:c r="B845" s="7" t="str">
        <x:v>U11</x:v>
      </x:c>
      <x:c r="C845" s="14" t="n">
        <x:v>6.19</x:v>
      </x:c>
      <x:c r="D845" s="7" t="str">
        <x:v>vision_ipc</x:v>
      </x:c>
      <x:c r="E845" s="14" t="n">
        <x:v>32</x:v>
      </x:c>
    </x:row>
    <x:row r="846" ht="34" customHeight="1">
      <x:c r="A846" s="12" t="str">
        <x:v>DP3-B-R3</x:v>
      </x:c>
      <x:c r="B846" s="12" t="str">
        <x:v>U11</x:v>
      </x:c>
      <x:c r="C846" s="13" t="n">
        <x:v>6.19</x:v>
      </x:c>
      <x:c r="D846" s="12" t="str">
        <x:v>runtime_private:ui</x:v>
      </x:c>
      <x:c r="E846" s="13" t="n">
        <x:v>280</x:v>
      </x:c>
    </x:row>
    <x:row r="847" ht="34" customHeight="1">
      <x:c r="A847" s="7" t="str">
        <x:v>DP3-B-R3</x:v>
      </x:c>
      <x:c r="B847" s="7" t="str">
        <x:v>U11</x:v>
      </x:c>
      <x:c r="C847" s="14" t="n">
        <x:v>6.19</x:v>
      </x:c>
      <x:c r="D847" s="7" t="str">
        <x:v>weight:now_ui_infer</x:v>
      </x:c>
      <x:c r="E847" s="14" t="n">
        <x:v>420</x:v>
      </x:c>
    </x:row>
    <x:row r="848" ht="34" customHeight="1">
      <x:c r="A848" s="12" t="str">
        <x:v>DP3-B-R3</x:v>
      </x:c>
      <x:c r="B848" s="12" t="str">
        <x:v>U11</x:v>
      </x:c>
      <x:c r="C848" s="13" t="n">
        <x:v>6.19</x:v>
      </x:c>
      <x:c r="D848" s="12" t="str">
        <x:v>runtime_private:sam</x:v>
      </x:c>
      <x:c r="E848" s="13" t="n">
        <x:v>280</x:v>
      </x:c>
    </x:row>
    <x:row r="849" ht="34" customHeight="1">
      <x:c r="A849" s="7" t="str">
        <x:v>DP3-B-R3</x:v>
      </x:c>
      <x:c r="B849" s="7" t="str">
        <x:v>U11</x:v>
      </x:c>
      <x:c r="C849" s="14" t="n">
        <x:v>6.19</x:v>
      </x:c>
      <x:c r="D849" s="7" t="str">
        <x:v>weight:now_sam_infer</x:v>
      </x:c>
      <x:c r="E849" s="14" t="n">
        <x:v>170</x:v>
      </x:c>
    </x:row>
    <x:row r="850" ht="34" customHeight="1">
      <x:c r="A850" s="12" t="str">
        <x:v>DP3-B-R3</x:v>
      </x:c>
      <x:c r="B850" s="12" t="str">
        <x:v>U11</x:v>
      </x:c>
      <x:c r="C850" s="13" t="n">
        <x:v>6.19</x:v>
      </x:c>
      <x:c r="D850" s="12" t="str">
        <x:v>valid_audio</x:v>
      </x:c>
      <x:c r="E850" s="13" t="n">
        <x:v>0</x:v>
      </x:c>
    </x:row>
    <x:row r="851" ht="34" customHeight="1">
      <x:c r="A851" s="7" t="str">
        <x:v>DP3-B-R3</x:v>
      </x:c>
      <x:c r="B851" s="7" t="str">
        <x:v>U12</x:v>
      </x:c>
      <x:c r="C851" s="14" t="n">
        <x:v>-10.8</x:v>
      </x:c>
      <x:c r="D851" s="7" t="str">
        <x:v>core_ui_mb</x:v>
      </x:c>
      <x:c r="E851" s="14" t="n">
        <x:v>180</x:v>
      </x:c>
    </x:row>
    <x:row r="852" ht="34" customHeight="1">
      <x:c r="A852" s="12" t="str">
        <x:v>DP3-B-R3</x:v>
      </x:c>
      <x:c r="B852" s="12" t="str">
        <x:v>U12</x:v>
      </x:c>
      <x:c r="C852" s="13" t="n">
        <x:v>-10.8</x:v>
      </x:c>
      <x:c r="D852" s="12" t="str">
        <x:v>asr_audio_mb</x:v>
      </x:c>
      <x:c r="E852" s="13" t="n">
        <x:v>220</x:v>
      </x:c>
    </x:row>
    <x:row r="853" ht="34" customHeight="1">
      <x:c r="A853" s="7" t="str">
        <x:v>DP3-B-R3</x:v>
      </x:c>
      <x:c r="B853" s="7" t="str">
        <x:v>U12</x:v>
      </x:c>
      <x:c r="C853" s="14" t="n">
        <x:v>-10.8</x:v>
      </x:c>
      <x:c r="D853" s="7" t="str">
        <x:v>source_ring_mb</x:v>
      </x:c>
      <x:c r="E853" s="14" t="n">
        <x:v>96</x:v>
      </x:c>
    </x:row>
    <x:row r="854" ht="34" customHeight="1">
      <x:c r="A854" s="12" t="str">
        <x:v>DP3-B-R3</x:v>
      </x:c>
      <x:c r="B854" s="12" t="str">
        <x:v>U12</x:v>
      </x:c>
      <x:c r="C854" s="13" t="n">
        <x:v>-10.8</x:v>
      </x:c>
      <x:c r="D854" s="12" t="str">
        <x:v>common_history_mb</x:v>
      </x:c>
      <x:c r="E854" s="13" t="n">
        <x:v>64</x:v>
      </x:c>
    </x:row>
    <x:row r="855" ht="34" customHeight="1">
      <x:c r="A855" s="7" t="str">
        <x:v>DP3-B-R3</x:v>
      </x:c>
      <x:c r="B855" s="7" t="str">
        <x:v>U12</x:v>
      </x:c>
      <x:c r="C855" s="14" t="n">
        <x:v>-10.8</x:v>
      </x:c>
      <x:c r="D855" s="7" t="str">
        <x:v>pre_ui_load:ui_load_temp</x:v>
      </x:c>
      <x:c r="E855" s="14" t="n">
        <x:v>380</x:v>
      </x:c>
    </x:row>
    <x:row r="856" ht="34" customHeight="1">
      <x:c r="A856" s="12" t="str">
        <x:v>DP3-B-R3</x:v>
      </x:c>
      <x:c r="B856" s="12" t="str">
        <x:v>U12</x:v>
      </x:c>
      <x:c r="C856" s="13" t="n">
        <x:v>-10.8</x:v>
      </x:c>
      <x:c r="D856" s="12" t="str">
        <x:v>runtime_shared_pages</x:v>
      </x:c>
      <x:c r="E856" s="13" t="n">
        <x:v>60</x:v>
      </x:c>
    </x:row>
    <x:row r="857" ht="34" customHeight="1">
      <x:c r="A857" s="7" t="str">
        <x:v>DP3-B-R3</x:v>
      </x:c>
      <x:c r="B857" s="7" t="str">
        <x:v>U12</x:v>
      </x:c>
      <x:c r="C857" s="14" t="n">
        <x:v>-10.8</x:v>
      </x:c>
      <x:c r="D857" s="7" t="str">
        <x:v>vision_ipc</x:v>
      </x:c>
      <x:c r="E857" s="14" t="n">
        <x:v>32</x:v>
      </x:c>
    </x:row>
    <x:row r="858" ht="34" customHeight="1">
      <x:c r="A858" s="12" t="str">
        <x:v>DP3-B-R3</x:v>
      </x:c>
      <x:c r="B858" s="12" t="str">
        <x:v>U12</x:v>
      </x:c>
      <x:c r="C858" s="13" t="n">
        <x:v>-10.8</x:v>
      </x:c>
      <x:c r="D858" s="12" t="str">
        <x:v>runtime_private:ui</x:v>
      </x:c>
      <x:c r="E858" s="13" t="n">
        <x:v>280</x:v>
      </x:c>
    </x:row>
    <x:row r="859" ht="34" customHeight="1">
      <x:c r="A859" s="7" t="str">
        <x:v>DP3-B-R3</x:v>
      </x:c>
      <x:c r="B859" s="7" t="str">
        <x:v>U12</x:v>
      </x:c>
      <x:c r="C859" s="14" t="n">
        <x:v>-10.8</x:v>
      </x:c>
      <x:c r="D859" s="7" t="str">
        <x:v>weight:pre_ui_infer</x:v>
      </x:c>
      <x:c r="E859" s="14" t="n">
        <x:v>420</x:v>
      </x:c>
    </x:row>
    <x:row r="860" ht="34" customHeight="1">
      <x:c r="A860" s="12" t="str">
        <x:v>DP3-B-R3</x:v>
      </x:c>
      <x:c r="B860" s="12" t="str">
        <x:v>U12</x:v>
      </x:c>
      <x:c r="C860" s="13" t="n">
        <x:v>-10.8</x:v>
      </x:c>
      <x:c r="D860" s="12" t="str">
        <x:v>valid_audio</x:v>
      </x:c>
      <x:c r="E860" s="13" t="n">
        <x:v>0</x:v>
      </x:c>
    </x:row>
    <x:row r="861" ht="34" customHeight="1">
      <x:c r="A861" s="7" t="str">
        <x:v>DP3-B-R3</x:v>
      </x:c>
      <x:c r="B861" s="7" t="str">
        <x:v>U13</x:v>
      </x:c>
      <x:c r="C861" s="14" t="n">
        <x:v>0.14</x:v>
      </x:c>
      <x:c r="D861" s="7" t="str">
        <x:v>core_ui_mb</x:v>
      </x:c>
      <x:c r="E861" s="14" t="n">
        <x:v>180</x:v>
      </x:c>
    </x:row>
    <x:row r="862" ht="34" customHeight="1">
      <x:c r="A862" s="12" t="str">
        <x:v>DP3-B-R3</x:v>
      </x:c>
      <x:c r="B862" s="12" t="str">
        <x:v>U13</x:v>
      </x:c>
      <x:c r="C862" s="13" t="n">
        <x:v>0.14</x:v>
      </x:c>
      <x:c r="D862" s="12" t="str">
        <x:v>asr_audio_mb</x:v>
      </x:c>
      <x:c r="E862" s="13" t="n">
        <x:v>220</x:v>
      </x:c>
    </x:row>
    <x:row r="863" ht="34" customHeight="1">
      <x:c r="A863" s="7" t="str">
        <x:v>DP3-B-R3</x:v>
      </x:c>
      <x:c r="B863" s="7" t="str">
        <x:v>U13</x:v>
      </x:c>
      <x:c r="C863" s="14" t="n">
        <x:v>0.14</x:v>
      </x:c>
      <x:c r="D863" s="7" t="str">
        <x:v>source_ring_mb</x:v>
      </x:c>
      <x:c r="E863" s="14" t="n">
        <x:v>96</x:v>
      </x:c>
    </x:row>
    <x:row r="864" ht="34" customHeight="1">
      <x:c r="A864" s="12" t="str">
        <x:v>DP3-B-R3</x:v>
      </x:c>
      <x:c r="B864" s="12" t="str">
        <x:v>U13</x:v>
      </x:c>
      <x:c r="C864" s="13" t="n">
        <x:v>0.14</x:v>
      </x:c>
      <x:c r="D864" s="12" t="str">
        <x:v>common_history_mb</x:v>
      </x:c>
      <x:c r="E864" s="13" t="n">
        <x:v>64</x:v>
      </x:c>
    </x:row>
    <x:row r="865" ht="34" customHeight="1">
      <x:c r="A865" s="7" t="str">
        <x:v>DP3-B-R3</x:v>
      </x:c>
      <x:c r="B865" s="7" t="str">
        <x:v>U13</x:v>
      </x:c>
      <x:c r="C865" s="14" t="n">
        <x:v>0.14</x:v>
      </x:c>
      <x:c r="D865" s="7" t="str">
        <x:v>request</x:v>
      </x:c>
      <x:c r="E865" s="14" t="n">
        <x:v>11</x:v>
      </x:c>
    </x:row>
    <x:row r="866" ht="34" customHeight="1">
      <x:c r="A866" s="12" t="str">
        <x:v>DP3-B-R3</x:v>
      </x:c>
      <x:c r="B866" s="12" t="str">
        <x:v>U13</x:v>
      </x:c>
      <x:c r="C866" s="13" t="n">
        <x:v>0.14</x:v>
      </x:c>
      <x:c r="D866" s="12" t="str">
        <x:v>meaning:client</x:v>
      </x:c>
      <x:c r="E866" s="13" t="n">
        <x:v>17.4</x:v>
      </x:c>
    </x:row>
    <x:row r="867" ht="34" customHeight="1">
      <x:c r="A867" s="7" t="str">
        <x:v>DP3-B-R3</x:v>
      </x:c>
      <x:c r="B867" s="7" t="str">
        <x:v>U13</x:v>
      </x:c>
      <x:c r="C867" s="14" t="n">
        <x:v>0.14</x:v>
      </x:c>
      <x:c r="D867" s="7" t="str">
        <x:v>valid_audio</x:v>
      </x:c>
      <x:c r="E867" s="14" t="n">
        <x:v>0</x:v>
      </x:c>
    </x:row>
    <x:row r="868" ht="34" customHeight="1">
      <x:c r="A868" s="12" t="str">
        <x:v>DP3-B-R3</x:v>
      </x:c>
      <x:c r="B868" s="12" t="str">
        <x:v>U14</x:v>
      </x:c>
      <x:c r="C868" s="13" t="n">
        <x:v>0.38</x:v>
      </x:c>
      <x:c r="D868" s="12" t="str">
        <x:v>core_ui_mb</x:v>
      </x:c>
      <x:c r="E868" s="13" t="n">
        <x:v>180</x:v>
      </x:c>
    </x:row>
    <x:row r="869" ht="34" customHeight="1">
      <x:c r="A869" s="7" t="str">
        <x:v>DP3-B-R3</x:v>
      </x:c>
      <x:c r="B869" s="7" t="str">
        <x:v>U14</x:v>
      </x:c>
      <x:c r="C869" s="14" t="n">
        <x:v>0.38</x:v>
      </x:c>
      <x:c r="D869" s="7" t="str">
        <x:v>asr_audio_mb</x:v>
      </x:c>
      <x:c r="E869" s="14" t="n">
        <x:v>220</x:v>
      </x:c>
    </x:row>
    <x:row r="870" ht="34" customHeight="1">
      <x:c r="A870" s="12" t="str">
        <x:v>DP3-B-R3</x:v>
      </x:c>
      <x:c r="B870" s="12" t="str">
        <x:v>U14</x:v>
      </x:c>
      <x:c r="C870" s="13" t="n">
        <x:v>0.38</x:v>
      </x:c>
      <x:c r="D870" s="12" t="str">
        <x:v>source_ring_mb</x:v>
      </x:c>
      <x:c r="E870" s="13" t="n">
        <x:v>96</x:v>
      </x:c>
    </x:row>
    <x:row r="871" ht="34" customHeight="1">
      <x:c r="A871" s="7" t="str">
        <x:v>DP3-B-R3</x:v>
      </x:c>
      <x:c r="B871" s="7" t="str">
        <x:v>U14</x:v>
      </x:c>
      <x:c r="C871" s="14" t="n">
        <x:v>0.38</x:v>
      </x:c>
      <x:c r="D871" s="7" t="str">
        <x:v>common_history_mb</x:v>
      </x:c>
      <x:c r="E871" s="14" t="n">
        <x:v>64</x:v>
      </x:c>
    </x:row>
    <x:row r="872" ht="34" customHeight="1">
      <x:c r="A872" s="12" t="str">
        <x:v>DP3-B-R3</x:v>
      </x:c>
      <x:c r="B872" s="12" t="str">
        <x:v>U14</x:v>
      </x:c>
      <x:c r="C872" s="13" t="n">
        <x:v>0.38</x:v>
      </x:c>
      <x:c r="D872" s="12" t="str">
        <x:v>request</x:v>
      </x:c>
      <x:c r="E872" s="13" t="n">
        <x:v>11</x:v>
      </x:c>
    </x:row>
    <x:row r="873" ht="34" customHeight="1">
      <x:c r="A873" s="7" t="str">
        <x:v>DP3-B-R3</x:v>
      </x:c>
      <x:c r="B873" s="7" t="str">
        <x:v>U14</x:v>
      </x:c>
      <x:c r="C873" s="14" t="n">
        <x:v>0.38</x:v>
      </x:c>
      <x:c r="D873" s="7" t="str">
        <x:v>meaning:client</x:v>
      </x:c>
      <x:c r="E873" s="14" t="n">
        <x:v>27</x:v>
      </x:c>
    </x:row>
    <x:row r="874" ht="34" customHeight="1">
      <x:c r="A874" s="12" t="str">
        <x:v>DP3-B-R3</x:v>
      </x:c>
      <x:c r="B874" s="12" t="str">
        <x:v>U14</x:v>
      </x:c>
      <x:c r="C874" s="13" t="n">
        <x:v>0.38</x:v>
      </x:c>
      <x:c r="D874" s="12" t="str">
        <x:v>valid_audio</x:v>
      </x:c>
      <x:c r="E874" s="13" t="n">
        <x:v>0</x:v>
      </x:c>
    </x:row>
    <x:row r="875" ht="34" customHeight="1">
      <x:c r="A875" s="7" t="str">
        <x:v>DP3-B-R3</x:v>
      </x:c>
      <x:c r="B875" s="7" t="str">
        <x:v>U15</x:v>
      </x:c>
      <x:c r="C875" s="14" t="n">
        <x:v>0.14</x:v>
      </x:c>
      <x:c r="D875" s="7" t="str">
        <x:v>core_ui_mb</x:v>
      </x:c>
      <x:c r="E875" s="14" t="n">
        <x:v>180</x:v>
      </x:c>
    </x:row>
    <x:row r="876" ht="34" customHeight="1">
      <x:c r="A876" s="12" t="str">
        <x:v>DP3-B-R3</x:v>
      </x:c>
      <x:c r="B876" s="12" t="str">
        <x:v>U15</x:v>
      </x:c>
      <x:c r="C876" s="13" t="n">
        <x:v>0.14</x:v>
      </x:c>
      <x:c r="D876" s="12" t="str">
        <x:v>asr_audio_mb</x:v>
      </x:c>
      <x:c r="E876" s="13" t="n">
        <x:v>220</x:v>
      </x:c>
    </x:row>
    <x:row r="877" ht="34" customHeight="1">
      <x:c r="A877" s="7" t="str">
        <x:v>DP3-B-R3</x:v>
      </x:c>
      <x:c r="B877" s="7" t="str">
        <x:v>U15</x:v>
      </x:c>
      <x:c r="C877" s="14" t="n">
        <x:v>0.14</x:v>
      </x:c>
      <x:c r="D877" s="7" t="str">
        <x:v>source_ring_mb</x:v>
      </x:c>
      <x:c r="E877" s="14" t="n">
        <x:v>96</x:v>
      </x:c>
    </x:row>
    <x:row r="878" ht="34" customHeight="1">
      <x:c r="A878" s="12" t="str">
        <x:v>DP3-B-R3</x:v>
      </x:c>
      <x:c r="B878" s="12" t="str">
        <x:v>U15</x:v>
      </x:c>
      <x:c r="C878" s="13" t="n">
        <x:v>0.14</x:v>
      </x:c>
      <x:c r="D878" s="12" t="str">
        <x:v>common_history_mb</x:v>
      </x:c>
      <x:c r="E878" s="13" t="n">
        <x:v>64</x:v>
      </x:c>
    </x:row>
    <x:row r="879" ht="34" customHeight="1">
      <x:c r="A879" s="7" t="str">
        <x:v>DP3-B-R3</x:v>
      </x:c>
      <x:c r="B879" s="7" t="str">
        <x:v>U15</x:v>
      </x:c>
      <x:c r="C879" s="14" t="n">
        <x:v>0.14</x:v>
      </x:c>
      <x:c r="D879" s="7" t="str">
        <x:v>request</x:v>
      </x:c>
      <x:c r="E879" s="14" t="n">
        <x:v>11</x:v>
      </x:c>
    </x:row>
    <x:row r="880" ht="34" customHeight="1">
      <x:c r="A880" s="12" t="str">
        <x:v>DP3-B-R3</x:v>
      </x:c>
      <x:c r="B880" s="12" t="str">
        <x:v>U15</x:v>
      </x:c>
      <x:c r="C880" s="13" t="n">
        <x:v>0.14</x:v>
      </x:c>
      <x:c r="D880" s="12" t="str">
        <x:v>meaning:client</x:v>
      </x:c>
      <x:c r="E880" s="13" t="n">
        <x:v>17.4</x:v>
      </x:c>
    </x:row>
    <x:row r="881" ht="34" customHeight="1">
      <x:c r="A881" s="7" t="str">
        <x:v>DP3-B-R3</x:v>
      </x:c>
      <x:c r="B881" s="7" t="str">
        <x:v>U15</x:v>
      </x:c>
      <x:c r="C881" s="14" t="n">
        <x:v>0.14</x:v>
      </x:c>
      <x:c r="D881" s="7" t="str">
        <x:v>valid_audio</x:v>
      </x:c>
      <x:c r="E881" s="14" t="n">
        <x:v>0</x:v>
      </x:c>
    </x:row>
    <x:row r="882" ht="34" customHeight="1">
      <x:c r="A882" s="12" t="str">
        <x:v>DP3-B-R3</x:v>
      </x:c>
      <x:c r="B882" s="12" t="str">
        <x:v>U16</x:v>
      </x:c>
      <x:c r="C882" s="13" t="n">
        <x:v>0.38</x:v>
      </x:c>
      <x:c r="D882" s="12" t="str">
        <x:v>core_ui_mb</x:v>
      </x:c>
      <x:c r="E882" s="13" t="n">
        <x:v>180</x:v>
      </x:c>
    </x:row>
    <x:row r="883" ht="34" customHeight="1">
      <x:c r="A883" s="7" t="str">
        <x:v>DP3-B-R3</x:v>
      </x:c>
      <x:c r="B883" s="7" t="str">
        <x:v>U16</x:v>
      </x:c>
      <x:c r="C883" s="14" t="n">
        <x:v>0.38</x:v>
      </x:c>
      <x:c r="D883" s="7" t="str">
        <x:v>asr_audio_mb</x:v>
      </x:c>
      <x:c r="E883" s="14" t="n">
        <x:v>220</x:v>
      </x:c>
    </x:row>
    <x:row r="884" ht="34" customHeight="1">
      <x:c r="A884" s="12" t="str">
        <x:v>DP3-B-R3</x:v>
      </x:c>
      <x:c r="B884" s="12" t="str">
        <x:v>U16</x:v>
      </x:c>
      <x:c r="C884" s="13" t="n">
        <x:v>0.38</x:v>
      </x:c>
      <x:c r="D884" s="12" t="str">
        <x:v>source_ring_mb</x:v>
      </x:c>
      <x:c r="E884" s="13" t="n">
        <x:v>96</x:v>
      </x:c>
    </x:row>
    <x:row r="885" ht="34" customHeight="1">
      <x:c r="A885" s="7" t="str">
        <x:v>DP3-B-R3</x:v>
      </x:c>
      <x:c r="B885" s="7" t="str">
        <x:v>U16</x:v>
      </x:c>
      <x:c r="C885" s="14" t="n">
        <x:v>0.38</x:v>
      </x:c>
      <x:c r="D885" s="7" t="str">
        <x:v>common_history_mb</x:v>
      </x:c>
      <x:c r="E885" s="14" t="n">
        <x:v>64</x:v>
      </x:c>
    </x:row>
    <x:row r="886" ht="34" customHeight="1">
      <x:c r="A886" s="12" t="str">
        <x:v>DP3-B-R3</x:v>
      </x:c>
      <x:c r="B886" s="12" t="str">
        <x:v>U16</x:v>
      </x:c>
      <x:c r="C886" s="13" t="n">
        <x:v>0.38</x:v>
      </x:c>
      <x:c r="D886" s="12" t="str">
        <x:v>request</x:v>
      </x:c>
      <x:c r="E886" s="13" t="n">
        <x:v>11</x:v>
      </x:c>
    </x:row>
    <x:row r="887" ht="34" customHeight="1">
      <x:c r="A887" s="7" t="str">
        <x:v>DP3-B-R3</x:v>
      </x:c>
      <x:c r="B887" s="7" t="str">
        <x:v>U16</x:v>
      </x:c>
      <x:c r="C887" s="14" t="n">
        <x:v>0.38</x:v>
      </x:c>
      <x:c r="D887" s="7" t="str">
        <x:v>meaning:client</x:v>
      </x:c>
      <x:c r="E887" s="14" t="n">
        <x:v>27</x:v>
      </x:c>
    </x:row>
    <x:row r="888" ht="34" customHeight="1">
      <x:c r="A888" s="12" t="str">
        <x:v>DP3-B-R3</x:v>
      </x:c>
      <x:c r="B888" s="12" t="str">
        <x:v>U16</x:v>
      </x:c>
      <x:c r="C888" s="13" t="n">
        <x:v>0.38</x:v>
      </x:c>
      <x:c r="D888" s="12" t="str">
        <x:v>valid_audio</x:v>
      </x:c>
      <x:c r="E888" s="13" t="n">
        <x:v>0</x:v>
      </x:c>
    </x:row>
    <x:row r="889" ht="34" customHeight="1">
      <x:c r="A889" s="7" t="str">
        <x:v>DP3-B-R3</x:v>
      </x:c>
      <x:c r="B889" s="7" t="str">
        <x:v>U17</x:v>
      </x:c>
      <x:c r="C889" s="14" t="n">
        <x:v>0.3906666666666667</x:v>
      </x:c>
      <x:c r="D889" s="7" t="str">
        <x:v>core_ui_mb</x:v>
      </x:c>
      <x:c r="E889" s="14" t="n">
        <x:v>180</x:v>
      </x:c>
    </x:row>
    <x:row r="890" ht="34" customHeight="1">
      <x:c r="A890" s="12" t="str">
        <x:v>DP3-B-R3</x:v>
      </x:c>
      <x:c r="B890" s="12" t="str">
        <x:v>U17</x:v>
      </x:c>
      <x:c r="C890" s="13" t="n">
        <x:v>0.3906666666666667</x:v>
      </x:c>
      <x:c r="D890" s="12" t="str">
        <x:v>asr_audio_mb</x:v>
      </x:c>
      <x:c r="E890" s="13" t="n">
        <x:v>220</x:v>
      </x:c>
    </x:row>
    <x:row r="891" ht="34" customHeight="1">
      <x:c r="A891" s="7" t="str">
        <x:v>DP3-B-R3</x:v>
      </x:c>
      <x:c r="B891" s="7" t="str">
        <x:v>U17</x:v>
      </x:c>
      <x:c r="C891" s="14" t="n">
        <x:v>0.3906666666666667</x:v>
      </x:c>
      <x:c r="D891" s="7" t="str">
        <x:v>source_ring_mb</x:v>
      </x:c>
      <x:c r="E891" s="14" t="n">
        <x:v>96</x:v>
      </x:c>
    </x:row>
    <x:row r="892" ht="34" customHeight="1">
      <x:c r="A892" s="12" t="str">
        <x:v>DP3-B-R3</x:v>
      </x:c>
      <x:c r="B892" s="12" t="str">
        <x:v>U17</x:v>
      </x:c>
      <x:c r="C892" s="13" t="n">
        <x:v>0.3906666666666667</x:v>
      </x:c>
      <x:c r="D892" s="12" t="str">
        <x:v>common_history_mb</x:v>
      </x:c>
      <x:c r="E892" s="13" t="n">
        <x:v>64</x:v>
      </x:c>
    </x:row>
    <x:row r="893" ht="34" customHeight="1">
      <x:c r="A893" s="7" t="str">
        <x:v>DP3-B-R3</x:v>
      </x:c>
      <x:c r="B893" s="7" t="str">
        <x:v>U17</x:v>
      </x:c>
      <x:c r="C893" s="14" t="n">
        <x:v>0.3906666666666667</x:v>
      </x:c>
      <x:c r="D893" s="7" t="str">
        <x:v>request</x:v>
      </x:c>
      <x:c r="E893" s="14" t="n">
        <x:v>11</x:v>
      </x:c>
    </x:row>
    <x:row r="894" ht="34" customHeight="1">
      <x:c r="A894" s="12" t="str">
        <x:v>DP3-B-R3</x:v>
      </x:c>
      <x:c r="B894" s="12" t="str">
        <x:v>U17</x:v>
      </x:c>
      <x:c r="C894" s="13" t="n">
        <x:v>0.3906666666666667</x:v>
      </x:c>
      <x:c r="D894" s="12" t="str">
        <x:v>meaning:client</x:v>
      </x:c>
      <x:c r="E894" s="13" t="n">
        <x:v>17.4</x:v>
      </x:c>
    </x:row>
    <x:row r="895" ht="34" customHeight="1">
      <x:c r="A895" s="7" t="str">
        <x:v>DP3-B-R3</x:v>
      </x:c>
      <x:c r="B895" s="7" t="str">
        <x:v>U17</x:v>
      </x:c>
      <x:c r="C895" s="14" t="n">
        <x:v>0.3906666666666667</x:v>
      </x:c>
      <x:c r="D895" s="7" t="str">
        <x:v>valid_audio</x:v>
      </x:c>
      <x:c r="E895" s="14" t="n">
        <x:v>0.384</x:v>
      </x:c>
    </x:row>
    <x:row r="896" ht="34" customHeight="1">
      <x:c r="A896" s="12" t="str">
        <x:v>DP3-B-R3</x:v>
      </x:c>
      <x:c r="B896" s="12" t="str">
        <x:v>U18</x:v>
      </x:c>
      <x:c r="C896" s="13" t="n">
        <x:v>0.8933333333333335</x:v>
      </x:c>
      <x:c r="D896" s="12" t="str">
        <x:v>core_ui_mb</x:v>
      </x:c>
      <x:c r="E896" s="13" t="n">
        <x:v>180</x:v>
      </x:c>
    </x:row>
    <x:row r="897" ht="34" customHeight="1">
      <x:c r="A897" s="7" t="str">
        <x:v>DP3-B-R3</x:v>
      </x:c>
      <x:c r="B897" s="7" t="str">
        <x:v>U18</x:v>
      </x:c>
      <x:c r="C897" s="14" t="n">
        <x:v>0.8933333333333335</x:v>
      </x:c>
      <x:c r="D897" s="7" t="str">
        <x:v>asr_audio_mb</x:v>
      </x:c>
      <x:c r="E897" s="14" t="n">
        <x:v>220</x:v>
      </x:c>
    </x:row>
    <x:row r="898" ht="34" customHeight="1">
      <x:c r="A898" s="12" t="str">
        <x:v>DP3-B-R3</x:v>
      </x:c>
      <x:c r="B898" s="12" t="str">
        <x:v>U18</x:v>
      </x:c>
      <x:c r="C898" s="13" t="n">
        <x:v>0.8933333333333335</x:v>
      </x:c>
      <x:c r="D898" s="12" t="str">
        <x:v>source_ring_mb</x:v>
      </x:c>
      <x:c r="E898" s="13" t="n">
        <x:v>96</x:v>
      </x:c>
    </x:row>
    <x:row r="899" ht="34" customHeight="1">
      <x:c r="A899" s="7" t="str">
        <x:v>DP3-B-R3</x:v>
      </x:c>
      <x:c r="B899" s="7" t="str">
        <x:v>U18</x:v>
      </x:c>
      <x:c r="C899" s="14" t="n">
        <x:v>0.8933333333333335</x:v>
      </x:c>
      <x:c r="D899" s="7" t="str">
        <x:v>common_history_mb</x:v>
      </x:c>
      <x:c r="E899" s="14" t="n">
        <x:v>64</x:v>
      </x:c>
    </x:row>
    <x:row r="900" ht="34" customHeight="1">
      <x:c r="A900" s="12" t="str">
        <x:v>DP3-B-R3</x:v>
      </x:c>
      <x:c r="B900" s="12" t="str">
        <x:v>U18</x:v>
      </x:c>
      <x:c r="C900" s="13" t="n">
        <x:v>0.8933333333333335</x:v>
      </x:c>
      <x:c r="D900" s="12" t="str">
        <x:v>request</x:v>
      </x:c>
      <x:c r="E900" s="13" t="n">
        <x:v>11</x:v>
      </x:c>
    </x:row>
    <x:row r="901" ht="34" customHeight="1">
      <x:c r="A901" s="7" t="str">
        <x:v>DP3-B-R3</x:v>
      </x:c>
      <x:c r="B901" s="7" t="str">
        <x:v>U18</x:v>
      </x:c>
      <x:c r="C901" s="14" t="n">
        <x:v>0.8933333333333335</x:v>
      </x:c>
      <x:c r="D901" s="7" t="str">
        <x:v>meaning:client</x:v>
      </x:c>
      <x:c r="E901" s="14" t="n">
        <x:v>17.4</x:v>
      </x:c>
    </x:row>
    <x:row r="902" ht="34" customHeight="1">
      <x:c r="A902" s="12" t="str">
        <x:v>DP3-B-R3</x:v>
      </x:c>
      <x:c r="B902" s="12" t="str">
        <x:v>U18</x:v>
      </x:c>
      <x:c r="C902" s="13" t="n">
        <x:v>0.8933333333333335</x:v>
      </x:c>
      <x:c r="D902" s="12" t="str">
        <x:v>valid_audio</x:v>
      </x:c>
      <x:c r="E902" s="13" t="n">
        <x:v>0.864</x:v>
      </x:c>
    </x:row>
    <x:row r="903" ht="34" customHeight="1">
      <x:c r="A903" s="7" t="str">
        <x:v>DP3-B-R3</x:v>
      </x:c>
      <x:c r="B903" s="7" t="str">
        <x:v>U19</x:v>
      </x:c>
      <x:c r="C903" s="14" t="n">
        <x:v>1.47999999</x:v>
      </x:c>
      <x:c r="D903" s="7" t="str">
        <x:v>core_ui_mb</x:v>
      </x:c>
      <x:c r="E903" s="14" t="n">
        <x:v>180</x:v>
      </x:c>
    </x:row>
    <x:row r="904" ht="34" customHeight="1">
      <x:c r="A904" s="12" t="str">
        <x:v>DP3-B-R3</x:v>
      </x:c>
      <x:c r="B904" s="12" t="str">
        <x:v>U19</x:v>
      </x:c>
      <x:c r="C904" s="13" t="n">
        <x:v>1.47999999</x:v>
      </x:c>
      <x:c r="D904" s="12" t="str">
        <x:v>asr_audio_mb</x:v>
      </x:c>
      <x:c r="E904" s="13" t="n">
        <x:v>220</x:v>
      </x:c>
    </x:row>
    <x:row r="905" ht="34" customHeight="1">
      <x:c r="A905" s="7" t="str">
        <x:v>DP3-B-R3</x:v>
      </x:c>
      <x:c r="B905" s="7" t="str">
        <x:v>U19</x:v>
      </x:c>
      <x:c r="C905" s="14" t="n">
        <x:v>1.47999999</x:v>
      </x:c>
      <x:c r="D905" s="7" t="str">
        <x:v>source_ring_mb</x:v>
      </x:c>
      <x:c r="E905" s="14" t="n">
        <x:v>96</x:v>
      </x:c>
    </x:row>
    <x:row r="906" ht="34" customHeight="1">
      <x:c r="A906" s="12" t="str">
        <x:v>DP3-B-R3</x:v>
      </x:c>
      <x:c r="B906" s="12" t="str">
        <x:v>U19</x:v>
      </x:c>
      <x:c r="C906" s="13" t="n">
        <x:v>1.47999999</x:v>
      </x:c>
      <x:c r="D906" s="12" t="str">
        <x:v>common_history_mb</x:v>
      </x:c>
      <x:c r="E906" s="13" t="n">
        <x:v>64</x:v>
      </x:c>
    </x:row>
    <x:row r="907" ht="34" customHeight="1">
      <x:c r="A907" s="7" t="str">
        <x:v>DP3-B-R3</x:v>
      </x:c>
      <x:c r="B907" s="7" t="str">
        <x:v>U19</x:v>
      </x:c>
      <x:c r="C907" s="14" t="n">
        <x:v>1.47999999</x:v>
      </x:c>
      <x:c r="D907" s="7" t="str">
        <x:v>request</x:v>
      </x:c>
      <x:c r="E907" s="14" t="n">
        <x:v>11</x:v>
      </x:c>
    </x:row>
    <x:row r="908" ht="34" customHeight="1">
      <x:c r="A908" s="12" t="str">
        <x:v>DP3-B-R3</x:v>
      </x:c>
      <x:c r="B908" s="12" t="str">
        <x:v>U19</x:v>
      </x:c>
      <x:c r="C908" s="13" t="n">
        <x:v>1.47999999</x:v>
      </x:c>
      <x:c r="D908" s="12" t="str">
        <x:v>meaning:client</x:v>
      </x:c>
      <x:c r="E908" s="13" t="n">
        <x:v>17.4</x:v>
      </x:c>
    </x:row>
    <x:row r="909" ht="34" customHeight="1">
      <x:c r="A909" s="7" t="str">
        <x:v>DP3-B-R3</x:v>
      </x:c>
      <x:c r="B909" s="7" t="str">
        <x:v>U19</x:v>
      </x:c>
      <x:c r="C909" s="14" t="n">
        <x:v>1.47999999</x:v>
      </x:c>
      <x:c r="D909" s="7" t="str">
        <x:v>valid_audio</x:v>
      </x:c>
      <x:c r="E909" s="14" t="n">
        <x:v>0.87398399808</x:v>
      </x:c>
    </x:row>
    <x:row r="910" ht="34" customHeight="1">
      <x:c r="A910" s="12" t="str">
        <x:v>DP3-B-R3</x:v>
      </x:c>
      <x:c r="B910" s="12" t="str">
        <x:v>U20</x:v>
      </x:c>
      <x:c r="C910" s="13" t="n">
        <x:v>0.38</x:v>
      </x:c>
      <x:c r="D910" s="12" t="str">
        <x:v>core_ui_mb</x:v>
      </x:c>
      <x:c r="E910" s="13" t="n">
        <x:v>180</x:v>
      </x:c>
    </x:row>
    <x:row r="911" ht="34" customHeight="1">
      <x:c r="A911" s="7" t="str">
        <x:v>DP3-B-R3</x:v>
      </x:c>
      <x:c r="B911" s="7" t="str">
        <x:v>U20</x:v>
      </x:c>
      <x:c r="C911" s="14" t="n">
        <x:v>0.38</x:v>
      </x:c>
      <x:c r="D911" s="7" t="str">
        <x:v>asr_audio_mb</x:v>
      </x:c>
      <x:c r="E911" s="14" t="n">
        <x:v>220</x:v>
      </x:c>
    </x:row>
    <x:row r="912" ht="34" customHeight="1">
      <x:c r="A912" s="12" t="str">
        <x:v>DP3-B-R3</x:v>
      </x:c>
      <x:c r="B912" s="12" t="str">
        <x:v>U20</x:v>
      </x:c>
      <x:c r="C912" s="13" t="n">
        <x:v>0.38</x:v>
      </x:c>
      <x:c r="D912" s="12" t="str">
        <x:v>source_ring_mb</x:v>
      </x:c>
      <x:c r="E912" s="13" t="n">
        <x:v>96</x:v>
      </x:c>
    </x:row>
    <x:row r="913" ht="34" customHeight="1">
      <x:c r="A913" s="7" t="str">
        <x:v>DP3-B-R3</x:v>
      </x:c>
      <x:c r="B913" s="7" t="str">
        <x:v>U20</x:v>
      </x:c>
      <x:c r="C913" s="14" t="n">
        <x:v>0.38</x:v>
      </x:c>
      <x:c r="D913" s="7" t="str">
        <x:v>common_history_mb</x:v>
      </x:c>
      <x:c r="E913" s="14" t="n">
        <x:v>64</x:v>
      </x:c>
    </x:row>
    <x:row r="914" ht="34" customHeight="1">
      <x:c r="A914" s="12" t="str">
        <x:v>DP3-B-R3</x:v>
      </x:c>
      <x:c r="B914" s="12" t="str">
        <x:v>U20</x:v>
      </x:c>
      <x:c r="C914" s="13" t="n">
        <x:v>0.38</x:v>
      </x:c>
      <x:c r="D914" s="12" t="str">
        <x:v>request</x:v>
      </x:c>
      <x:c r="E914" s="13" t="n">
        <x:v>11</x:v>
      </x:c>
    </x:row>
    <x:row r="915" ht="34" customHeight="1">
      <x:c r="A915" s="7" t="str">
        <x:v>DP3-B-R3</x:v>
      </x:c>
      <x:c r="B915" s="7" t="str">
        <x:v>U20</x:v>
      </x:c>
      <x:c r="C915" s="14" t="n">
        <x:v>0.38</x:v>
      </x:c>
      <x:c r="D915" s="7" t="str">
        <x:v>meaning:client</x:v>
      </x:c>
      <x:c r="E915" s="14" t="n">
        <x:v>17.4</x:v>
      </x:c>
    </x:row>
    <x:row r="916" ht="34" customHeight="1">
      <x:c r="A916" s="12" t="str">
        <x:v>DP3-B-R3</x:v>
      </x:c>
      <x:c r="B916" s="12" t="str">
        <x:v>U20</x:v>
      </x:c>
      <x:c r="C916" s="13" t="n">
        <x:v>0.38</x:v>
      </x:c>
      <x:c r="D916" s="12" t="str">
        <x:v>valid_audio</x:v>
      </x:c>
      <x:c r="E916" s="13" t="n">
        <x:v>0.5760000000000001</x:v>
      </x:c>
    </x:row>
    <x:row r="917" ht="34" customHeight="1">
      <x:c r="A917" s="7" t="str">
        <x:v>DP3-B-R3</x:v>
      </x:c>
      <x:c r="B917" s="7" t="str">
        <x:v>U21</x:v>
      </x:c>
      <x:c r="C917" s="14" t="n">
        <x:v>1.58</x:v>
      </x:c>
      <x:c r="D917" s="7" t="str">
        <x:v>core_ui_mb</x:v>
      </x:c>
      <x:c r="E917" s="14" t="n">
        <x:v>180</x:v>
      </x:c>
    </x:row>
    <x:row r="918" ht="34" customHeight="1">
      <x:c r="A918" s="12" t="str">
        <x:v>DP3-B-R3</x:v>
      </x:c>
      <x:c r="B918" s="12" t="str">
        <x:v>U21</x:v>
      </x:c>
      <x:c r="C918" s="13" t="n">
        <x:v>1.58</x:v>
      </x:c>
      <x:c r="D918" s="12" t="str">
        <x:v>asr_audio_mb</x:v>
      </x:c>
      <x:c r="E918" s="13" t="n">
        <x:v>220</x:v>
      </x:c>
    </x:row>
    <x:row r="919" ht="34" customHeight="1">
      <x:c r="A919" s="7" t="str">
        <x:v>DP3-B-R3</x:v>
      </x:c>
      <x:c r="B919" s="7" t="str">
        <x:v>U21</x:v>
      </x:c>
      <x:c r="C919" s="14" t="n">
        <x:v>1.58</x:v>
      </x:c>
      <x:c r="D919" s="7" t="str">
        <x:v>source_ring_mb</x:v>
      </x:c>
      <x:c r="E919" s="14" t="n">
        <x:v>96</x:v>
      </x:c>
    </x:row>
    <x:row r="920" ht="34" customHeight="1">
      <x:c r="A920" s="12" t="str">
        <x:v>DP3-B-R3</x:v>
      </x:c>
      <x:c r="B920" s="12" t="str">
        <x:v>U21</x:v>
      </x:c>
      <x:c r="C920" s="13" t="n">
        <x:v>1.58</x:v>
      </x:c>
      <x:c r="D920" s="12" t="str">
        <x:v>common_history_mb</x:v>
      </x:c>
      <x:c r="E920" s="13" t="n">
        <x:v>64</x:v>
      </x:c>
    </x:row>
    <x:row r="921" ht="34" customHeight="1">
      <x:c r="A921" s="7" t="str">
        <x:v>DP3-B-R3</x:v>
      </x:c>
      <x:c r="B921" s="7" t="str">
        <x:v>U21</x:v>
      </x:c>
      <x:c r="C921" s="14" t="n">
        <x:v>1.58</x:v>
      </x:c>
      <x:c r="D921" s="7" t="str">
        <x:v>request</x:v>
      </x:c>
      <x:c r="E921" s="14" t="n">
        <x:v>11</x:v>
      </x:c>
    </x:row>
    <x:row r="922" ht="34" customHeight="1">
      <x:c r="A922" s="12" t="str">
        <x:v>DP3-B-R3</x:v>
      </x:c>
      <x:c r="B922" s="12" t="str">
        <x:v>U21</x:v>
      </x:c>
      <x:c r="C922" s="13" t="n">
        <x:v>1.58</x:v>
      </x:c>
      <x:c r="D922" s="12" t="str">
        <x:v>bg1:client</x:v>
      </x:c>
      <x:c r="E922" s="13" t="n">
        <x:v>19.8</x:v>
      </x:c>
    </x:row>
    <x:row r="923" ht="34" customHeight="1">
      <x:c r="A923" s="7" t="str">
        <x:v>DP3-B-R3</x:v>
      </x:c>
      <x:c r="B923" s="7" t="str">
        <x:v>U21</x:v>
      </x:c>
      <x:c r="C923" s="14" t="n">
        <x:v>1.58</x:v>
      </x:c>
      <x:c r="D923" s="7" t="str">
        <x:v>now_ui_load:ui_load_temp</x:v>
      </x:c>
      <x:c r="E923" s="14" t="n">
        <x:v>380</x:v>
      </x:c>
    </x:row>
    <x:row r="924" ht="34" customHeight="1">
      <x:c r="A924" s="12" t="str">
        <x:v>DP3-B-R3</x:v>
      </x:c>
      <x:c r="B924" s="12" t="str">
        <x:v>U21</x:v>
      </x:c>
      <x:c r="C924" s="13" t="n">
        <x:v>1.58</x:v>
      </x:c>
      <x:c r="D924" s="12" t="str">
        <x:v>cloud_image_buffer</x:v>
      </x:c>
      <x:c r="E924" s="13" t="n">
        <x:v>32</x:v>
      </x:c>
    </x:row>
    <x:row r="925" ht="34" customHeight="1">
      <x:c r="A925" s="7" t="str">
        <x:v>DP3-B-R3</x:v>
      </x:c>
      <x:c r="B925" s="7" t="str">
        <x:v>U21</x:v>
      </x:c>
      <x:c r="C925" s="14" t="n">
        <x:v>1.58</x:v>
      </x:c>
      <x:c r="D925" s="7" t="str">
        <x:v>runtime_shared_pages</x:v>
      </x:c>
      <x:c r="E925" s="14" t="n">
        <x:v>60</x:v>
      </x:c>
    </x:row>
    <x:row r="926" ht="34" customHeight="1">
      <x:c r="A926" s="12" t="str">
        <x:v>DP3-B-R3</x:v>
      </x:c>
      <x:c r="B926" s="12" t="str">
        <x:v>U21</x:v>
      </x:c>
      <x:c r="C926" s="13" t="n">
        <x:v>1.58</x:v>
      </x:c>
      <x:c r="D926" s="12" t="str">
        <x:v>vision_ipc</x:v>
      </x:c>
      <x:c r="E926" s="13" t="n">
        <x:v>32</x:v>
      </x:c>
    </x:row>
    <x:row r="927" ht="34" customHeight="1">
      <x:c r="A927" s="7" t="str">
        <x:v>DP3-B-R3</x:v>
      </x:c>
      <x:c r="B927" s="7" t="str">
        <x:v>U21</x:v>
      </x:c>
      <x:c r="C927" s="14" t="n">
        <x:v>1.58</x:v>
      </x:c>
      <x:c r="D927" s="7" t="str">
        <x:v>runtime_private:ui</x:v>
      </x:c>
      <x:c r="E927" s="14" t="n">
        <x:v>280</x:v>
      </x:c>
    </x:row>
    <x:row r="928" ht="34" customHeight="1">
      <x:c r="A928" s="12" t="str">
        <x:v>DP3-B-R3</x:v>
      </x:c>
      <x:c r="B928" s="12" t="str">
        <x:v>U21</x:v>
      </x:c>
      <x:c r="C928" s="13" t="n">
        <x:v>1.58</x:v>
      </x:c>
      <x:c r="D928" s="12" t="str">
        <x:v>weight:now_ui_infer</x:v>
      </x:c>
      <x:c r="E928" s="13" t="n">
        <x:v>420</x:v>
      </x:c>
    </x:row>
    <x:row r="929" ht="34" customHeight="1">
      <x:c r="A929" s="7" t="str">
        <x:v>DP3-B-R3</x:v>
      </x:c>
      <x:c r="B929" s="7" t="str">
        <x:v>U21</x:v>
      </x:c>
      <x:c r="C929" s="14" t="n">
        <x:v>1.58</x:v>
      </x:c>
      <x:c r="D929" s="7" t="str">
        <x:v>valid_audio</x:v>
      </x:c>
      <x:c r="E929" s="14" t="n">
        <x:v>0</x:v>
      </x:c>
    </x:row>
    <x:row r="930" ht="34" customHeight="1">
      <x:c r="A930" s="12" t="str">
        <x:v>DP3-B-R3</x:v>
      </x:c>
      <x:c r="B930" s="12" t="str">
        <x:v>U22</x:v>
      </x:c>
      <x:c r="C930" s="13" t="n">
        <x:v>-10.8</x:v>
      </x:c>
      <x:c r="D930" s="12" t="str">
        <x:v>core_ui_mb</x:v>
      </x:c>
      <x:c r="E930" s="13" t="n">
        <x:v>180</x:v>
      </x:c>
    </x:row>
    <x:row r="931" ht="34" customHeight="1">
      <x:c r="A931" s="7" t="str">
        <x:v>DP3-B-R3</x:v>
      </x:c>
      <x:c r="B931" s="7" t="str">
        <x:v>U22</x:v>
      </x:c>
      <x:c r="C931" s="14" t="n">
        <x:v>-10.8</x:v>
      </x:c>
      <x:c r="D931" s="7" t="str">
        <x:v>asr_audio_mb</x:v>
      </x:c>
      <x:c r="E931" s="14" t="n">
        <x:v>220</x:v>
      </x:c>
    </x:row>
    <x:row r="932" ht="34" customHeight="1">
      <x:c r="A932" s="12" t="str">
        <x:v>DP3-B-R3</x:v>
      </x:c>
      <x:c r="B932" s="12" t="str">
        <x:v>U22</x:v>
      </x:c>
      <x:c r="C932" s="13" t="n">
        <x:v>-10.8</x:v>
      </x:c>
      <x:c r="D932" s="12" t="str">
        <x:v>source_ring_mb</x:v>
      </x:c>
      <x:c r="E932" s="13" t="n">
        <x:v>96</x:v>
      </x:c>
    </x:row>
    <x:row r="933" ht="34" customHeight="1">
      <x:c r="A933" s="7" t="str">
        <x:v>DP3-B-R3</x:v>
      </x:c>
      <x:c r="B933" s="7" t="str">
        <x:v>U22</x:v>
      </x:c>
      <x:c r="C933" s="14" t="n">
        <x:v>-10.8</x:v>
      </x:c>
      <x:c r="D933" s="7" t="str">
        <x:v>common_history_mb</x:v>
      </x:c>
      <x:c r="E933" s="14" t="n">
        <x:v>64</x:v>
      </x:c>
    </x:row>
    <x:row r="934" ht="34" customHeight="1">
      <x:c r="A934" s="12" t="str">
        <x:v>DP3-B-R3</x:v>
      </x:c>
      <x:c r="B934" s="12" t="str">
        <x:v>U22</x:v>
      </x:c>
      <x:c r="C934" s="13" t="n">
        <x:v>-10.8</x:v>
      </x:c>
      <x:c r="D934" s="12" t="str">
        <x:v>pre_ui_load:ui_load_temp</x:v>
      </x:c>
      <x:c r="E934" s="13" t="n">
        <x:v>380</x:v>
      </x:c>
    </x:row>
    <x:row r="935" ht="34" customHeight="1">
      <x:c r="A935" s="7" t="str">
        <x:v>DP3-B-R3</x:v>
      </x:c>
      <x:c r="B935" s="7" t="str">
        <x:v>U22</x:v>
      </x:c>
      <x:c r="C935" s="14" t="n">
        <x:v>-10.8</x:v>
      </x:c>
      <x:c r="D935" s="7" t="str">
        <x:v>runtime_shared_pages</x:v>
      </x:c>
      <x:c r="E935" s="14" t="n">
        <x:v>60</x:v>
      </x:c>
    </x:row>
    <x:row r="936" ht="34" customHeight="1">
      <x:c r="A936" s="12" t="str">
        <x:v>DP3-B-R3</x:v>
      </x:c>
      <x:c r="B936" s="12" t="str">
        <x:v>U22</x:v>
      </x:c>
      <x:c r="C936" s="13" t="n">
        <x:v>-10.8</x:v>
      </x:c>
      <x:c r="D936" s="12" t="str">
        <x:v>vision_ipc</x:v>
      </x:c>
      <x:c r="E936" s="13" t="n">
        <x:v>32</x:v>
      </x:c>
    </x:row>
    <x:row r="937" ht="34" customHeight="1">
      <x:c r="A937" s="7" t="str">
        <x:v>DP3-B-R3</x:v>
      </x:c>
      <x:c r="B937" s="7" t="str">
        <x:v>U22</x:v>
      </x:c>
      <x:c r="C937" s="14" t="n">
        <x:v>-10.8</x:v>
      </x:c>
      <x:c r="D937" s="7" t="str">
        <x:v>runtime_private:ui</x:v>
      </x:c>
      <x:c r="E937" s="14" t="n">
        <x:v>280</x:v>
      </x:c>
    </x:row>
    <x:row r="938" ht="34" customHeight="1">
      <x:c r="A938" s="12" t="str">
        <x:v>DP3-B-R3</x:v>
      </x:c>
      <x:c r="B938" s="12" t="str">
        <x:v>U22</x:v>
      </x:c>
      <x:c r="C938" s="13" t="n">
        <x:v>-10.8</x:v>
      </x:c>
      <x:c r="D938" s="12" t="str">
        <x:v>weight:pre_ui_infer</x:v>
      </x:c>
      <x:c r="E938" s="13" t="n">
        <x:v>420</x:v>
      </x:c>
    </x:row>
    <x:row r="939" ht="34" customHeight="1">
      <x:c r="A939" s="7" t="str">
        <x:v>DP3-B-R3</x:v>
      </x:c>
      <x:c r="B939" s="7" t="str">
        <x:v>U22</x:v>
      </x:c>
      <x:c r="C939" s="14" t="n">
        <x:v>-10.8</x:v>
      </x:c>
      <x:c r="D939" s="7" t="str">
        <x:v>valid_audio</x:v>
      </x:c>
      <x:c r="E939" s="14" t="n">
        <x:v>0</x:v>
      </x:c>
    </x:row>
    <x:row r="940" ht="34" customHeight="1">
      <x:c r="A940" s="12" t="str">
        <x:v>DP3-B-R3</x:v>
      </x:c>
      <x:c r="B940" s="12" t="str">
        <x:v>U23</x:v>
      </x:c>
      <x:c r="C940" s="13" t="n">
        <x:v>0.14</x:v>
      </x:c>
      <x:c r="D940" s="12" t="str">
        <x:v>core_ui_mb</x:v>
      </x:c>
      <x:c r="E940" s="13" t="n">
        <x:v>180</x:v>
      </x:c>
    </x:row>
    <x:row r="941" ht="34" customHeight="1">
      <x:c r="A941" s="7" t="str">
        <x:v>DP3-B-R3</x:v>
      </x:c>
      <x:c r="B941" s="7" t="str">
        <x:v>U23</x:v>
      </x:c>
      <x:c r="C941" s="14" t="n">
        <x:v>0.14</x:v>
      </x:c>
      <x:c r="D941" s="7" t="str">
        <x:v>asr_audio_mb</x:v>
      </x:c>
      <x:c r="E941" s="14" t="n">
        <x:v>220</x:v>
      </x:c>
    </x:row>
    <x:row r="942" ht="34" customHeight="1">
      <x:c r="A942" s="12" t="str">
        <x:v>DP3-B-R3</x:v>
      </x:c>
      <x:c r="B942" s="12" t="str">
        <x:v>U23</x:v>
      </x:c>
      <x:c r="C942" s="13" t="n">
        <x:v>0.14</x:v>
      </x:c>
      <x:c r="D942" s="12" t="str">
        <x:v>source_ring_mb</x:v>
      </x:c>
      <x:c r="E942" s="13" t="n">
        <x:v>96</x:v>
      </x:c>
    </x:row>
    <x:row r="943" ht="34" customHeight="1">
      <x:c r="A943" s="7" t="str">
        <x:v>DP3-B-R3</x:v>
      </x:c>
      <x:c r="B943" s="7" t="str">
        <x:v>U23</x:v>
      </x:c>
      <x:c r="C943" s="14" t="n">
        <x:v>0.14</x:v>
      </x:c>
      <x:c r="D943" s="7" t="str">
        <x:v>common_history_mb</x:v>
      </x:c>
      <x:c r="E943" s="14" t="n">
        <x:v>64</x:v>
      </x:c>
    </x:row>
    <x:row r="944" ht="34" customHeight="1">
      <x:c r="A944" s="12" t="str">
        <x:v>DP3-B-R3</x:v>
      </x:c>
      <x:c r="B944" s="12" t="str">
        <x:v>U23</x:v>
      </x:c>
      <x:c r="C944" s="13" t="n">
        <x:v>0.14</x:v>
      </x:c>
      <x:c r="D944" s="12" t="str">
        <x:v>request</x:v>
      </x:c>
      <x:c r="E944" s="13" t="n">
        <x:v>11</x:v>
      </x:c>
    </x:row>
    <x:row r="945" ht="34" customHeight="1">
      <x:c r="A945" s="7" t="str">
        <x:v>DP3-B-R3</x:v>
      </x:c>
      <x:c r="B945" s="7" t="str">
        <x:v>U23</x:v>
      </x:c>
      <x:c r="C945" s="14" t="n">
        <x:v>0.14</x:v>
      </x:c>
      <x:c r="D945" s="7" t="str">
        <x:v>meaning:client</x:v>
      </x:c>
      <x:c r="E945" s="14" t="n">
        <x:v>27</x:v>
      </x:c>
    </x:row>
    <x:row r="946" ht="34" customHeight="1">
      <x:c r="A946" s="12" t="str">
        <x:v>DP3-B-R3</x:v>
      </x:c>
      <x:c r="B946" s="12" t="str">
        <x:v>U23</x:v>
      </x:c>
      <x:c r="C946" s="13" t="n">
        <x:v>0.14</x:v>
      </x:c>
      <x:c r="D946" s="12" t="str">
        <x:v>valid_audio</x:v>
      </x:c>
      <x:c r="E946" s="13" t="n">
        <x:v>0.28800000000000003</x:v>
      </x:c>
    </x:row>
    <x:row r="947" ht="34" customHeight="1">
      <x:c r="A947" s="7" t="str">
        <x:v>DP3-B-R3</x:v>
      </x:c>
      <x:c r="B947" s="7" t="str">
        <x:v>U24</x:v>
      </x:c>
      <x:c r="C947" s="14" t="n">
        <x:v>6.19</x:v>
      </x:c>
      <x:c r="D947" s="7" t="str">
        <x:v>core_ui_mb</x:v>
      </x:c>
      <x:c r="E947" s="14" t="n">
        <x:v>180</x:v>
      </x:c>
    </x:row>
    <x:row r="948" ht="34" customHeight="1">
      <x:c r="A948" s="12" t="str">
        <x:v>DP3-B-R3</x:v>
      </x:c>
      <x:c r="B948" s="12" t="str">
        <x:v>U24</x:v>
      </x:c>
      <x:c r="C948" s="13" t="n">
        <x:v>6.19</x:v>
      </x:c>
      <x:c r="D948" s="12" t="str">
        <x:v>asr_audio_mb</x:v>
      </x:c>
      <x:c r="E948" s="13" t="n">
        <x:v>220</x:v>
      </x:c>
    </x:row>
    <x:row r="949" ht="34" customHeight="1">
      <x:c r="A949" s="7" t="str">
        <x:v>DP3-B-R3</x:v>
      </x:c>
      <x:c r="B949" s="7" t="str">
        <x:v>U24</x:v>
      </x:c>
      <x:c r="C949" s="14" t="n">
        <x:v>6.19</x:v>
      </x:c>
      <x:c r="D949" s="7" t="str">
        <x:v>source_ring_mb</x:v>
      </x:c>
      <x:c r="E949" s="14" t="n">
        <x:v>96</x:v>
      </x:c>
    </x:row>
    <x:row r="950" ht="34" customHeight="1">
      <x:c r="A950" s="12" t="str">
        <x:v>DP3-B-R3</x:v>
      </x:c>
      <x:c r="B950" s="12" t="str">
        <x:v>U24</x:v>
      </x:c>
      <x:c r="C950" s="13" t="n">
        <x:v>6.19</x:v>
      </x:c>
      <x:c r="D950" s="12" t="str">
        <x:v>common_history_mb</x:v>
      </x:c>
      <x:c r="E950" s="13" t="n">
        <x:v>64</x:v>
      </x:c>
    </x:row>
    <x:row r="951" ht="34" customHeight="1">
      <x:c r="A951" s="7" t="str">
        <x:v>DP3-B-R3</x:v>
      </x:c>
      <x:c r="B951" s="7" t="str">
        <x:v>U24</x:v>
      </x:c>
      <x:c r="C951" s="14" t="n">
        <x:v>6.19</x:v>
      </x:c>
      <x:c r="D951" s="7" t="str">
        <x:v>request</x:v>
      </x:c>
      <x:c r="E951" s="14" t="n">
        <x:v>11</x:v>
      </x:c>
    </x:row>
    <x:row r="952" ht="34" customHeight="1">
      <x:c r="A952" s="12" t="str">
        <x:v>DP3-B-R3</x:v>
      </x:c>
      <x:c r="B952" s="12" t="str">
        <x:v>U24</x:v>
      </x:c>
      <x:c r="C952" s="13" t="n">
        <x:v>6.19</x:v>
      </x:c>
      <x:c r="D952" s="12" t="str">
        <x:v>now_sam_infer:sam_workspace</x:v>
      </x:c>
      <x:c r="E952" s="13" t="n">
        <x:v>680</x:v>
      </x:c>
    </x:row>
    <x:row r="953" ht="34" customHeight="1">
      <x:c r="A953" s="7" t="str">
        <x:v>DP3-B-R3</x:v>
      </x:c>
      <x:c r="B953" s="7" t="str">
        <x:v>U24</x:v>
      </x:c>
      <x:c r="C953" s="14" t="n">
        <x:v>6.19</x:v>
      </x:c>
      <x:c r="D953" s="7" t="str">
        <x:v>cloud_image_buffer</x:v>
      </x:c>
      <x:c r="E953" s="14" t="n">
        <x:v>32</x:v>
      </x:c>
    </x:row>
    <x:row r="954" ht="34" customHeight="1">
      <x:c r="A954" s="12" t="str">
        <x:v>DP3-B-R3</x:v>
      </x:c>
      <x:c r="B954" s="12" t="str">
        <x:v>U24</x:v>
      </x:c>
      <x:c r="C954" s="13" t="n">
        <x:v>6.19</x:v>
      </x:c>
      <x:c r="D954" s="12" t="str">
        <x:v>runtime_shared_pages</x:v>
      </x:c>
      <x:c r="E954" s="13" t="n">
        <x:v>60</x:v>
      </x:c>
    </x:row>
    <x:row r="955" ht="34" customHeight="1">
      <x:c r="A955" s="7" t="str">
        <x:v>DP3-B-R3</x:v>
      </x:c>
      <x:c r="B955" s="7" t="str">
        <x:v>U24</x:v>
      </x:c>
      <x:c r="C955" s="14" t="n">
        <x:v>6.19</x:v>
      </x:c>
      <x:c r="D955" s="7" t="str">
        <x:v>vision_ipc</x:v>
      </x:c>
      <x:c r="E955" s="14" t="n">
        <x:v>32</x:v>
      </x:c>
    </x:row>
    <x:row r="956" ht="34" customHeight="1">
      <x:c r="A956" s="12" t="str">
        <x:v>DP3-B-R3</x:v>
      </x:c>
      <x:c r="B956" s="12" t="str">
        <x:v>U24</x:v>
      </x:c>
      <x:c r="C956" s="13" t="n">
        <x:v>6.19</x:v>
      </x:c>
      <x:c r="D956" s="12" t="str">
        <x:v>runtime_private:ui</x:v>
      </x:c>
      <x:c r="E956" s="13" t="n">
        <x:v>280</x:v>
      </x:c>
    </x:row>
    <x:row r="957" ht="34" customHeight="1">
      <x:c r="A957" s="7" t="str">
        <x:v>DP3-B-R3</x:v>
      </x:c>
      <x:c r="B957" s="7" t="str">
        <x:v>U24</x:v>
      </x:c>
      <x:c r="C957" s="14" t="n">
        <x:v>6.19</x:v>
      </x:c>
      <x:c r="D957" s="7" t="str">
        <x:v>weight:now_ui_infer</x:v>
      </x:c>
      <x:c r="E957" s="14" t="n">
        <x:v>420</x:v>
      </x:c>
    </x:row>
    <x:row r="958" ht="34" customHeight="1">
      <x:c r="A958" s="12" t="str">
        <x:v>DP3-B-R3</x:v>
      </x:c>
      <x:c r="B958" s="12" t="str">
        <x:v>U24</x:v>
      </x:c>
      <x:c r="C958" s="13" t="n">
        <x:v>6.19</x:v>
      </x:c>
      <x:c r="D958" s="12" t="str">
        <x:v>runtime_private:sam</x:v>
      </x:c>
      <x:c r="E958" s="13" t="n">
        <x:v>280</x:v>
      </x:c>
    </x:row>
    <x:row r="959" ht="34" customHeight="1">
      <x:c r="A959" s="7" t="str">
        <x:v>DP3-B-R3</x:v>
      </x:c>
      <x:c r="B959" s="7" t="str">
        <x:v>U24</x:v>
      </x:c>
      <x:c r="C959" s="14" t="n">
        <x:v>6.19</x:v>
      </x:c>
      <x:c r="D959" s="7" t="str">
        <x:v>weight:now_sam_infer</x:v>
      </x:c>
      <x:c r="E959" s="14" t="n">
        <x:v>170</x:v>
      </x:c>
    </x:row>
    <x:row r="960" ht="34" customHeight="1">
      <x:c r="A960" s="12" t="str">
        <x:v>DP3-B-R3</x:v>
      </x:c>
      <x:c r="B960" s="12" t="str">
        <x:v>U24</x:v>
      </x:c>
      <x:c r="C960" s="13" t="n">
        <x:v>6.19</x:v>
      </x:c>
      <x:c r="D960" s="12" t="str">
        <x:v>valid_audio</x:v>
      </x:c>
      <x:c r="E960" s="13" t="n">
        <x:v>0</x:v>
      </x:c>
    </x:row>
    <x:row r="961" ht="34" customHeight="1">
      <x:c r="A961" s="7" t="str">
        <x:v>DP5-B</x:v>
      </x:c>
      <x:c r="B961" s="7" t="str">
        <x:v>U01</x:v>
      </x:c>
      <x:c r="C961" s="14" t="n">
        <x:v>0.14</x:v>
      </x:c>
      <x:c r="D961" s="7" t="str">
        <x:v>core_ui_mb</x:v>
      </x:c>
      <x:c r="E961" s="14" t="n">
        <x:v>180</x:v>
      </x:c>
    </x:row>
    <x:row r="962" ht="34" customHeight="1">
      <x:c r="A962" s="12" t="str">
        <x:v>DP5-B</x:v>
      </x:c>
      <x:c r="B962" s="12" t="str">
        <x:v>U01</x:v>
      </x:c>
      <x:c r="C962" s="13" t="n">
        <x:v>0.14</x:v>
      </x:c>
      <x:c r="D962" s="12" t="str">
        <x:v>asr_audio_mb</x:v>
      </x:c>
      <x:c r="E962" s="13" t="n">
        <x:v>220</x:v>
      </x:c>
    </x:row>
    <x:row r="963" ht="34" customHeight="1">
      <x:c r="A963" s="7" t="str">
        <x:v>DP5-B</x:v>
      </x:c>
      <x:c r="B963" s="7" t="str">
        <x:v>U01</x:v>
      </x:c>
      <x:c r="C963" s="14" t="n">
        <x:v>0.14</x:v>
      </x:c>
      <x:c r="D963" s="7" t="str">
        <x:v>source_ring_mb</x:v>
      </x:c>
      <x:c r="E963" s="14" t="n">
        <x:v>96</x:v>
      </x:c>
    </x:row>
    <x:row r="964" ht="34" customHeight="1">
      <x:c r="A964" s="12" t="str">
        <x:v>DP5-B</x:v>
      </x:c>
      <x:c r="B964" s="12" t="str">
        <x:v>U01</x:v>
      </x:c>
      <x:c r="C964" s="13" t="n">
        <x:v>0.14</x:v>
      </x:c>
      <x:c r="D964" s="12" t="str">
        <x:v>common_history_mb</x:v>
      </x:c>
      <x:c r="E964" s="13" t="n">
        <x:v>64</x:v>
      </x:c>
    </x:row>
    <x:row r="965" ht="34" customHeight="1">
      <x:c r="A965" s="7" t="str">
        <x:v>DP5-B</x:v>
      </x:c>
      <x:c r="B965" s="7" t="str">
        <x:v>U01</x:v>
      </x:c>
      <x:c r="C965" s="14" t="n">
        <x:v>0.14</x:v>
      </x:c>
      <x:c r="D965" s="7" t="str">
        <x:v>request</x:v>
      </x:c>
      <x:c r="E965" s="14" t="n">
        <x:v>11</x:v>
      </x:c>
    </x:row>
    <x:row r="966" ht="34" customHeight="1">
      <x:c r="A966" s="12" t="str">
        <x:v>DP5-B</x:v>
      </x:c>
      <x:c r="B966" s="12" t="str">
        <x:v>U01</x:v>
      </x:c>
      <x:c r="C966" s="13" t="n">
        <x:v>0.14</x:v>
      </x:c>
      <x:c r="D966" s="12" t="str">
        <x:v>meaning:client</x:v>
      </x:c>
      <x:c r="E966" s="13" t="n">
        <x:v>17.4</x:v>
      </x:c>
    </x:row>
    <x:row r="967" ht="34" customHeight="1">
      <x:c r="A967" s="7" t="str">
        <x:v>DP5-B</x:v>
      </x:c>
      <x:c r="B967" s="7" t="str">
        <x:v>U01</x:v>
      </x:c>
      <x:c r="C967" s="14" t="n">
        <x:v>0.14</x:v>
      </x:c>
      <x:c r="D967" s="7" t="str">
        <x:v>valid_audio</x:v>
      </x:c>
      <x:c r="E967" s="14" t="n">
        <x:v>0</x:v>
      </x:c>
    </x:row>
    <x:row r="968" ht="34" customHeight="1">
      <x:c r="A968" s="12" t="str">
        <x:v>DP5-B</x:v>
      </x:c>
      <x:c r="B968" s="12" t="str">
        <x:v>U02</x:v>
      </x:c>
      <x:c r="C968" s="13" t="n">
        <x:v>0.38</x:v>
      </x:c>
      <x:c r="D968" s="12" t="str">
        <x:v>core_ui_mb</x:v>
      </x:c>
      <x:c r="E968" s="13" t="n">
        <x:v>180</x:v>
      </x:c>
    </x:row>
    <x:row r="969" ht="34" customHeight="1">
      <x:c r="A969" s="7" t="str">
        <x:v>DP5-B</x:v>
      </x:c>
      <x:c r="B969" s="7" t="str">
        <x:v>U02</x:v>
      </x:c>
      <x:c r="C969" s="14" t="n">
        <x:v>0.38</x:v>
      </x:c>
      <x:c r="D969" s="7" t="str">
        <x:v>asr_audio_mb</x:v>
      </x:c>
      <x:c r="E969" s="14" t="n">
        <x:v>220</x:v>
      </x:c>
    </x:row>
    <x:row r="970" ht="34" customHeight="1">
      <x:c r="A970" s="12" t="str">
        <x:v>DP5-B</x:v>
      </x:c>
      <x:c r="B970" s="12" t="str">
        <x:v>U02</x:v>
      </x:c>
      <x:c r="C970" s="13" t="n">
        <x:v>0.38</x:v>
      </x:c>
      <x:c r="D970" s="12" t="str">
        <x:v>source_ring_mb</x:v>
      </x:c>
      <x:c r="E970" s="13" t="n">
        <x:v>96</x:v>
      </x:c>
    </x:row>
    <x:row r="971" ht="34" customHeight="1">
      <x:c r="A971" s="7" t="str">
        <x:v>DP5-B</x:v>
      </x:c>
      <x:c r="B971" s="7" t="str">
        <x:v>U02</x:v>
      </x:c>
      <x:c r="C971" s="14" t="n">
        <x:v>0.38</x:v>
      </x:c>
      <x:c r="D971" s="7" t="str">
        <x:v>common_history_mb</x:v>
      </x:c>
      <x:c r="E971" s="14" t="n">
        <x:v>64</x:v>
      </x:c>
    </x:row>
    <x:row r="972" ht="34" customHeight="1">
      <x:c r="A972" s="12" t="str">
        <x:v>DP5-B</x:v>
      </x:c>
      <x:c r="B972" s="12" t="str">
        <x:v>U02</x:v>
      </x:c>
      <x:c r="C972" s="13" t="n">
        <x:v>0.38</x:v>
      </x:c>
      <x:c r="D972" s="12" t="str">
        <x:v>request</x:v>
      </x:c>
      <x:c r="E972" s="13" t="n">
        <x:v>11</x:v>
      </x:c>
    </x:row>
    <x:row r="973" ht="34" customHeight="1">
      <x:c r="A973" s="7" t="str">
        <x:v>DP5-B</x:v>
      </x:c>
      <x:c r="B973" s="7" t="str">
        <x:v>U02</x:v>
      </x:c>
      <x:c r="C973" s="14" t="n">
        <x:v>0.38</x:v>
      </x:c>
      <x:c r="D973" s="7" t="str">
        <x:v>meaning:client</x:v>
      </x:c>
      <x:c r="E973" s="14" t="n">
        <x:v>17.4</x:v>
      </x:c>
    </x:row>
    <x:row r="974" ht="34" customHeight="1">
      <x:c r="A974" s="12" t="str">
        <x:v>DP5-B</x:v>
      </x:c>
      <x:c r="B974" s="12" t="str">
        <x:v>U02</x:v>
      </x:c>
      <x:c r="C974" s="13" t="n">
        <x:v>0.38</x:v>
      </x:c>
      <x:c r="D974" s="12" t="str">
        <x:v>valid_audio</x:v>
      </x:c>
      <x:c r="E974" s="13" t="n">
        <x:v>0</x:v>
      </x:c>
    </x:row>
    <x:row r="975" ht="34" customHeight="1">
      <x:c r="A975" s="7" t="str">
        <x:v>DP5-B</x:v>
      </x:c>
      <x:c r="B975" s="7" t="str">
        <x:v>U03</x:v>
      </x:c>
      <x:c r="C975" s="14" t="n">
        <x:v>2.404</x:v>
      </x:c>
      <x:c r="D975" s="7" t="str">
        <x:v>core_ui_mb</x:v>
      </x:c>
      <x:c r="E975" s="14" t="n">
        <x:v>180</x:v>
      </x:c>
    </x:row>
    <x:row r="976" ht="34" customHeight="1">
      <x:c r="A976" s="12" t="str">
        <x:v>DP5-B</x:v>
      </x:c>
      <x:c r="B976" s="12" t="str">
        <x:v>U03</x:v>
      </x:c>
      <x:c r="C976" s="13" t="n">
        <x:v>2.404</x:v>
      </x:c>
      <x:c r="D976" s="12" t="str">
        <x:v>asr_audio_mb</x:v>
      </x:c>
      <x:c r="E976" s="13" t="n">
        <x:v>220</x:v>
      </x:c>
    </x:row>
    <x:row r="977" ht="34" customHeight="1">
      <x:c r="A977" s="7" t="str">
        <x:v>DP5-B</x:v>
      </x:c>
      <x:c r="B977" s="7" t="str">
        <x:v>U03</x:v>
      </x:c>
      <x:c r="C977" s="14" t="n">
        <x:v>2.404</x:v>
      </x:c>
      <x:c r="D977" s="7" t="str">
        <x:v>source_ring_mb</x:v>
      </x:c>
      <x:c r="E977" s="14" t="n">
        <x:v>96</x:v>
      </x:c>
    </x:row>
    <x:row r="978" ht="34" customHeight="1">
      <x:c r="A978" s="12" t="str">
        <x:v>DP5-B</x:v>
      </x:c>
      <x:c r="B978" s="12" t="str">
        <x:v>U03</x:v>
      </x:c>
      <x:c r="C978" s="13" t="n">
        <x:v>2.404</x:v>
      </x:c>
      <x:c r="D978" s="12" t="str">
        <x:v>common_history_mb</x:v>
      </x:c>
      <x:c r="E978" s="13" t="n">
        <x:v>64</x:v>
      </x:c>
    </x:row>
    <x:row r="979" ht="34" customHeight="1">
      <x:c r="A979" s="7" t="str">
        <x:v>DP5-B</x:v>
      </x:c>
      <x:c r="B979" s="7" t="str">
        <x:v>U03</x:v>
      </x:c>
      <x:c r="C979" s="14" t="n">
        <x:v>2.404</x:v>
      </x:c>
      <x:c r="D979" s="7" t="str">
        <x:v>request</x:v>
      </x:c>
      <x:c r="E979" s="14" t="n">
        <x:v>11</x:v>
      </x:c>
    </x:row>
    <x:row r="980" ht="34" customHeight="1">
      <x:c r="A980" s="12" t="str">
        <x:v>DP5-B</x:v>
      </x:c>
      <x:c r="B980" s="12" t="str">
        <x:v>U03</x:v>
      </x:c>
      <x:c r="C980" s="13" t="n">
        <x:v>2.404</x:v>
      </x:c>
      <x:c r="D980" s="12" t="str">
        <x:v>long_work:client</x:v>
      </x:c>
      <x:c r="E980" s="13" t="n">
        <x:v>19.8</x:v>
      </x:c>
    </x:row>
    <x:row r="981" ht="34" customHeight="1">
      <x:c r="A981" s="7" t="str">
        <x:v>DP5-B</x:v>
      </x:c>
      <x:c r="B981" s="7" t="str">
        <x:v>U03</x:v>
      </x:c>
      <x:c r="C981" s="14" t="n">
        <x:v>2.404</x:v>
      </x:c>
      <x:c r="D981" s="7" t="str">
        <x:v>valid_audio</x:v>
      </x:c>
      <x:c r="E981" s="14" t="n">
        <x:v>0.14399999999999993</x:v>
      </x:c>
    </x:row>
    <x:row r="982" ht="34" customHeight="1">
      <x:c r="A982" s="12" t="str">
        <x:v>DP5-B</x:v>
      </x:c>
      <x:c r="B982" s="12" t="str">
        <x:v>U04</x:v>
      </x:c>
      <x:c r="C982" s="13" t="n">
        <x:v>0.38</x:v>
      </x:c>
      <x:c r="D982" s="12" t="str">
        <x:v>core_ui_mb</x:v>
      </x:c>
      <x:c r="E982" s="13" t="n">
        <x:v>180</x:v>
      </x:c>
    </x:row>
    <x:row r="983" ht="34" customHeight="1">
      <x:c r="A983" s="7" t="str">
        <x:v>DP5-B</x:v>
      </x:c>
      <x:c r="B983" s="7" t="str">
        <x:v>U04</x:v>
      </x:c>
      <x:c r="C983" s="14" t="n">
        <x:v>0.38</x:v>
      </x:c>
      <x:c r="D983" s="7" t="str">
        <x:v>asr_audio_mb</x:v>
      </x:c>
      <x:c r="E983" s="14" t="n">
        <x:v>220</x:v>
      </x:c>
    </x:row>
    <x:row r="984" ht="34" customHeight="1">
      <x:c r="A984" s="12" t="str">
        <x:v>DP5-B</x:v>
      </x:c>
      <x:c r="B984" s="12" t="str">
        <x:v>U04</x:v>
      </x:c>
      <x:c r="C984" s="13" t="n">
        <x:v>0.38</x:v>
      </x:c>
      <x:c r="D984" s="12" t="str">
        <x:v>source_ring_mb</x:v>
      </x:c>
      <x:c r="E984" s="13" t="n">
        <x:v>96</x:v>
      </x:c>
    </x:row>
    <x:row r="985" ht="34" customHeight="1">
      <x:c r="A985" s="7" t="str">
        <x:v>DP5-B</x:v>
      </x:c>
      <x:c r="B985" s="7" t="str">
        <x:v>U04</x:v>
      </x:c>
      <x:c r="C985" s="14" t="n">
        <x:v>0.38</x:v>
      </x:c>
      <x:c r="D985" s="7" t="str">
        <x:v>common_history_mb</x:v>
      </x:c>
      <x:c r="E985" s="14" t="n">
        <x:v>64</x:v>
      </x:c>
    </x:row>
    <x:row r="986" ht="34" customHeight="1">
      <x:c r="A986" s="12" t="str">
        <x:v>DP5-B</x:v>
      </x:c>
      <x:c r="B986" s="12" t="str">
        <x:v>U04</x:v>
      </x:c>
      <x:c r="C986" s="13" t="n">
        <x:v>0.38</x:v>
      </x:c>
      <x:c r="D986" s="12" t="str">
        <x:v>request</x:v>
      </x:c>
      <x:c r="E986" s="13" t="n">
        <x:v>11</x:v>
      </x:c>
    </x:row>
    <x:row r="987" ht="34" customHeight="1">
      <x:c r="A987" s="7" t="str">
        <x:v>DP5-B</x:v>
      </x:c>
      <x:c r="B987" s="7" t="str">
        <x:v>U04</x:v>
      </x:c>
      <x:c r="C987" s="14" t="n">
        <x:v>0.38</x:v>
      </x:c>
      <x:c r="D987" s="7" t="str">
        <x:v>meaning:client</x:v>
      </x:c>
      <x:c r="E987" s="14" t="n">
        <x:v>17.4</x:v>
      </x:c>
    </x:row>
    <x:row r="988" ht="34" customHeight="1">
      <x:c r="A988" s="12" t="str">
        <x:v>DP5-B</x:v>
      </x:c>
      <x:c r="B988" s="12" t="str">
        <x:v>U04</x:v>
      </x:c>
      <x:c r="C988" s="13" t="n">
        <x:v>0.38</x:v>
      </x:c>
      <x:c r="D988" s="12" t="str">
        <x:v>valid_audio</x:v>
      </x:c>
      <x:c r="E988" s="13" t="n">
        <x:v>0</x:v>
      </x:c>
    </x:row>
    <x:row r="989" ht="34" customHeight="1">
      <x:c r="A989" s="7" t="str">
        <x:v>DP5-B</x:v>
      </x:c>
      <x:c r="B989" s="7" t="str">
        <x:v>U05</x:v>
      </x:c>
      <x:c r="C989" s="14" t="n">
        <x:v>0</x:v>
      </x:c>
      <x:c r="D989" s="7" t="str">
        <x:v>core_ui_mb</x:v>
      </x:c>
      <x:c r="E989" s="14" t="n">
        <x:v>180</x:v>
      </x:c>
    </x:row>
    <x:row r="990" ht="34" customHeight="1">
      <x:c r="A990" s="12" t="str">
        <x:v>DP5-B</x:v>
      </x:c>
      <x:c r="B990" s="12" t="str">
        <x:v>U05</x:v>
      </x:c>
      <x:c r="C990" s="13" t="n">
        <x:v>0</x:v>
      </x:c>
      <x:c r="D990" s="12" t="str">
        <x:v>asr_audio_mb</x:v>
      </x:c>
      <x:c r="E990" s="13" t="n">
        <x:v>220</x:v>
      </x:c>
    </x:row>
    <x:row r="991" ht="34" customHeight="1">
      <x:c r="A991" s="7" t="str">
        <x:v>DP5-B</x:v>
      </x:c>
      <x:c r="B991" s="7" t="str">
        <x:v>U05</x:v>
      </x:c>
      <x:c r="C991" s="14" t="n">
        <x:v>0</x:v>
      </x:c>
      <x:c r="D991" s="7" t="str">
        <x:v>source_ring_mb</x:v>
      </x:c>
      <x:c r="E991" s="14" t="n">
        <x:v>96</x:v>
      </x:c>
    </x:row>
    <x:row r="992" ht="34" customHeight="1">
      <x:c r="A992" s="12" t="str">
        <x:v>DP5-B</x:v>
      </x:c>
      <x:c r="B992" s="12" t="str">
        <x:v>U05</x:v>
      </x:c>
      <x:c r="C992" s="13" t="n">
        <x:v>0</x:v>
      </x:c>
      <x:c r="D992" s="12" t="str">
        <x:v>common_history_mb</x:v>
      </x:c>
      <x:c r="E992" s="13" t="n">
        <x:v>64</x:v>
      </x:c>
    </x:row>
    <x:row r="993" ht="34" customHeight="1">
      <x:c r="A993" s="7" t="str">
        <x:v>DP5-B</x:v>
      </x:c>
      <x:c r="B993" s="7" t="str">
        <x:v>U05</x:v>
      </x:c>
      <x:c r="C993" s="14" t="n">
        <x:v>0</x:v>
      </x:c>
      <x:c r="D993" s="7" t="str">
        <x:v>request</x:v>
      </x:c>
      <x:c r="E993" s="14" t="n">
        <x:v>11</x:v>
      </x:c>
    </x:row>
    <x:row r="994" ht="34" customHeight="1">
      <x:c r="A994" s="12" t="str">
        <x:v>DP5-B</x:v>
      </x:c>
      <x:c r="B994" s="12" t="str">
        <x:v>U05</x:v>
      </x:c>
      <x:c r="C994" s="13" t="n">
        <x:v>0</x:v>
      </x:c>
      <x:c r="D994" s="12" t="str">
        <x:v>bg1:client</x:v>
      </x:c>
      <x:c r="E994" s="13" t="n">
        <x:v>19.8</x:v>
      </x:c>
    </x:row>
    <x:row r="995" ht="34" customHeight="1">
      <x:c r="A995" s="7" t="str">
        <x:v>DP5-B</x:v>
      </x:c>
      <x:c r="B995" s="7" t="str">
        <x:v>U05</x:v>
      </x:c>
      <x:c r="C995" s="14" t="n">
        <x:v>0</x:v>
      </x:c>
      <x:c r="D995" s="7" t="str">
        <x:v>valid_audio</x:v>
      </x:c>
      <x:c r="E995" s="14" t="n">
        <x:v>0</x:v>
      </x:c>
    </x:row>
    <x:row r="996" ht="34" customHeight="1">
      <x:c r="A996" s="12" t="str">
        <x:v>DP5-B</x:v>
      </x:c>
      <x:c r="B996" s="12" t="str">
        <x:v>U06</x:v>
      </x:c>
      <x:c r="C996" s="13" t="n">
        <x:v>4.664</x:v>
      </x:c>
      <x:c r="D996" s="12" t="str">
        <x:v>core_ui_mb</x:v>
      </x:c>
      <x:c r="E996" s="13" t="n">
        <x:v>180</x:v>
      </x:c>
    </x:row>
    <x:row r="997" ht="34" customHeight="1">
      <x:c r="A997" s="7" t="str">
        <x:v>DP5-B</x:v>
      </x:c>
      <x:c r="B997" s="7" t="str">
        <x:v>U06</x:v>
      </x:c>
      <x:c r="C997" s="14" t="n">
        <x:v>4.664</x:v>
      </x:c>
      <x:c r="D997" s="7" t="str">
        <x:v>asr_audio_mb</x:v>
      </x:c>
      <x:c r="E997" s="14" t="n">
        <x:v>220</x:v>
      </x:c>
    </x:row>
    <x:row r="998" ht="34" customHeight="1">
      <x:c r="A998" s="12" t="str">
        <x:v>DP5-B</x:v>
      </x:c>
      <x:c r="B998" s="12" t="str">
        <x:v>U06</x:v>
      </x:c>
      <x:c r="C998" s="13" t="n">
        <x:v>4.664</x:v>
      </x:c>
      <x:c r="D998" s="12" t="str">
        <x:v>source_ring_mb</x:v>
      </x:c>
      <x:c r="E998" s="13" t="n">
        <x:v>96</x:v>
      </x:c>
    </x:row>
    <x:row r="999" ht="34" customHeight="1">
      <x:c r="A999" s="7" t="str">
        <x:v>DP5-B</x:v>
      </x:c>
      <x:c r="B999" s="7" t="str">
        <x:v>U06</x:v>
      </x:c>
      <x:c r="C999" s="14" t="n">
        <x:v>4.664</x:v>
      </x:c>
      <x:c r="D999" s="7" t="str">
        <x:v>common_history_mb</x:v>
      </x:c>
      <x:c r="E999" s="14" t="n">
        <x:v>64</x:v>
      </x:c>
    </x:row>
    <x:row r="1000" ht="34" customHeight="1">
      <x:c r="A1000" s="12" t="str">
        <x:v>DP5-B</x:v>
      </x:c>
      <x:c r="B1000" s="12" t="str">
        <x:v>U06</x:v>
      </x:c>
      <x:c r="C1000" s="13" t="n">
        <x:v>4.664</x:v>
      </x:c>
      <x:c r="D1000" s="12" t="str">
        <x:v>request</x:v>
      </x:c>
      <x:c r="E1000" s="13" t="n">
        <x:v>11</x:v>
      </x:c>
    </x:row>
    <x:row r="1001" ht="34" customHeight="1">
      <x:c r="A1001" s="7" t="str">
        <x:v>DP5-B</x:v>
      </x:c>
      <x:c r="B1001" s="7" t="str">
        <x:v>U06</x:v>
      </x:c>
      <x:c r="C1001" s="14" t="n">
        <x:v>4.664</x:v>
      </x:c>
      <x:c r="D1001" s="7" t="str">
        <x:v>long_work:client</x:v>
      </x:c>
      <x:c r="E1001" s="14" t="n">
        <x:v>19.8</x:v>
      </x:c>
    </x:row>
    <x:row r="1002" ht="34" customHeight="1">
      <x:c r="A1002" s="12" t="str">
        <x:v>DP5-B</x:v>
      </x:c>
      <x:c r="B1002" s="12" t="str">
        <x:v>U06</x:v>
      </x:c>
      <x:c r="C1002" s="13" t="n">
        <x:v>4.664</x:v>
      </x:c>
      <x:c r="D1002" s="12" t="str">
        <x:v>valid_audio</x:v>
      </x:c>
      <x:c r="E1002" s="13" t="n">
        <x:v>0.144</x:v>
      </x:c>
    </x:row>
    <x:row r="1003" ht="34" customHeight="1">
      <x:c r="A1003" s="7" t="str">
        <x:v>DP5-B</x:v>
      </x:c>
      <x:c r="B1003" s="7" t="str">
        <x:v>U07</x:v>
      </x:c>
      <x:c r="C1003" s="14" t="n">
        <x:v>0</x:v>
      </x:c>
      <x:c r="D1003" s="7" t="str">
        <x:v>core_ui_mb</x:v>
      </x:c>
      <x:c r="E1003" s="14" t="n">
        <x:v>180</x:v>
      </x:c>
    </x:row>
    <x:row r="1004" ht="34" customHeight="1">
      <x:c r="A1004" s="12" t="str">
        <x:v>DP5-B</x:v>
      </x:c>
      <x:c r="B1004" s="12" t="str">
        <x:v>U07</x:v>
      </x:c>
      <x:c r="C1004" s="13" t="n">
        <x:v>0</x:v>
      </x:c>
      <x:c r="D1004" s="12" t="str">
        <x:v>asr_audio_mb</x:v>
      </x:c>
      <x:c r="E1004" s="13" t="n">
        <x:v>220</x:v>
      </x:c>
    </x:row>
    <x:row r="1005" ht="34" customHeight="1">
      <x:c r="A1005" s="7" t="str">
        <x:v>DP5-B</x:v>
      </x:c>
      <x:c r="B1005" s="7" t="str">
        <x:v>U07</x:v>
      </x:c>
      <x:c r="C1005" s="14" t="n">
        <x:v>0</x:v>
      </x:c>
      <x:c r="D1005" s="7" t="str">
        <x:v>source_ring_mb</x:v>
      </x:c>
      <x:c r="E1005" s="14" t="n">
        <x:v>96</x:v>
      </x:c>
    </x:row>
    <x:row r="1006" ht="34" customHeight="1">
      <x:c r="A1006" s="12" t="str">
        <x:v>DP5-B</x:v>
      </x:c>
      <x:c r="B1006" s="12" t="str">
        <x:v>U07</x:v>
      </x:c>
      <x:c r="C1006" s="13" t="n">
        <x:v>0</x:v>
      </x:c>
      <x:c r="D1006" s="12" t="str">
        <x:v>common_history_mb</x:v>
      </x:c>
      <x:c r="E1006" s="13" t="n">
        <x:v>64</x:v>
      </x:c>
    </x:row>
    <x:row r="1007" ht="34" customHeight="1">
      <x:c r="A1007" s="7" t="str">
        <x:v>DP5-B</x:v>
      </x:c>
      <x:c r="B1007" s="7" t="str">
        <x:v>U07</x:v>
      </x:c>
      <x:c r="C1007" s="14" t="n">
        <x:v>0</x:v>
      </x:c>
      <x:c r="D1007" s="7" t="str">
        <x:v>request</x:v>
      </x:c>
      <x:c r="E1007" s="14" t="n">
        <x:v>11</x:v>
      </x:c>
    </x:row>
    <x:row r="1008" ht="34" customHeight="1">
      <x:c r="A1008" s="12" t="str">
        <x:v>DP5-B</x:v>
      </x:c>
      <x:c r="B1008" s="12" t="str">
        <x:v>U07</x:v>
      </x:c>
      <x:c r="C1008" s="13" t="n">
        <x:v>0</x:v>
      </x:c>
      <x:c r="D1008" s="12" t="str">
        <x:v>bg1:client</x:v>
      </x:c>
      <x:c r="E1008" s="13" t="n">
        <x:v>19.8</x:v>
      </x:c>
    </x:row>
    <x:row r="1009" ht="34" customHeight="1">
      <x:c r="A1009" s="7" t="str">
        <x:v>DP5-B</x:v>
      </x:c>
      <x:c r="B1009" s="7" t="str">
        <x:v>U07</x:v>
      </x:c>
      <x:c r="C1009" s="14" t="n">
        <x:v>0</x:v>
      </x:c>
      <x:c r="D1009" s="7" t="str">
        <x:v>bg2:client</x:v>
      </x:c>
      <x:c r="E1009" s="14" t="n">
        <x:v>19.8</x:v>
      </x:c>
    </x:row>
    <x:row r="1010" ht="34" customHeight="1">
      <x:c r="A1010" s="12" t="str">
        <x:v>DP5-B</x:v>
      </x:c>
      <x:c r="B1010" s="12" t="str">
        <x:v>U07</x:v>
      </x:c>
      <x:c r="C1010" s="13" t="n">
        <x:v>0</x:v>
      </x:c>
      <x:c r="D1010" s="12" t="str">
        <x:v>valid_audio</x:v>
      </x:c>
      <x:c r="E1010" s="13" t="n">
        <x:v>0</x:v>
      </x:c>
    </x:row>
    <x:row r="1011" ht="34" customHeight="1">
      <x:c r="A1011" s="7" t="str">
        <x:v>DP5-B</x:v>
      </x:c>
      <x:c r="B1011" s="7" t="str">
        <x:v>U08</x:v>
      </x:c>
      <x:c r="C1011" s="14" t="n">
        <x:v>4.664</x:v>
      </x:c>
      <x:c r="D1011" s="7" t="str">
        <x:v>core_ui_mb</x:v>
      </x:c>
      <x:c r="E1011" s="14" t="n">
        <x:v>180</x:v>
      </x:c>
    </x:row>
    <x:row r="1012" ht="34" customHeight="1">
      <x:c r="A1012" s="12" t="str">
        <x:v>DP5-B</x:v>
      </x:c>
      <x:c r="B1012" s="12" t="str">
        <x:v>U08</x:v>
      </x:c>
      <x:c r="C1012" s="13" t="n">
        <x:v>4.664</x:v>
      </x:c>
      <x:c r="D1012" s="12" t="str">
        <x:v>asr_audio_mb</x:v>
      </x:c>
      <x:c r="E1012" s="13" t="n">
        <x:v>220</x:v>
      </x:c>
    </x:row>
    <x:row r="1013" ht="34" customHeight="1">
      <x:c r="A1013" s="7" t="str">
        <x:v>DP5-B</x:v>
      </x:c>
      <x:c r="B1013" s="7" t="str">
        <x:v>U08</x:v>
      </x:c>
      <x:c r="C1013" s="14" t="n">
        <x:v>4.664</x:v>
      </x:c>
      <x:c r="D1013" s="7" t="str">
        <x:v>source_ring_mb</x:v>
      </x:c>
      <x:c r="E1013" s="14" t="n">
        <x:v>96</x:v>
      </x:c>
    </x:row>
    <x:row r="1014" ht="34" customHeight="1">
      <x:c r="A1014" s="12" t="str">
        <x:v>DP5-B</x:v>
      </x:c>
      <x:c r="B1014" s="12" t="str">
        <x:v>U08</x:v>
      </x:c>
      <x:c r="C1014" s="13" t="n">
        <x:v>4.664</x:v>
      </x:c>
      <x:c r="D1014" s="12" t="str">
        <x:v>common_history_mb</x:v>
      </x:c>
      <x:c r="E1014" s="13" t="n">
        <x:v>64</x:v>
      </x:c>
    </x:row>
    <x:row r="1015" ht="34" customHeight="1">
      <x:c r="A1015" s="7" t="str">
        <x:v>DP5-B</x:v>
      </x:c>
      <x:c r="B1015" s="7" t="str">
        <x:v>U08</x:v>
      </x:c>
      <x:c r="C1015" s="14" t="n">
        <x:v>4.664</x:v>
      </x:c>
      <x:c r="D1015" s="7" t="str">
        <x:v>request</x:v>
      </x:c>
      <x:c r="E1015" s="14" t="n">
        <x:v>11</x:v>
      </x:c>
    </x:row>
    <x:row r="1016" ht="34" customHeight="1">
      <x:c r="A1016" s="12" t="str">
        <x:v>DP5-B</x:v>
      </x:c>
      <x:c r="B1016" s="12" t="str">
        <x:v>U08</x:v>
      </x:c>
      <x:c r="C1016" s="13" t="n">
        <x:v>4.664</x:v>
      </x:c>
      <x:c r="D1016" s="12" t="str">
        <x:v>long_work:client</x:v>
      </x:c>
      <x:c r="E1016" s="13" t="n">
        <x:v>19.8</x:v>
      </x:c>
    </x:row>
    <x:row r="1017" ht="34" customHeight="1">
      <x:c r="A1017" s="7" t="str">
        <x:v>DP5-B</x:v>
      </x:c>
      <x:c r="B1017" s="7" t="str">
        <x:v>U08</x:v>
      </x:c>
      <x:c r="C1017" s="14" t="n">
        <x:v>4.664</x:v>
      </x:c>
      <x:c r="D1017" s="7" t="str">
        <x:v>valid_audio</x:v>
      </x:c>
      <x:c r="E1017" s="14" t="n">
        <x:v>0.144</x:v>
      </x:c>
    </x:row>
    <x:row r="1018" ht="34" customHeight="1">
      <x:c r="A1018" s="12" t="str">
        <x:v>DP5-B</x:v>
      </x:c>
      <x:c r="B1018" s="12" t="str">
        <x:v>U09</x:v>
      </x:c>
      <x:c r="C1018" s="13" t="n">
        <x:v>0.46</x:v>
      </x:c>
      <x:c r="D1018" s="12" t="str">
        <x:v>core_ui_mb</x:v>
      </x:c>
      <x:c r="E1018" s="13" t="n">
        <x:v>180</x:v>
      </x:c>
    </x:row>
    <x:row r="1019" ht="34" customHeight="1">
      <x:c r="A1019" s="7" t="str">
        <x:v>DP5-B</x:v>
      </x:c>
      <x:c r="B1019" s="7" t="str">
        <x:v>U09</x:v>
      </x:c>
      <x:c r="C1019" s="14" t="n">
        <x:v>0.46</x:v>
      </x:c>
      <x:c r="D1019" s="7" t="str">
        <x:v>asr_audio_mb</x:v>
      </x:c>
      <x:c r="E1019" s="14" t="n">
        <x:v>220</x:v>
      </x:c>
    </x:row>
    <x:row r="1020" ht="34" customHeight="1">
      <x:c r="A1020" s="12" t="str">
        <x:v>DP5-B</x:v>
      </x:c>
      <x:c r="B1020" s="12" t="str">
        <x:v>U09</x:v>
      </x:c>
      <x:c r="C1020" s="13" t="n">
        <x:v>0.46</x:v>
      </x:c>
      <x:c r="D1020" s="12" t="str">
        <x:v>source_ring_mb</x:v>
      </x:c>
      <x:c r="E1020" s="13" t="n">
        <x:v>96</x:v>
      </x:c>
    </x:row>
    <x:row r="1021" ht="34" customHeight="1">
      <x:c r="A1021" s="7" t="str">
        <x:v>DP5-B</x:v>
      </x:c>
      <x:c r="B1021" s="7" t="str">
        <x:v>U09</x:v>
      </x:c>
      <x:c r="C1021" s="14" t="n">
        <x:v>0.46</x:v>
      </x:c>
      <x:c r="D1021" s="7" t="str">
        <x:v>common_history_mb</x:v>
      </x:c>
      <x:c r="E1021" s="14" t="n">
        <x:v>64</x:v>
      </x:c>
    </x:row>
    <x:row r="1022" ht="34" customHeight="1">
      <x:c r="A1022" s="12" t="str">
        <x:v>DP5-B</x:v>
      </x:c>
      <x:c r="B1022" s="12" t="str">
        <x:v>U09</x:v>
      </x:c>
      <x:c r="C1022" s="13" t="n">
        <x:v>0.46</x:v>
      </x:c>
      <x:c r="D1022" s="12" t="str">
        <x:v>request</x:v>
      </x:c>
      <x:c r="E1022" s="13" t="n">
        <x:v>11</x:v>
      </x:c>
    </x:row>
    <x:row r="1023" ht="34" customHeight="1">
      <x:c r="A1023" s="7" t="str">
        <x:v>DP5-B</x:v>
      </x:c>
      <x:c r="B1023" s="7" t="str">
        <x:v>U09</x:v>
      </x:c>
      <x:c r="C1023" s="14" t="n">
        <x:v>0.46</x:v>
      </x:c>
      <x:c r="D1023" s="7" t="str">
        <x:v>meaning:client</x:v>
      </x:c>
      <x:c r="E1023" s="14" t="n">
        <x:v>17.4</x:v>
      </x:c>
    </x:row>
    <x:row r="1024" ht="34" customHeight="1">
      <x:c r="A1024" s="12" t="str">
        <x:v>DP5-B</x:v>
      </x:c>
      <x:c r="B1024" s="12" t="str">
        <x:v>U09</x:v>
      </x:c>
      <x:c r="C1024" s="13" t="n">
        <x:v>0.46</x:v>
      </x:c>
      <x:c r="D1024" s="12" t="str">
        <x:v>valid_audio</x:v>
      </x:c>
      <x:c r="E1024" s="13" t="n">
        <x:v>0</x:v>
      </x:c>
    </x:row>
    <x:row r="1025" ht="34" customHeight="1">
      <x:c r="A1025" s="7" t="str">
        <x:v>DP5-B</x:v>
      </x:c>
      <x:c r="B1025" s="7" t="str">
        <x:v>U10</x:v>
      </x:c>
      <x:c r="C1025" s="14" t="n">
        <x:v>0.38</x:v>
      </x:c>
      <x:c r="D1025" s="7" t="str">
        <x:v>core_ui_mb</x:v>
      </x:c>
      <x:c r="E1025" s="14" t="n">
        <x:v>180</x:v>
      </x:c>
    </x:row>
    <x:row r="1026" ht="34" customHeight="1">
      <x:c r="A1026" s="12" t="str">
        <x:v>DP5-B</x:v>
      </x:c>
      <x:c r="B1026" s="12" t="str">
        <x:v>U10</x:v>
      </x:c>
      <x:c r="C1026" s="13" t="n">
        <x:v>0.38</x:v>
      </x:c>
      <x:c r="D1026" s="12" t="str">
        <x:v>asr_audio_mb</x:v>
      </x:c>
      <x:c r="E1026" s="13" t="n">
        <x:v>220</x:v>
      </x:c>
    </x:row>
    <x:row r="1027" ht="34" customHeight="1">
      <x:c r="A1027" s="7" t="str">
        <x:v>DP5-B</x:v>
      </x:c>
      <x:c r="B1027" s="7" t="str">
        <x:v>U10</x:v>
      </x:c>
      <x:c r="C1027" s="14" t="n">
        <x:v>0.38</x:v>
      </x:c>
      <x:c r="D1027" s="7" t="str">
        <x:v>source_ring_mb</x:v>
      </x:c>
      <x:c r="E1027" s="14" t="n">
        <x:v>96</x:v>
      </x:c>
    </x:row>
    <x:row r="1028" ht="34" customHeight="1">
      <x:c r="A1028" s="12" t="str">
        <x:v>DP5-B</x:v>
      </x:c>
      <x:c r="B1028" s="12" t="str">
        <x:v>U10</x:v>
      </x:c>
      <x:c r="C1028" s="13" t="n">
        <x:v>0.38</x:v>
      </x:c>
      <x:c r="D1028" s="12" t="str">
        <x:v>common_history_mb</x:v>
      </x:c>
      <x:c r="E1028" s="13" t="n">
        <x:v>64</x:v>
      </x:c>
    </x:row>
    <x:row r="1029" ht="34" customHeight="1">
      <x:c r="A1029" s="7" t="str">
        <x:v>DP5-B</x:v>
      </x:c>
      <x:c r="B1029" s="7" t="str">
        <x:v>U10</x:v>
      </x:c>
      <x:c r="C1029" s="14" t="n">
        <x:v>0.38</x:v>
      </x:c>
      <x:c r="D1029" s="7" t="str">
        <x:v>request</x:v>
      </x:c>
      <x:c r="E1029" s="14" t="n">
        <x:v>11</x:v>
      </x:c>
    </x:row>
    <x:row r="1030" ht="34" customHeight="1">
      <x:c r="A1030" s="12" t="str">
        <x:v>DP5-B</x:v>
      </x:c>
      <x:c r="B1030" s="12" t="str">
        <x:v>U10</x:v>
      </x:c>
      <x:c r="C1030" s="13" t="n">
        <x:v>0.38</x:v>
      </x:c>
      <x:c r="D1030" s="12" t="str">
        <x:v>meaning:client</x:v>
      </x:c>
      <x:c r="E1030" s="13" t="n">
        <x:v>24.6</x:v>
      </x:c>
    </x:row>
    <x:row r="1031" ht="34" customHeight="1">
      <x:c r="A1031" s="7" t="str">
        <x:v>DP5-B</x:v>
      </x:c>
      <x:c r="B1031" s="7" t="str">
        <x:v>U10</x:v>
      </x:c>
      <x:c r="C1031" s="14" t="n">
        <x:v>0.38</x:v>
      </x:c>
      <x:c r="D1031" s="7" t="str">
        <x:v>cloud_image_buffer</x:v>
      </x:c>
      <x:c r="E1031" s="14" t="n">
        <x:v>32</x:v>
      </x:c>
    </x:row>
    <x:row r="1032" ht="34" customHeight="1">
      <x:c r="A1032" s="12" t="str">
        <x:v>DP5-B</x:v>
      </x:c>
      <x:c r="B1032" s="12" t="str">
        <x:v>U10</x:v>
      </x:c>
      <x:c r="C1032" s="13" t="n">
        <x:v>0.38</x:v>
      </x:c>
      <x:c r="D1032" s="12" t="str">
        <x:v>valid_audio</x:v>
      </x:c>
      <x:c r="E1032" s="13" t="n">
        <x:v>0</x:v>
      </x:c>
    </x:row>
    <x:row r="1033" ht="34" customHeight="1">
      <x:c r="A1033" s="7" t="str">
        <x:v>DP5-B</x:v>
      </x:c>
      <x:c r="B1033" s="7" t="str">
        <x:v>U11</x:v>
      </x:c>
      <x:c r="C1033" s="14" t="n">
        <x:v>0.38</x:v>
      </x:c>
      <x:c r="D1033" s="7" t="str">
        <x:v>core_ui_mb</x:v>
      </x:c>
      <x:c r="E1033" s="14" t="n">
        <x:v>180</x:v>
      </x:c>
    </x:row>
    <x:row r="1034" ht="34" customHeight="1">
      <x:c r="A1034" s="12" t="str">
        <x:v>DP5-B</x:v>
      </x:c>
      <x:c r="B1034" s="12" t="str">
        <x:v>U11</x:v>
      </x:c>
      <x:c r="C1034" s="13" t="n">
        <x:v>0.38</x:v>
      </x:c>
      <x:c r="D1034" s="12" t="str">
        <x:v>asr_audio_mb</x:v>
      </x:c>
      <x:c r="E1034" s="13" t="n">
        <x:v>220</x:v>
      </x:c>
    </x:row>
    <x:row r="1035" ht="34" customHeight="1">
      <x:c r="A1035" s="7" t="str">
        <x:v>DP5-B</x:v>
      </x:c>
      <x:c r="B1035" s="7" t="str">
        <x:v>U11</x:v>
      </x:c>
      <x:c r="C1035" s="14" t="n">
        <x:v>0.38</x:v>
      </x:c>
      <x:c r="D1035" s="7" t="str">
        <x:v>source_ring_mb</x:v>
      </x:c>
      <x:c r="E1035" s="14" t="n">
        <x:v>96</x:v>
      </x:c>
    </x:row>
    <x:row r="1036" ht="34" customHeight="1">
      <x:c r="A1036" s="12" t="str">
        <x:v>DP5-B</x:v>
      </x:c>
      <x:c r="B1036" s="12" t="str">
        <x:v>U11</x:v>
      </x:c>
      <x:c r="C1036" s="13" t="n">
        <x:v>0.38</x:v>
      </x:c>
      <x:c r="D1036" s="12" t="str">
        <x:v>common_history_mb</x:v>
      </x:c>
      <x:c r="E1036" s="13" t="n">
        <x:v>64</x:v>
      </x:c>
    </x:row>
    <x:row r="1037" ht="34" customHeight="1">
      <x:c r="A1037" s="7" t="str">
        <x:v>DP5-B</x:v>
      </x:c>
      <x:c r="B1037" s="7" t="str">
        <x:v>U11</x:v>
      </x:c>
      <x:c r="C1037" s="14" t="n">
        <x:v>0.38</x:v>
      </x:c>
      <x:c r="D1037" s="7" t="str">
        <x:v>request</x:v>
      </x:c>
      <x:c r="E1037" s="14" t="n">
        <x:v>11</x:v>
      </x:c>
    </x:row>
    <x:row r="1038" ht="34" customHeight="1">
      <x:c r="A1038" s="12" t="str">
        <x:v>DP5-B</x:v>
      </x:c>
      <x:c r="B1038" s="12" t="str">
        <x:v>U11</x:v>
      </x:c>
      <x:c r="C1038" s="13" t="n">
        <x:v>0.38</x:v>
      </x:c>
      <x:c r="D1038" s="12" t="str">
        <x:v>meaning:client</x:v>
      </x:c>
      <x:c r="E1038" s="13" t="n">
        <x:v>31.8</x:v>
      </x:c>
    </x:row>
    <x:row r="1039" ht="34" customHeight="1">
      <x:c r="A1039" s="7" t="str">
        <x:v>DP5-B</x:v>
      </x:c>
      <x:c r="B1039" s="7" t="str">
        <x:v>U11</x:v>
      </x:c>
      <x:c r="C1039" s="14" t="n">
        <x:v>0.38</x:v>
      </x:c>
      <x:c r="D1039" s="7" t="str">
        <x:v>cloud_image_buffer</x:v>
      </x:c>
      <x:c r="E1039" s="14" t="n">
        <x:v>32</x:v>
      </x:c>
    </x:row>
    <x:row r="1040" ht="34" customHeight="1">
      <x:c r="A1040" s="12" t="str">
        <x:v>DP5-B</x:v>
      </x:c>
      <x:c r="B1040" s="12" t="str">
        <x:v>U11</x:v>
      </x:c>
      <x:c r="C1040" s="13" t="n">
        <x:v>0.38</x:v>
      </x:c>
      <x:c r="D1040" s="12" t="str">
        <x:v>valid_audio</x:v>
      </x:c>
      <x:c r="E1040" s="13" t="n">
        <x:v>0</x:v>
      </x:c>
    </x:row>
    <x:row r="1041" ht="34" customHeight="1">
      <x:c r="A1041" s="7" t="str">
        <x:v>DP5-B</x:v>
      </x:c>
      <x:c r="B1041" s="7" t="str">
        <x:v>U12</x:v>
      </x:c>
      <x:c r="C1041" s="14" t="n">
        <x:v>0.46</x:v>
      </x:c>
      <x:c r="D1041" s="7" t="str">
        <x:v>core_ui_mb</x:v>
      </x:c>
      <x:c r="E1041" s="14" t="n">
        <x:v>180</x:v>
      </x:c>
    </x:row>
    <x:row r="1042" ht="34" customHeight="1">
      <x:c r="A1042" s="12" t="str">
        <x:v>DP5-B</x:v>
      </x:c>
      <x:c r="B1042" s="12" t="str">
        <x:v>U12</x:v>
      </x:c>
      <x:c r="C1042" s="13" t="n">
        <x:v>0.46</x:v>
      </x:c>
      <x:c r="D1042" s="12" t="str">
        <x:v>asr_audio_mb</x:v>
      </x:c>
      <x:c r="E1042" s="13" t="n">
        <x:v>220</x:v>
      </x:c>
    </x:row>
    <x:row r="1043" ht="34" customHeight="1">
      <x:c r="A1043" s="7" t="str">
        <x:v>DP5-B</x:v>
      </x:c>
      <x:c r="B1043" s="7" t="str">
        <x:v>U12</x:v>
      </x:c>
      <x:c r="C1043" s="14" t="n">
        <x:v>0.46</x:v>
      </x:c>
      <x:c r="D1043" s="7" t="str">
        <x:v>source_ring_mb</x:v>
      </x:c>
      <x:c r="E1043" s="14" t="n">
        <x:v>96</x:v>
      </x:c>
    </x:row>
    <x:row r="1044" ht="34" customHeight="1">
      <x:c r="A1044" s="12" t="str">
        <x:v>DP5-B</x:v>
      </x:c>
      <x:c r="B1044" s="12" t="str">
        <x:v>U12</x:v>
      </x:c>
      <x:c r="C1044" s="13" t="n">
        <x:v>0.46</x:v>
      </x:c>
      <x:c r="D1044" s="12" t="str">
        <x:v>common_history_mb</x:v>
      </x:c>
      <x:c r="E1044" s="13" t="n">
        <x:v>64</x:v>
      </x:c>
    </x:row>
    <x:row r="1045" ht="34" customHeight="1">
      <x:c r="A1045" s="7" t="str">
        <x:v>DP5-B</x:v>
      </x:c>
      <x:c r="B1045" s="7" t="str">
        <x:v>U12</x:v>
      </x:c>
      <x:c r="C1045" s="14" t="n">
        <x:v>0.46</x:v>
      </x:c>
      <x:c r="D1045" s="7" t="str">
        <x:v>request</x:v>
      </x:c>
      <x:c r="E1045" s="14" t="n">
        <x:v>11</x:v>
      </x:c>
    </x:row>
    <x:row r="1046" ht="34" customHeight="1">
      <x:c r="A1046" s="12" t="str">
        <x:v>DP5-B</x:v>
      </x:c>
      <x:c r="B1046" s="12" t="str">
        <x:v>U12</x:v>
      </x:c>
      <x:c r="C1046" s="13" t="n">
        <x:v>0.46</x:v>
      </x:c>
      <x:c r="D1046" s="12" t="str">
        <x:v>meaning:client</x:v>
      </x:c>
      <x:c r="E1046" s="13" t="n">
        <x:v>17.4</x:v>
      </x:c>
    </x:row>
    <x:row r="1047" ht="34" customHeight="1">
      <x:c r="A1047" s="7" t="str">
        <x:v>DP5-B</x:v>
      </x:c>
      <x:c r="B1047" s="7" t="str">
        <x:v>U12</x:v>
      </x:c>
      <x:c r="C1047" s="14" t="n">
        <x:v>0.46</x:v>
      </x:c>
      <x:c r="D1047" s="7" t="str">
        <x:v>valid_audio</x:v>
      </x:c>
      <x:c r="E1047" s="14" t="n">
        <x:v>0</x:v>
      </x:c>
    </x:row>
    <x:row r="1048" ht="34" customHeight="1">
      <x:c r="A1048" s="12" t="str">
        <x:v>DP5-B</x:v>
      </x:c>
      <x:c r="B1048" s="12" t="str">
        <x:v>U13</x:v>
      </x:c>
      <x:c r="C1048" s="13" t="n">
        <x:v>0.14</x:v>
      </x:c>
      <x:c r="D1048" s="12" t="str">
        <x:v>core_ui_mb</x:v>
      </x:c>
      <x:c r="E1048" s="13" t="n">
        <x:v>180</x:v>
      </x:c>
    </x:row>
    <x:row r="1049" ht="34" customHeight="1">
      <x:c r="A1049" s="7" t="str">
        <x:v>DP5-B</x:v>
      </x:c>
      <x:c r="B1049" s="7" t="str">
        <x:v>U13</x:v>
      </x:c>
      <x:c r="C1049" s="14" t="n">
        <x:v>0.14</x:v>
      </x:c>
      <x:c r="D1049" s="7" t="str">
        <x:v>asr_audio_mb</x:v>
      </x:c>
      <x:c r="E1049" s="14" t="n">
        <x:v>220</x:v>
      </x:c>
    </x:row>
    <x:row r="1050" ht="34" customHeight="1">
      <x:c r="A1050" s="12" t="str">
        <x:v>DP5-B</x:v>
      </x:c>
      <x:c r="B1050" s="12" t="str">
        <x:v>U13</x:v>
      </x:c>
      <x:c r="C1050" s="13" t="n">
        <x:v>0.14</x:v>
      </x:c>
      <x:c r="D1050" s="12" t="str">
        <x:v>source_ring_mb</x:v>
      </x:c>
      <x:c r="E1050" s="13" t="n">
        <x:v>96</x:v>
      </x:c>
    </x:row>
    <x:row r="1051" ht="34" customHeight="1">
      <x:c r="A1051" s="7" t="str">
        <x:v>DP5-B</x:v>
      </x:c>
      <x:c r="B1051" s="7" t="str">
        <x:v>U13</x:v>
      </x:c>
      <x:c r="C1051" s="14" t="n">
        <x:v>0.14</x:v>
      </x:c>
      <x:c r="D1051" s="7" t="str">
        <x:v>common_history_mb</x:v>
      </x:c>
      <x:c r="E1051" s="14" t="n">
        <x:v>64</x:v>
      </x:c>
    </x:row>
    <x:row r="1052" ht="34" customHeight="1">
      <x:c r="A1052" s="12" t="str">
        <x:v>DP5-B</x:v>
      </x:c>
      <x:c r="B1052" s="12" t="str">
        <x:v>U13</x:v>
      </x:c>
      <x:c r="C1052" s="13" t="n">
        <x:v>0.14</x:v>
      </x:c>
      <x:c r="D1052" s="12" t="str">
        <x:v>request</x:v>
      </x:c>
      <x:c r="E1052" s="13" t="n">
        <x:v>11</x:v>
      </x:c>
    </x:row>
    <x:row r="1053" ht="34" customHeight="1">
      <x:c r="A1053" s="7" t="str">
        <x:v>DP5-B</x:v>
      </x:c>
      <x:c r="B1053" s="7" t="str">
        <x:v>U13</x:v>
      </x:c>
      <x:c r="C1053" s="14" t="n">
        <x:v>0.14</x:v>
      </x:c>
      <x:c r="D1053" s="7" t="str">
        <x:v>meaning:client</x:v>
      </x:c>
      <x:c r="E1053" s="14" t="n">
        <x:v>17.4</x:v>
      </x:c>
    </x:row>
    <x:row r="1054" ht="34" customHeight="1">
      <x:c r="A1054" s="12" t="str">
        <x:v>DP5-B</x:v>
      </x:c>
      <x:c r="B1054" s="12" t="str">
        <x:v>U13</x:v>
      </x:c>
      <x:c r="C1054" s="13" t="n">
        <x:v>0.14</x:v>
      </x:c>
      <x:c r="D1054" s="12" t="str">
        <x:v>valid_audio</x:v>
      </x:c>
      <x:c r="E1054" s="13" t="n">
        <x:v>0</x:v>
      </x:c>
    </x:row>
    <x:row r="1055" ht="34" customHeight="1">
      <x:c r="A1055" s="7" t="str">
        <x:v>DP5-B</x:v>
      </x:c>
      <x:c r="B1055" s="7" t="str">
        <x:v>U14</x:v>
      </x:c>
      <x:c r="C1055" s="14" t="n">
        <x:v>-8</x:v>
      </x:c>
      <x:c r="D1055" s="7" t="str">
        <x:v>core_ui_mb</x:v>
      </x:c>
      <x:c r="E1055" s="14" t="n">
        <x:v>180</x:v>
      </x:c>
    </x:row>
    <x:row r="1056" ht="34" customHeight="1">
      <x:c r="A1056" s="12" t="str">
        <x:v>DP5-B</x:v>
      </x:c>
      <x:c r="B1056" s="12" t="str">
        <x:v>U14</x:v>
      </x:c>
      <x:c r="C1056" s="13" t="n">
        <x:v>-8</x:v>
      </x:c>
      <x:c r="D1056" s="12" t="str">
        <x:v>asr_audio_mb</x:v>
      </x:c>
      <x:c r="E1056" s="13" t="n">
        <x:v>220</x:v>
      </x:c>
    </x:row>
    <x:row r="1057" ht="34" customHeight="1">
      <x:c r="A1057" s="7" t="str">
        <x:v>DP5-B</x:v>
      </x:c>
      <x:c r="B1057" s="7" t="str">
        <x:v>U14</x:v>
      </x:c>
      <x:c r="C1057" s="14" t="n">
        <x:v>-8</x:v>
      </x:c>
      <x:c r="D1057" s="7" t="str">
        <x:v>source_ring_mb</x:v>
      </x:c>
      <x:c r="E1057" s="14" t="n">
        <x:v>96</x:v>
      </x:c>
    </x:row>
    <x:row r="1058" ht="34" customHeight="1">
      <x:c r="A1058" s="12" t="str">
        <x:v>DP5-B</x:v>
      </x:c>
      <x:c r="B1058" s="12" t="str">
        <x:v>U14</x:v>
      </x:c>
      <x:c r="C1058" s="13" t="n">
        <x:v>-8</x:v>
      </x:c>
      <x:c r="D1058" s="12" t="str">
        <x:v>common_history_mb</x:v>
      </x:c>
      <x:c r="E1058" s="13" t="n">
        <x:v>64</x:v>
      </x:c>
    </x:row>
    <x:row r="1059" ht="34" customHeight="1">
      <x:c r="A1059" s="7" t="str">
        <x:v>DP5-B</x:v>
      </x:c>
      <x:c r="B1059" s="7" t="str">
        <x:v>U14</x:v>
      </x:c>
      <x:c r="C1059" s="14" t="n">
        <x:v>-8</x:v>
      </x:c>
      <x:c r="D1059" s="7" t="str">
        <x:v>relation_cache</x:v>
      </x:c>
      <x:c r="E1059" s="14" t="n">
        <x:v>38</x:v>
      </x:c>
    </x:row>
    <x:row r="1060" ht="34" customHeight="1">
      <x:c r="A1060" s="12" t="str">
        <x:v>DP5-B</x:v>
      </x:c>
      <x:c r="B1060" s="12" t="str">
        <x:v>U14</x:v>
      </x:c>
      <x:c r="C1060" s="13" t="n">
        <x:v>-8</x:v>
      </x:c>
      <x:c r="D1060" s="12" t="str">
        <x:v>relation_prior:client</x:v>
      </x:c>
      <x:c r="E1060" s="13" t="n">
        <x:v>22.2</x:v>
      </x:c>
    </x:row>
    <x:row r="1061" ht="34" customHeight="1">
      <x:c r="A1061" s="7" t="str">
        <x:v>DP5-B</x:v>
      </x:c>
      <x:c r="B1061" s="7" t="str">
        <x:v>U14</x:v>
      </x:c>
      <x:c r="C1061" s="14" t="n">
        <x:v>-8</x:v>
      </x:c>
      <x:c r="D1061" s="7" t="str">
        <x:v>relation_prior:relation_producer</x:v>
      </x:c>
      <x:c r="E1061" s="14" t="n">
        <x:v>19</x:v>
      </x:c>
    </x:row>
    <x:row r="1062" ht="34" customHeight="1">
      <x:c r="A1062" s="12" t="str">
        <x:v>DP5-B</x:v>
      </x:c>
      <x:c r="B1062" s="12" t="str">
        <x:v>U14</x:v>
      </x:c>
      <x:c r="C1062" s="13" t="n">
        <x:v>-8</x:v>
      </x:c>
      <x:c r="D1062" s="12" t="str">
        <x:v>relation_unused:client</x:v>
      </x:c>
      <x:c r="E1062" s="13" t="n">
        <x:v>22.2</x:v>
      </x:c>
    </x:row>
    <x:row r="1063" ht="34" customHeight="1">
      <x:c r="A1063" s="7" t="str">
        <x:v>DP5-B</x:v>
      </x:c>
      <x:c r="B1063" s="7" t="str">
        <x:v>U14</x:v>
      </x:c>
      <x:c r="C1063" s="14" t="n">
        <x:v>-8</x:v>
      </x:c>
      <x:c r="D1063" s="7" t="str">
        <x:v>relation_unused:relation_producer</x:v>
      </x:c>
      <x:c r="E1063" s="14" t="n">
        <x:v>19</x:v>
      </x:c>
    </x:row>
    <x:row r="1064" ht="34" customHeight="1">
      <x:c r="A1064" s="12" t="str">
        <x:v>DP5-B</x:v>
      </x:c>
      <x:c r="B1064" s="12" t="str">
        <x:v>U14</x:v>
      </x:c>
      <x:c r="C1064" s="13" t="n">
        <x:v>-8</x:v>
      </x:c>
      <x:c r="D1064" s="12" t="str">
        <x:v>valid_audio</x:v>
      </x:c>
      <x:c r="E1064" s="13" t="n">
        <x:v>0</x:v>
      </x:c>
    </x:row>
    <x:row r="1065" ht="34" customHeight="1">
      <x:c r="A1065" s="7" t="str">
        <x:v>DP5-B</x:v>
      </x:c>
      <x:c r="B1065" s="7" t="str">
        <x:v>U15</x:v>
      </x:c>
      <x:c r="C1065" s="14" t="n">
        <x:v>0.14</x:v>
      </x:c>
      <x:c r="D1065" s="7" t="str">
        <x:v>core_ui_mb</x:v>
      </x:c>
      <x:c r="E1065" s="14" t="n">
        <x:v>180</x:v>
      </x:c>
    </x:row>
    <x:row r="1066" ht="34" customHeight="1">
      <x:c r="A1066" s="12" t="str">
        <x:v>DP5-B</x:v>
      </x:c>
      <x:c r="B1066" s="12" t="str">
        <x:v>U15</x:v>
      </x:c>
      <x:c r="C1066" s="13" t="n">
        <x:v>0.14</x:v>
      </x:c>
      <x:c r="D1066" s="12" t="str">
        <x:v>asr_audio_mb</x:v>
      </x:c>
      <x:c r="E1066" s="13" t="n">
        <x:v>220</x:v>
      </x:c>
    </x:row>
    <x:row r="1067" ht="34" customHeight="1">
      <x:c r="A1067" s="7" t="str">
        <x:v>DP5-B</x:v>
      </x:c>
      <x:c r="B1067" s="7" t="str">
        <x:v>U15</x:v>
      </x:c>
      <x:c r="C1067" s="14" t="n">
        <x:v>0.14</x:v>
      </x:c>
      <x:c r="D1067" s="7" t="str">
        <x:v>source_ring_mb</x:v>
      </x:c>
      <x:c r="E1067" s="14" t="n">
        <x:v>96</x:v>
      </x:c>
    </x:row>
    <x:row r="1068" ht="34" customHeight="1">
      <x:c r="A1068" s="12" t="str">
        <x:v>DP5-B</x:v>
      </x:c>
      <x:c r="B1068" s="12" t="str">
        <x:v>U15</x:v>
      </x:c>
      <x:c r="C1068" s="13" t="n">
        <x:v>0.14</x:v>
      </x:c>
      <x:c r="D1068" s="12" t="str">
        <x:v>common_history_mb</x:v>
      </x:c>
      <x:c r="E1068" s="13" t="n">
        <x:v>64</x:v>
      </x:c>
    </x:row>
    <x:row r="1069" ht="34" customHeight="1">
      <x:c r="A1069" s="7" t="str">
        <x:v>DP5-B</x:v>
      </x:c>
      <x:c r="B1069" s="7" t="str">
        <x:v>U15</x:v>
      </x:c>
      <x:c r="C1069" s="14" t="n">
        <x:v>0.14</x:v>
      </x:c>
      <x:c r="D1069" s="7" t="str">
        <x:v>request</x:v>
      </x:c>
      <x:c r="E1069" s="14" t="n">
        <x:v>11</x:v>
      </x:c>
    </x:row>
    <x:row r="1070" ht="34" customHeight="1">
      <x:c r="A1070" s="12" t="str">
        <x:v>DP5-B</x:v>
      </x:c>
      <x:c r="B1070" s="12" t="str">
        <x:v>U15</x:v>
      </x:c>
      <x:c r="C1070" s="13" t="n">
        <x:v>0.14</x:v>
      </x:c>
      <x:c r="D1070" s="12" t="str">
        <x:v>meaning:client</x:v>
      </x:c>
      <x:c r="E1070" s="13" t="n">
        <x:v>17.4</x:v>
      </x:c>
    </x:row>
    <x:row r="1071" ht="34" customHeight="1">
      <x:c r="A1071" s="7" t="str">
        <x:v>DP5-B</x:v>
      </x:c>
      <x:c r="B1071" s="7" t="str">
        <x:v>U15</x:v>
      </x:c>
      <x:c r="C1071" s="14" t="n">
        <x:v>0.14</x:v>
      </x:c>
      <x:c r="D1071" s="7" t="str">
        <x:v>valid_audio</x:v>
      </x:c>
      <x:c r="E1071" s="14" t="n">
        <x:v>0</x:v>
      </x:c>
    </x:row>
    <x:row r="1072" ht="34" customHeight="1">
      <x:c r="A1072" s="12" t="str">
        <x:v>DP5-B</x:v>
      </x:c>
      <x:c r="B1072" s="12" t="str">
        <x:v>U16</x:v>
      </x:c>
      <x:c r="C1072" s="13" t="n">
        <x:v>-8</x:v>
      </x:c>
      <x:c r="D1072" s="12" t="str">
        <x:v>core_ui_mb</x:v>
      </x:c>
      <x:c r="E1072" s="13" t="n">
        <x:v>180</x:v>
      </x:c>
    </x:row>
    <x:row r="1073" ht="34" customHeight="1">
      <x:c r="A1073" s="7" t="str">
        <x:v>DP5-B</x:v>
      </x:c>
      <x:c r="B1073" s="7" t="str">
        <x:v>U16</x:v>
      </x:c>
      <x:c r="C1073" s="14" t="n">
        <x:v>-8</x:v>
      </x:c>
      <x:c r="D1073" s="7" t="str">
        <x:v>asr_audio_mb</x:v>
      </x:c>
      <x:c r="E1073" s="14" t="n">
        <x:v>220</x:v>
      </x:c>
    </x:row>
    <x:row r="1074" ht="34" customHeight="1">
      <x:c r="A1074" s="12" t="str">
        <x:v>DP5-B</x:v>
      </x:c>
      <x:c r="B1074" s="12" t="str">
        <x:v>U16</x:v>
      </x:c>
      <x:c r="C1074" s="13" t="n">
        <x:v>-8</x:v>
      </x:c>
      <x:c r="D1074" s="12" t="str">
        <x:v>source_ring_mb</x:v>
      </x:c>
      <x:c r="E1074" s="13" t="n">
        <x:v>96</x:v>
      </x:c>
    </x:row>
    <x:row r="1075" ht="34" customHeight="1">
      <x:c r="A1075" s="7" t="str">
        <x:v>DP5-B</x:v>
      </x:c>
      <x:c r="B1075" s="7" t="str">
        <x:v>U16</x:v>
      </x:c>
      <x:c r="C1075" s="14" t="n">
        <x:v>-8</x:v>
      </x:c>
      <x:c r="D1075" s="7" t="str">
        <x:v>common_history_mb</x:v>
      </x:c>
      <x:c r="E1075" s="14" t="n">
        <x:v>64</x:v>
      </x:c>
    </x:row>
    <x:row r="1076" ht="34" customHeight="1">
      <x:c r="A1076" s="12" t="str">
        <x:v>DP5-B</x:v>
      </x:c>
      <x:c r="B1076" s="12" t="str">
        <x:v>U16</x:v>
      </x:c>
      <x:c r="C1076" s="13" t="n">
        <x:v>-8</x:v>
      </x:c>
      <x:c r="D1076" s="12" t="str">
        <x:v>relation_cache</x:v>
      </x:c>
      <x:c r="E1076" s="13" t="n">
        <x:v>38</x:v>
      </x:c>
    </x:row>
    <x:row r="1077" ht="34" customHeight="1">
      <x:c r="A1077" s="7" t="str">
        <x:v>DP5-B</x:v>
      </x:c>
      <x:c r="B1077" s="7" t="str">
        <x:v>U16</x:v>
      </x:c>
      <x:c r="C1077" s="14" t="n">
        <x:v>-8</x:v>
      </x:c>
      <x:c r="D1077" s="7" t="str">
        <x:v>relation_prior:client</x:v>
      </x:c>
      <x:c r="E1077" s="14" t="n">
        <x:v>22.2</x:v>
      </x:c>
    </x:row>
    <x:row r="1078" ht="34" customHeight="1">
      <x:c r="A1078" s="12" t="str">
        <x:v>DP5-B</x:v>
      </x:c>
      <x:c r="B1078" s="12" t="str">
        <x:v>U16</x:v>
      </x:c>
      <x:c r="C1078" s="13" t="n">
        <x:v>-8</x:v>
      </x:c>
      <x:c r="D1078" s="12" t="str">
        <x:v>relation_prior:relation_producer</x:v>
      </x:c>
      <x:c r="E1078" s="13" t="n">
        <x:v>19</x:v>
      </x:c>
    </x:row>
    <x:row r="1079" ht="34" customHeight="1">
      <x:c r="A1079" s="7" t="str">
        <x:v>DP5-B</x:v>
      </x:c>
      <x:c r="B1079" s="7" t="str">
        <x:v>U16</x:v>
      </x:c>
      <x:c r="C1079" s="14" t="n">
        <x:v>-8</x:v>
      </x:c>
      <x:c r="D1079" s="7" t="str">
        <x:v>relation_unused:client</x:v>
      </x:c>
      <x:c r="E1079" s="14" t="n">
        <x:v>22.2</x:v>
      </x:c>
    </x:row>
    <x:row r="1080" ht="34" customHeight="1">
      <x:c r="A1080" s="12" t="str">
        <x:v>DP5-B</x:v>
      </x:c>
      <x:c r="B1080" s="12" t="str">
        <x:v>U16</x:v>
      </x:c>
      <x:c r="C1080" s="13" t="n">
        <x:v>-8</x:v>
      </x:c>
      <x:c r="D1080" s="12" t="str">
        <x:v>relation_unused:relation_producer</x:v>
      </x:c>
      <x:c r="E1080" s="13" t="n">
        <x:v>19</x:v>
      </x:c>
    </x:row>
    <x:row r="1081" ht="34" customHeight="1">
      <x:c r="A1081" s="7" t="str">
        <x:v>DP5-B</x:v>
      </x:c>
      <x:c r="B1081" s="7" t="str">
        <x:v>U16</x:v>
      </x:c>
      <x:c r="C1081" s="14" t="n">
        <x:v>-8</x:v>
      </x:c>
      <x:c r="D1081" s="7" t="str">
        <x:v>valid_audio</x:v>
      </x:c>
      <x:c r="E1081" s="14" t="n">
        <x:v>0</x:v>
      </x:c>
    </x:row>
    <x:row r="1082" ht="34" customHeight="1">
      <x:c r="A1082" s="12" t="str">
        <x:v>DP5-B</x:v>
      </x:c>
      <x:c r="B1082" s="12" t="str">
        <x:v>U17</x:v>
      </x:c>
      <x:c r="C1082" s="13" t="n">
        <x:v>0.3906666666666667</x:v>
      </x:c>
      <x:c r="D1082" s="12" t="str">
        <x:v>core_ui_mb</x:v>
      </x:c>
      <x:c r="E1082" s="13" t="n">
        <x:v>180</x:v>
      </x:c>
    </x:row>
    <x:row r="1083" ht="34" customHeight="1">
      <x:c r="A1083" s="7" t="str">
        <x:v>DP5-B</x:v>
      </x:c>
      <x:c r="B1083" s="7" t="str">
        <x:v>U17</x:v>
      </x:c>
      <x:c r="C1083" s="14" t="n">
        <x:v>0.3906666666666667</x:v>
      </x:c>
      <x:c r="D1083" s="7" t="str">
        <x:v>asr_audio_mb</x:v>
      </x:c>
      <x:c r="E1083" s="14" t="n">
        <x:v>220</x:v>
      </x:c>
    </x:row>
    <x:row r="1084" ht="34" customHeight="1">
      <x:c r="A1084" s="12" t="str">
        <x:v>DP5-B</x:v>
      </x:c>
      <x:c r="B1084" s="12" t="str">
        <x:v>U17</x:v>
      </x:c>
      <x:c r="C1084" s="13" t="n">
        <x:v>0.3906666666666667</x:v>
      </x:c>
      <x:c r="D1084" s="12" t="str">
        <x:v>source_ring_mb</x:v>
      </x:c>
      <x:c r="E1084" s="13" t="n">
        <x:v>96</x:v>
      </x:c>
    </x:row>
    <x:row r="1085" ht="34" customHeight="1">
      <x:c r="A1085" s="7" t="str">
        <x:v>DP5-B</x:v>
      </x:c>
      <x:c r="B1085" s="7" t="str">
        <x:v>U17</x:v>
      </x:c>
      <x:c r="C1085" s="14" t="n">
        <x:v>0.3906666666666667</x:v>
      </x:c>
      <x:c r="D1085" s="7" t="str">
        <x:v>common_history_mb</x:v>
      </x:c>
      <x:c r="E1085" s="14" t="n">
        <x:v>64</x:v>
      </x:c>
    </x:row>
    <x:row r="1086" ht="34" customHeight="1">
      <x:c r="A1086" s="12" t="str">
        <x:v>DP5-B</x:v>
      </x:c>
      <x:c r="B1086" s="12" t="str">
        <x:v>U17</x:v>
      </x:c>
      <x:c r="C1086" s="13" t="n">
        <x:v>0.3906666666666667</x:v>
      </x:c>
      <x:c r="D1086" s="12" t="str">
        <x:v>request</x:v>
      </x:c>
      <x:c r="E1086" s="13" t="n">
        <x:v>11</x:v>
      </x:c>
    </x:row>
    <x:row r="1087" ht="34" customHeight="1">
      <x:c r="A1087" s="7" t="str">
        <x:v>DP5-B</x:v>
      </x:c>
      <x:c r="B1087" s="7" t="str">
        <x:v>U17</x:v>
      </x:c>
      <x:c r="C1087" s="14" t="n">
        <x:v>0.3906666666666667</x:v>
      </x:c>
      <x:c r="D1087" s="7" t="str">
        <x:v>meaning:client</x:v>
      </x:c>
      <x:c r="E1087" s="14" t="n">
        <x:v>17.4</x:v>
      </x:c>
    </x:row>
    <x:row r="1088" ht="34" customHeight="1">
      <x:c r="A1088" s="12" t="str">
        <x:v>DP5-B</x:v>
      </x:c>
      <x:c r="B1088" s="12" t="str">
        <x:v>U17</x:v>
      </x:c>
      <x:c r="C1088" s="13" t="n">
        <x:v>0.3906666666666667</x:v>
      </x:c>
      <x:c r="D1088" s="12" t="str">
        <x:v>valid_audio</x:v>
      </x:c>
      <x:c r="E1088" s="13" t="n">
        <x:v>0.384</x:v>
      </x:c>
    </x:row>
    <x:row r="1089" ht="34" customHeight="1">
      <x:c r="A1089" s="7" t="str">
        <x:v>DP5-B</x:v>
      </x:c>
      <x:c r="B1089" s="7" t="str">
        <x:v>U18</x:v>
      </x:c>
      <x:c r="C1089" s="14" t="n">
        <x:v>0.8933333333333335</x:v>
      </x:c>
      <x:c r="D1089" s="7" t="str">
        <x:v>core_ui_mb</x:v>
      </x:c>
      <x:c r="E1089" s="14" t="n">
        <x:v>180</x:v>
      </x:c>
    </x:row>
    <x:row r="1090" ht="34" customHeight="1">
      <x:c r="A1090" s="12" t="str">
        <x:v>DP5-B</x:v>
      </x:c>
      <x:c r="B1090" s="12" t="str">
        <x:v>U18</x:v>
      </x:c>
      <x:c r="C1090" s="13" t="n">
        <x:v>0.8933333333333335</x:v>
      </x:c>
      <x:c r="D1090" s="12" t="str">
        <x:v>asr_audio_mb</x:v>
      </x:c>
      <x:c r="E1090" s="13" t="n">
        <x:v>220</x:v>
      </x:c>
    </x:row>
    <x:row r="1091" ht="34" customHeight="1">
      <x:c r="A1091" s="7" t="str">
        <x:v>DP5-B</x:v>
      </x:c>
      <x:c r="B1091" s="7" t="str">
        <x:v>U18</x:v>
      </x:c>
      <x:c r="C1091" s="14" t="n">
        <x:v>0.8933333333333335</x:v>
      </x:c>
      <x:c r="D1091" s="7" t="str">
        <x:v>source_ring_mb</x:v>
      </x:c>
      <x:c r="E1091" s="14" t="n">
        <x:v>96</x:v>
      </x:c>
    </x:row>
    <x:row r="1092" ht="34" customHeight="1">
      <x:c r="A1092" s="12" t="str">
        <x:v>DP5-B</x:v>
      </x:c>
      <x:c r="B1092" s="12" t="str">
        <x:v>U18</x:v>
      </x:c>
      <x:c r="C1092" s="13" t="n">
        <x:v>0.8933333333333335</x:v>
      </x:c>
      <x:c r="D1092" s="12" t="str">
        <x:v>common_history_mb</x:v>
      </x:c>
      <x:c r="E1092" s="13" t="n">
        <x:v>64</x:v>
      </x:c>
    </x:row>
    <x:row r="1093" ht="34" customHeight="1">
      <x:c r="A1093" s="7" t="str">
        <x:v>DP5-B</x:v>
      </x:c>
      <x:c r="B1093" s="7" t="str">
        <x:v>U18</x:v>
      </x:c>
      <x:c r="C1093" s="14" t="n">
        <x:v>0.8933333333333335</x:v>
      </x:c>
      <x:c r="D1093" s="7" t="str">
        <x:v>request</x:v>
      </x:c>
      <x:c r="E1093" s="14" t="n">
        <x:v>11</x:v>
      </x:c>
    </x:row>
    <x:row r="1094" ht="34" customHeight="1">
      <x:c r="A1094" s="12" t="str">
        <x:v>DP5-B</x:v>
      </x:c>
      <x:c r="B1094" s="12" t="str">
        <x:v>U18</x:v>
      </x:c>
      <x:c r="C1094" s="13" t="n">
        <x:v>0.8933333333333335</x:v>
      </x:c>
      <x:c r="D1094" s="12" t="str">
        <x:v>meaning:client</x:v>
      </x:c>
      <x:c r="E1094" s="13" t="n">
        <x:v>17.4</x:v>
      </x:c>
    </x:row>
    <x:row r="1095" ht="34" customHeight="1">
      <x:c r="A1095" s="7" t="str">
        <x:v>DP5-B</x:v>
      </x:c>
      <x:c r="B1095" s="7" t="str">
        <x:v>U18</x:v>
      </x:c>
      <x:c r="C1095" s="14" t="n">
        <x:v>0.8933333333333335</x:v>
      </x:c>
      <x:c r="D1095" s="7" t="str">
        <x:v>valid_audio</x:v>
      </x:c>
      <x:c r="E1095" s="14" t="n">
        <x:v>0.864</x:v>
      </x:c>
    </x:row>
    <x:row r="1096" ht="34" customHeight="1">
      <x:c r="A1096" s="12" t="str">
        <x:v>DP5-B</x:v>
      </x:c>
      <x:c r="B1096" s="12" t="str">
        <x:v>U19</x:v>
      </x:c>
      <x:c r="C1096" s="13" t="n">
        <x:v>1.47999999</x:v>
      </x:c>
      <x:c r="D1096" s="12" t="str">
        <x:v>core_ui_mb</x:v>
      </x:c>
      <x:c r="E1096" s="13" t="n">
        <x:v>180</x:v>
      </x:c>
    </x:row>
    <x:row r="1097" ht="34" customHeight="1">
      <x:c r="A1097" s="7" t="str">
        <x:v>DP5-B</x:v>
      </x:c>
      <x:c r="B1097" s="7" t="str">
        <x:v>U19</x:v>
      </x:c>
      <x:c r="C1097" s="14" t="n">
        <x:v>1.47999999</x:v>
      </x:c>
      <x:c r="D1097" s="7" t="str">
        <x:v>asr_audio_mb</x:v>
      </x:c>
      <x:c r="E1097" s="14" t="n">
        <x:v>220</x:v>
      </x:c>
    </x:row>
    <x:row r="1098" ht="34" customHeight="1">
      <x:c r="A1098" s="12" t="str">
        <x:v>DP5-B</x:v>
      </x:c>
      <x:c r="B1098" s="12" t="str">
        <x:v>U19</x:v>
      </x:c>
      <x:c r="C1098" s="13" t="n">
        <x:v>1.47999999</x:v>
      </x:c>
      <x:c r="D1098" s="12" t="str">
        <x:v>source_ring_mb</x:v>
      </x:c>
      <x:c r="E1098" s="13" t="n">
        <x:v>96</x:v>
      </x:c>
    </x:row>
    <x:row r="1099" ht="34" customHeight="1">
      <x:c r="A1099" s="7" t="str">
        <x:v>DP5-B</x:v>
      </x:c>
      <x:c r="B1099" s="7" t="str">
        <x:v>U19</x:v>
      </x:c>
      <x:c r="C1099" s="14" t="n">
        <x:v>1.47999999</x:v>
      </x:c>
      <x:c r="D1099" s="7" t="str">
        <x:v>common_history_mb</x:v>
      </x:c>
      <x:c r="E1099" s="14" t="n">
        <x:v>64</x:v>
      </x:c>
    </x:row>
    <x:row r="1100" ht="34" customHeight="1">
      <x:c r="A1100" s="12" t="str">
        <x:v>DP5-B</x:v>
      </x:c>
      <x:c r="B1100" s="12" t="str">
        <x:v>U19</x:v>
      </x:c>
      <x:c r="C1100" s="13" t="n">
        <x:v>1.47999999</x:v>
      </x:c>
      <x:c r="D1100" s="12" t="str">
        <x:v>request</x:v>
      </x:c>
      <x:c r="E1100" s="13" t="n">
        <x:v>11</x:v>
      </x:c>
    </x:row>
    <x:row r="1101" ht="34" customHeight="1">
      <x:c r="A1101" s="7" t="str">
        <x:v>DP5-B</x:v>
      </x:c>
      <x:c r="B1101" s="7" t="str">
        <x:v>U19</x:v>
      </x:c>
      <x:c r="C1101" s="14" t="n">
        <x:v>1.47999999</x:v>
      </x:c>
      <x:c r="D1101" s="7" t="str">
        <x:v>meaning:client</x:v>
      </x:c>
      <x:c r="E1101" s="14" t="n">
        <x:v>17.4</x:v>
      </x:c>
    </x:row>
    <x:row r="1102" ht="34" customHeight="1">
      <x:c r="A1102" s="12" t="str">
        <x:v>DP5-B</x:v>
      </x:c>
      <x:c r="B1102" s="12" t="str">
        <x:v>U19</x:v>
      </x:c>
      <x:c r="C1102" s="13" t="n">
        <x:v>1.47999999</x:v>
      </x:c>
      <x:c r="D1102" s="12" t="str">
        <x:v>valid_audio</x:v>
      </x:c>
      <x:c r="E1102" s="13" t="n">
        <x:v>0.87398399808</x:v>
      </x:c>
    </x:row>
    <x:row r="1103" ht="34" customHeight="1">
      <x:c r="A1103" s="7" t="str">
        <x:v>DP5-B</x:v>
      </x:c>
      <x:c r="B1103" s="7" t="str">
        <x:v>U20</x:v>
      </x:c>
      <x:c r="C1103" s="14" t="n">
        <x:v>0.38</x:v>
      </x:c>
      <x:c r="D1103" s="7" t="str">
        <x:v>core_ui_mb</x:v>
      </x:c>
      <x:c r="E1103" s="14" t="n">
        <x:v>180</x:v>
      </x:c>
    </x:row>
    <x:row r="1104" ht="34" customHeight="1">
      <x:c r="A1104" s="12" t="str">
        <x:v>DP5-B</x:v>
      </x:c>
      <x:c r="B1104" s="12" t="str">
        <x:v>U20</x:v>
      </x:c>
      <x:c r="C1104" s="13" t="n">
        <x:v>0.38</x:v>
      </x:c>
      <x:c r="D1104" s="12" t="str">
        <x:v>asr_audio_mb</x:v>
      </x:c>
      <x:c r="E1104" s="13" t="n">
        <x:v>220</x:v>
      </x:c>
    </x:row>
    <x:row r="1105" ht="34" customHeight="1">
      <x:c r="A1105" s="7" t="str">
        <x:v>DP5-B</x:v>
      </x:c>
      <x:c r="B1105" s="7" t="str">
        <x:v>U20</x:v>
      </x:c>
      <x:c r="C1105" s="14" t="n">
        <x:v>0.38</x:v>
      </x:c>
      <x:c r="D1105" s="7" t="str">
        <x:v>source_ring_mb</x:v>
      </x:c>
      <x:c r="E1105" s="14" t="n">
        <x:v>96</x:v>
      </x:c>
    </x:row>
    <x:row r="1106" ht="34" customHeight="1">
      <x:c r="A1106" s="12" t="str">
        <x:v>DP5-B</x:v>
      </x:c>
      <x:c r="B1106" s="12" t="str">
        <x:v>U20</x:v>
      </x:c>
      <x:c r="C1106" s="13" t="n">
        <x:v>0.38</x:v>
      </x:c>
      <x:c r="D1106" s="12" t="str">
        <x:v>common_history_mb</x:v>
      </x:c>
      <x:c r="E1106" s="13" t="n">
        <x:v>64</x:v>
      </x:c>
    </x:row>
    <x:row r="1107" ht="34" customHeight="1">
      <x:c r="A1107" s="7" t="str">
        <x:v>DP5-B</x:v>
      </x:c>
      <x:c r="B1107" s="7" t="str">
        <x:v>U20</x:v>
      </x:c>
      <x:c r="C1107" s="14" t="n">
        <x:v>0.38</x:v>
      </x:c>
      <x:c r="D1107" s="7" t="str">
        <x:v>request</x:v>
      </x:c>
      <x:c r="E1107" s="14" t="n">
        <x:v>11</x:v>
      </x:c>
    </x:row>
    <x:row r="1108" ht="34" customHeight="1">
      <x:c r="A1108" s="12" t="str">
        <x:v>DP5-B</x:v>
      </x:c>
      <x:c r="B1108" s="12" t="str">
        <x:v>U20</x:v>
      </x:c>
      <x:c r="C1108" s="13" t="n">
        <x:v>0.38</x:v>
      </x:c>
      <x:c r="D1108" s="12" t="str">
        <x:v>meaning:client</x:v>
      </x:c>
      <x:c r="E1108" s="13" t="n">
        <x:v>17.4</x:v>
      </x:c>
    </x:row>
    <x:row r="1109" ht="34" customHeight="1">
      <x:c r="A1109" s="7" t="str">
        <x:v>DP5-B</x:v>
      </x:c>
      <x:c r="B1109" s="7" t="str">
        <x:v>U20</x:v>
      </x:c>
      <x:c r="C1109" s="14" t="n">
        <x:v>0.38</x:v>
      </x:c>
      <x:c r="D1109" s="7" t="str">
        <x:v>valid_audio</x:v>
      </x:c>
      <x:c r="E1109" s="14" t="n">
        <x:v>0.5760000000000001</x:v>
      </x:c>
    </x:row>
    <x:row r="1110" ht="34" customHeight="1">
      <x:c r="A1110" s="12" t="str">
        <x:v>DP5-B</x:v>
      </x:c>
      <x:c r="B1110" s="12" t="str">
        <x:v>U21</x:v>
      </x:c>
      <x:c r="C1110" s="13" t="n">
        <x:v>-8</x:v>
      </x:c>
      <x:c r="D1110" s="12" t="str">
        <x:v>core_ui_mb</x:v>
      </x:c>
      <x:c r="E1110" s="13" t="n">
        <x:v>180</x:v>
      </x:c>
    </x:row>
    <x:row r="1111" ht="34" customHeight="1">
      <x:c r="A1111" s="7" t="str">
        <x:v>DP5-B</x:v>
      </x:c>
      <x:c r="B1111" s="7" t="str">
        <x:v>U21</x:v>
      </x:c>
      <x:c r="C1111" s="14" t="n">
        <x:v>-8</x:v>
      </x:c>
      <x:c r="D1111" s="7" t="str">
        <x:v>asr_audio_mb</x:v>
      </x:c>
      <x:c r="E1111" s="14" t="n">
        <x:v>220</x:v>
      </x:c>
    </x:row>
    <x:row r="1112" ht="34" customHeight="1">
      <x:c r="A1112" s="12" t="str">
        <x:v>DP5-B</x:v>
      </x:c>
      <x:c r="B1112" s="12" t="str">
        <x:v>U21</x:v>
      </x:c>
      <x:c r="C1112" s="13" t="n">
        <x:v>-8</x:v>
      </x:c>
      <x:c r="D1112" s="12" t="str">
        <x:v>source_ring_mb</x:v>
      </x:c>
      <x:c r="E1112" s="13" t="n">
        <x:v>96</x:v>
      </x:c>
    </x:row>
    <x:row r="1113" ht="34" customHeight="1">
      <x:c r="A1113" s="7" t="str">
        <x:v>DP5-B</x:v>
      </x:c>
      <x:c r="B1113" s="7" t="str">
        <x:v>U21</x:v>
      </x:c>
      <x:c r="C1113" s="14" t="n">
        <x:v>-8</x:v>
      </x:c>
      <x:c r="D1113" s="7" t="str">
        <x:v>common_history_mb</x:v>
      </x:c>
      <x:c r="E1113" s="14" t="n">
        <x:v>64</x:v>
      </x:c>
    </x:row>
    <x:row r="1114" ht="34" customHeight="1">
      <x:c r="A1114" s="12" t="str">
        <x:v>DP5-B</x:v>
      </x:c>
      <x:c r="B1114" s="12" t="str">
        <x:v>U21</x:v>
      </x:c>
      <x:c r="C1114" s="13" t="n">
        <x:v>-8</x:v>
      </x:c>
      <x:c r="D1114" s="12" t="str">
        <x:v>relation_cache</x:v>
      </x:c>
      <x:c r="E1114" s="13" t="n">
        <x:v>38</x:v>
      </x:c>
    </x:row>
    <x:row r="1115" ht="34" customHeight="1">
      <x:c r="A1115" s="7" t="str">
        <x:v>DP5-B</x:v>
      </x:c>
      <x:c r="B1115" s="7" t="str">
        <x:v>U21</x:v>
      </x:c>
      <x:c r="C1115" s="14" t="n">
        <x:v>-8</x:v>
      </x:c>
      <x:c r="D1115" s="7" t="str">
        <x:v>relation_prior:client</x:v>
      </x:c>
      <x:c r="E1115" s="14" t="n">
        <x:v>22.2</x:v>
      </x:c>
    </x:row>
    <x:row r="1116" ht="34" customHeight="1">
      <x:c r="A1116" s="12" t="str">
        <x:v>DP5-B</x:v>
      </x:c>
      <x:c r="B1116" s="12" t="str">
        <x:v>U21</x:v>
      </x:c>
      <x:c r="C1116" s="13" t="n">
        <x:v>-8</x:v>
      </x:c>
      <x:c r="D1116" s="12" t="str">
        <x:v>relation_prior:relation_producer</x:v>
      </x:c>
      <x:c r="E1116" s="13" t="n">
        <x:v>19</x:v>
      </x:c>
    </x:row>
    <x:row r="1117" ht="34" customHeight="1">
      <x:c r="A1117" s="7" t="str">
        <x:v>DP5-B</x:v>
      </x:c>
      <x:c r="B1117" s="7" t="str">
        <x:v>U21</x:v>
      </x:c>
      <x:c r="C1117" s="14" t="n">
        <x:v>-8</x:v>
      </x:c>
      <x:c r="D1117" s="7" t="str">
        <x:v>relation_unused:client</x:v>
      </x:c>
      <x:c r="E1117" s="14" t="n">
        <x:v>22.2</x:v>
      </x:c>
    </x:row>
    <x:row r="1118" ht="34" customHeight="1">
      <x:c r="A1118" s="12" t="str">
        <x:v>DP5-B</x:v>
      </x:c>
      <x:c r="B1118" s="12" t="str">
        <x:v>U21</x:v>
      </x:c>
      <x:c r="C1118" s="13" t="n">
        <x:v>-8</x:v>
      </x:c>
      <x:c r="D1118" s="12" t="str">
        <x:v>relation_unused:relation_producer</x:v>
      </x:c>
      <x:c r="E1118" s="13" t="n">
        <x:v>19</x:v>
      </x:c>
    </x:row>
    <x:row r="1119" ht="34" customHeight="1">
      <x:c r="A1119" s="7" t="str">
        <x:v>DP5-B</x:v>
      </x:c>
      <x:c r="B1119" s="7" t="str">
        <x:v>U21</x:v>
      </x:c>
      <x:c r="C1119" s="14" t="n">
        <x:v>-8</x:v>
      </x:c>
      <x:c r="D1119" s="7" t="str">
        <x:v>valid_audio</x:v>
      </x:c>
      <x:c r="E1119" s="14" t="n">
        <x:v>0</x:v>
      </x:c>
    </x:row>
    <x:row r="1120" ht="34" customHeight="1">
      <x:c r="A1120" s="12" t="str">
        <x:v>DP5-B</x:v>
      </x:c>
      <x:c r="B1120" s="12" t="str">
        <x:v>U22</x:v>
      </x:c>
      <x:c r="C1120" s="13" t="n">
        <x:v>0.46</x:v>
      </x:c>
      <x:c r="D1120" s="12" t="str">
        <x:v>core_ui_mb</x:v>
      </x:c>
      <x:c r="E1120" s="13" t="n">
        <x:v>180</x:v>
      </x:c>
    </x:row>
    <x:row r="1121" ht="34" customHeight="1">
      <x:c r="A1121" s="7" t="str">
        <x:v>DP5-B</x:v>
      </x:c>
      <x:c r="B1121" s="7" t="str">
        <x:v>U22</x:v>
      </x:c>
      <x:c r="C1121" s="14" t="n">
        <x:v>0.46</x:v>
      </x:c>
      <x:c r="D1121" s="7" t="str">
        <x:v>asr_audio_mb</x:v>
      </x:c>
      <x:c r="E1121" s="14" t="n">
        <x:v>220</x:v>
      </x:c>
    </x:row>
    <x:row r="1122" ht="34" customHeight="1">
      <x:c r="A1122" s="12" t="str">
        <x:v>DP5-B</x:v>
      </x:c>
      <x:c r="B1122" s="12" t="str">
        <x:v>U22</x:v>
      </x:c>
      <x:c r="C1122" s="13" t="n">
        <x:v>0.46</x:v>
      </x:c>
      <x:c r="D1122" s="12" t="str">
        <x:v>source_ring_mb</x:v>
      </x:c>
      <x:c r="E1122" s="13" t="n">
        <x:v>96</x:v>
      </x:c>
    </x:row>
    <x:row r="1123" ht="34" customHeight="1">
      <x:c r="A1123" s="7" t="str">
        <x:v>DP5-B</x:v>
      </x:c>
      <x:c r="B1123" s="7" t="str">
        <x:v>U22</x:v>
      </x:c>
      <x:c r="C1123" s="14" t="n">
        <x:v>0.46</x:v>
      </x:c>
      <x:c r="D1123" s="7" t="str">
        <x:v>common_history_mb</x:v>
      </x:c>
      <x:c r="E1123" s="14" t="n">
        <x:v>64</x:v>
      </x:c>
    </x:row>
    <x:row r="1124" ht="34" customHeight="1">
      <x:c r="A1124" s="12" t="str">
        <x:v>DP5-B</x:v>
      </x:c>
      <x:c r="B1124" s="12" t="str">
        <x:v>U22</x:v>
      </x:c>
      <x:c r="C1124" s="13" t="n">
        <x:v>0.46</x:v>
      </x:c>
      <x:c r="D1124" s="12" t="str">
        <x:v>request</x:v>
      </x:c>
      <x:c r="E1124" s="13" t="n">
        <x:v>11</x:v>
      </x:c>
    </x:row>
    <x:row r="1125" ht="34" customHeight="1">
      <x:c r="A1125" s="7" t="str">
        <x:v>DP5-B</x:v>
      </x:c>
      <x:c r="B1125" s="7" t="str">
        <x:v>U22</x:v>
      </x:c>
      <x:c r="C1125" s="14" t="n">
        <x:v>0.46</x:v>
      </x:c>
      <x:c r="D1125" s="7" t="str">
        <x:v>meaning:client</x:v>
      </x:c>
      <x:c r="E1125" s="14" t="n">
        <x:v>24.6</x:v>
      </x:c>
    </x:row>
    <x:row r="1126" ht="34" customHeight="1">
      <x:c r="A1126" s="12" t="str">
        <x:v>DP5-B</x:v>
      </x:c>
      <x:c r="B1126" s="12" t="str">
        <x:v>U22</x:v>
      </x:c>
      <x:c r="C1126" s="13" t="n">
        <x:v>0.46</x:v>
      </x:c>
      <x:c r="D1126" s="12" t="str">
        <x:v>cloud_image_buffer</x:v>
      </x:c>
      <x:c r="E1126" s="13" t="n">
        <x:v>32</x:v>
      </x:c>
    </x:row>
    <x:row r="1127" ht="34" customHeight="1">
      <x:c r="A1127" s="7" t="str">
        <x:v>DP5-B</x:v>
      </x:c>
      <x:c r="B1127" s="7" t="str">
        <x:v>U22</x:v>
      </x:c>
      <x:c r="C1127" s="14" t="n">
        <x:v>0.46</x:v>
      </x:c>
      <x:c r="D1127" s="7" t="str">
        <x:v>valid_audio</x:v>
      </x:c>
      <x:c r="E1127" s="14" t="n">
        <x:v>0.28800000000000003</x:v>
      </x:c>
    </x:row>
    <x:row r="1128" ht="34" customHeight="1">
      <x:c r="A1128" s="12" t="str">
        <x:v>DP5-B</x:v>
      </x:c>
      <x:c r="B1128" s="12" t="str">
        <x:v>U23</x:v>
      </x:c>
      <x:c r="C1128" s="13" t="n">
        <x:v>-8</x:v>
      </x:c>
      <x:c r="D1128" s="12" t="str">
        <x:v>core_ui_mb</x:v>
      </x:c>
      <x:c r="E1128" s="13" t="n">
        <x:v>180</x:v>
      </x:c>
    </x:row>
    <x:row r="1129" ht="34" customHeight="1">
      <x:c r="A1129" s="7" t="str">
        <x:v>DP5-B</x:v>
      </x:c>
      <x:c r="B1129" s="7" t="str">
        <x:v>U23</x:v>
      </x:c>
      <x:c r="C1129" s="14" t="n">
        <x:v>-8</x:v>
      </x:c>
      <x:c r="D1129" s="7" t="str">
        <x:v>asr_audio_mb</x:v>
      </x:c>
      <x:c r="E1129" s="14" t="n">
        <x:v>220</x:v>
      </x:c>
    </x:row>
    <x:row r="1130" ht="34" customHeight="1">
      <x:c r="A1130" s="12" t="str">
        <x:v>DP5-B</x:v>
      </x:c>
      <x:c r="B1130" s="12" t="str">
        <x:v>U23</x:v>
      </x:c>
      <x:c r="C1130" s="13" t="n">
        <x:v>-8</x:v>
      </x:c>
      <x:c r="D1130" s="12" t="str">
        <x:v>source_ring_mb</x:v>
      </x:c>
      <x:c r="E1130" s="13" t="n">
        <x:v>96</x:v>
      </x:c>
    </x:row>
    <x:row r="1131" ht="34" customHeight="1">
      <x:c r="A1131" s="7" t="str">
        <x:v>DP5-B</x:v>
      </x:c>
      <x:c r="B1131" s="7" t="str">
        <x:v>U23</x:v>
      </x:c>
      <x:c r="C1131" s="14" t="n">
        <x:v>-8</x:v>
      </x:c>
      <x:c r="D1131" s="7" t="str">
        <x:v>common_history_mb</x:v>
      </x:c>
      <x:c r="E1131" s="14" t="n">
        <x:v>64</x:v>
      </x:c>
    </x:row>
    <x:row r="1132" ht="34" customHeight="1">
      <x:c r="A1132" s="12" t="str">
        <x:v>DP5-B</x:v>
      </x:c>
      <x:c r="B1132" s="12" t="str">
        <x:v>U23</x:v>
      </x:c>
      <x:c r="C1132" s="13" t="n">
        <x:v>-8</x:v>
      </x:c>
      <x:c r="D1132" s="12" t="str">
        <x:v>relation_cache</x:v>
      </x:c>
      <x:c r="E1132" s="13" t="n">
        <x:v>38</x:v>
      </x:c>
    </x:row>
    <x:row r="1133" ht="34" customHeight="1">
      <x:c r="A1133" s="7" t="str">
        <x:v>DP5-B</x:v>
      </x:c>
      <x:c r="B1133" s="7" t="str">
        <x:v>U23</x:v>
      </x:c>
      <x:c r="C1133" s="14" t="n">
        <x:v>-8</x:v>
      </x:c>
      <x:c r="D1133" s="7" t="str">
        <x:v>relation_prior:client</x:v>
      </x:c>
      <x:c r="E1133" s="14" t="n">
        <x:v>22.2</x:v>
      </x:c>
    </x:row>
    <x:row r="1134" ht="34" customHeight="1">
      <x:c r="A1134" s="12" t="str">
        <x:v>DP5-B</x:v>
      </x:c>
      <x:c r="B1134" s="12" t="str">
        <x:v>U23</x:v>
      </x:c>
      <x:c r="C1134" s="13" t="n">
        <x:v>-8</x:v>
      </x:c>
      <x:c r="D1134" s="12" t="str">
        <x:v>relation_prior:relation_producer</x:v>
      </x:c>
      <x:c r="E1134" s="13" t="n">
        <x:v>19</x:v>
      </x:c>
    </x:row>
    <x:row r="1135" ht="34" customHeight="1">
      <x:c r="A1135" s="7" t="str">
        <x:v>DP5-B</x:v>
      </x:c>
      <x:c r="B1135" s="7" t="str">
        <x:v>U23</x:v>
      </x:c>
      <x:c r="C1135" s="14" t="n">
        <x:v>-8</x:v>
      </x:c>
      <x:c r="D1135" s="7" t="str">
        <x:v>relation_unused:client</x:v>
      </x:c>
      <x:c r="E1135" s="14" t="n">
        <x:v>22.2</x:v>
      </x:c>
    </x:row>
    <x:row r="1136" ht="34" customHeight="1">
      <x:c r="A1136" s="12" t="str">
        <x:v>DP5-B</x:v>
      </x:c>
      <x:c r="B1136" s="12" t="str">
        <x:v>U23</x:v>
      </x:c>
      <x:c r="C1136" s="13" t="n">
        <x:v>-8</x:v>
      </x:c>
      <x:c r="D1136" s="12" t="str">
        <x:v>relation_unused:relation_producer</x:v>
      </x:c>
      <x:c r="E1136" s="13" t="n">
        <x:v>19</x:v>
      </x:c>
    </x:row>
    <x:row r="1137" ht="34" customHeight="1">
      <x:c r="A1137" s="7" t="str">
        <x:v>DP5-B</x:v>
      </x:c>
      <x:c r="B1137" s="7" t="str">
        <x:v>U23</x:v>
      </x:c>
      <x:c r="C1137" s="14" t="n">
        <x:v>-8</x:v>
      </x:c>
      <x:c r="D1137" s="7" t="str">
        <x:v>valid_audio</x:v>
      </x:c>
      <x:c r="E1137" s="14" t="n">
        <x:v>0</x:v>
      </x:c>
    </x:row>
    <x:row r="1138" ht="34" customHeight="1">
      <x:c r="A1138" s="12" t="str">
        <x:v>DP5-B</x:v>
      </x:c>
      <x:c r="B1138" s="12" t="str">
        <x:v>U24</x:v>
      </x:c>
      <x:c r="C1138" s="13" t="n">
        <x:v>0.38</x:v>
      </x:c>
      <x:c r="D1138" s="12" t="str">
        <x:v>core_ui_mb</x:v>
      </x:c>
      <x:c r="E1138" s="13" t="n">
        <x:v>180</x:v>
      </x:c>
    </x:row>
    <x:row r="1139" ht="34" customHeight="1">
      <x:c r="A1139" s="7" t="str">
        <x:v>DP5-B</x:v>
      </x:c>
      <x:c r="B1139" s="7" t="str">
        <x:v>U24</x:v>
      </x:c>
      <x:c r="C1139" s="14" t="n">
        <x:v>0.38</x:v>
      </x:c>
      <x:c r="D1139" s="7" t="str">
        <x:v>asr_audio_mb</x:v>
      </x:c>
      <x:c r="E1139" s="14" t="n">
        <x:v>220</x:v>
      </x:c>
    </x:row>
    <x:row r="1140" ht="34" customHeight="1">
      <x:c r="A1140" s="12" t="str">
        <x:v>DP5-B</x:v>
      </x:c>
      <x:c r="B1140" s="12" t="str">
        <x:v>U24</x:v>
      </x:c>
      <x:c r="C1140" s="13" t="n">
        <x:v>0.38</x:v>
      </x:c>
      <x:c r="D1140" s="12" t="str">
        <x:v>source_ring_mb</x:v>
      </x:c>
      <x:c r="E1140" s="13" t="n">
        <x:v>96</x:v>
      </x:c>
    </x:row>
    <x:row r="1141" ht="34" customHeight="1">
      <x:c r="A1141" s="7" t="str">
        <x:v>DP5-B</x:v>
      </x:c>
      <x:c r="B1141" s="7" t="str">
        <x:v>U24</x:v>
      </x:c>
      <x:c r="C1141" s="14" t="n">
        <x:v>0.38</x:v>
      </x:c>
      <x:c r="D1141" s="7" t="str">
        <x:v>common_history_mb</x:v>
      </x:c>
      <x:c r="E1141" s="14" t="n">
        <x:v>64</x:v>
      </x:c>
    </x:row>
    <x:row r="1142" ht="34" customHeight="1">
      <x:c r="A1142" s="12" t="str">
        <x:v>DP5-B</x:v>
      </x:c>
      <x:c r="B1142" s="12" t="str">
        <x:v>U24</x:v>
      </x:c>
      <x:c r="C1142" s="13" t="n">
        <x:v>0.38</x:v>
      </x:c>
      <x:c r="D1142" s="12" t="str">
        <x:v>request</x:v>
      </x:c>
      <x:c r="E1142" s="13" t="n">
        <x:v>11</x:v>
      </x:c>
    </x:row>
    <x:row r="1143" ht="34" customHeight="1">
      <x:c r="A1143" s="7" t="str">
        <x:v>DP5-B</x:v>
      </x:c>
      <x:c r="B1143" s="7" t="str">
        <x:v>U24</x:v>
      </x:c>
      <x:c r="C1143" s="14" t="n">
        <x:v>0.38</x:v>
      </x:c>
      <x:c r="D1143" s="7" t="str">
        <x:v>relation_cache</x:v>
      </x:c>
      <x:c r="E1143" s="14" t="n">
        <x:v>38</x:v>
      </x:c>
    </x:row>
    <x:row r="1144" ht="34" customHeight="1">
      <x:c r="A1144" s="12" t="str">
        <x:v>DP5-B</x:v>
      </x:c>
      <x:c r="B1144" s="12" t="str">
        <x:v>U24</x:v>
      </x:c>
      <x:c r="C1144" s="13" t="n">
        <x:v>0.38</x:v>
      </x:c>
      <x:c r="D1144" s="12" t="str">
        <x:v>bg1:client</x:v>
      </x:c>
      <x:c r="E1144" s="13" t="n">
        <x:v>19.8</x:v>
      </x:c>
    </x:row>
    <x:row r="1145" ht="34" customHeight="1">
      <x:c r="A1145" s="7" t="str">
        <x:v>DP5-B</x:v>
      </x:c>
      <x:c r="B1145" s="7" t="str">
        <x:v>U24</x:v>
      </x:c>
      <x:c r="C1145" s="14" t="n">
        <x:v>0.38</x:v>
      </x:c>
      <x:c r="D1145" s="7" t="str">
        <x:v>relation_update:client</x:v>
      </x:c>
      <x:c r="E1145" s="14" t="n">
        <x:v>22.2</x:v>
      </x:c>
    </x:row>
    <x:row r="1146" ht="34" customHeight="1">
      <x:c r="A1146" s="12" t="str">
        <x:v>DP5-B</x:v>
      </x:c>
      <x:c r="B1146" s="12" t="str">
        <x:v>U24</x:v>
      </x:c>
      <x:c r="C1146" s="13" t="n">
        <x:v>0.38</x:v>
      </x:c>
      <x:c r="D1146" s="12" t="str">
        <x:v>relation_update:relation_producer</x:v>
      </x:c>
      <x:c r="E1146" s="13" t="n">
        <x:v>19</x:v>
      </x:c>
    </x:row>
    <x:row r="1147" ht="34" customHeight="1">
      <x:c r="A1147" s="7" t="str">
        <x:v>DP5-B</x:v>
      </x:c>
      <x:c r="B1147" s="7" t="str">
        <x:v>U24</x:v>
      </x:c>
      <x:c r="C1147" s="14" t="n">
        <x:v>0.38</x:v>
      </x:c>
      <x:c r="D1147" s="7" t="str">
        <x:v>cloud_image_buffer</x:v>
      </x:c>
      <x:c r="E1147" s="14" t="n">
        <x:v>32</x:v>
      </x:c>
    </x:row>
    <x:row r="1148" ht="34" customHeight="1">
      <x:c r="A1148" s="12" t="str">
        <x:v>DP5-B</x:v>
      </x:c>
      <x:c r="B1148" s="12" t="str">
        <x:v>U24</x:v>
      </x:c>
      <x:c r="C1148" s="13" t="n">
        <x:v>0.38</x:v>
      </x:c>
      <x:c r="D1148" s="12" t="str">
        <x:v>valid_audio</x:v>
      </x:c>
      <x:c r="E1148" s="13" t="n">
        <x:v>0</x:v>
      </x:c>
    </x:row>
    <x:row r="1149" ht="34" customHeight="1">
      <x:c r="A1149" s="7" t="str">
        <x:v>DP44-B</x:v>
      </x:c>
      <x:c r="B1149" s="7" t="str">
        <x:v>U01</x:v>
      </x:c>
      <x:c r="C1149" s="14" t="n">
        <x:v>0.14</x:v>
      </x:c>
      <x:c r="D1149" s="7" t="str">
        <x:v>core_ui_mb</x:v>
      </x:c>
      <x:c r="E1149" s="14" t="n">
        <x:v>180</x:v>
      </x:c>
    </x:row>
    <x:row r="1150" ht="34" customHeight="1">
      <x:c r="A1150" s="12" t="str">
        <x:v>DP44-B</x:v>
      </x:c>
      <x:c r="B1150" s="12" t="str">
        <x:v>U01</x:v>
      </x:c>
      <x:c r="C1150" s="13" t="n">
        <x:v>0.14</x:v>
      </x:c>
      <x:c r="D1150" s="12" t="str">
        <x:v>asr_audio_mb</x:v>
      </x:c>
      <x:c r="E1150" s="13" t="n">
        <x:v>220</x:v>
      </x:c>
    </x:row>
    <x:row r="1151" ht="34" customHeight="1">
      <x:c r="A1151" s="7" t="str">
        <x:v>DP44-B</x:v>
      </x:c>
      <x:c r="B1151" s="7" t="str">
        <x:v>U01</x:v>
      </x:c>
      <x:c r="C1151" s="14" t="n">
        <x:v>0.14</x:v>
      </x:c>
      <x:c r="D1151" s="7" t="str">
        <x:v>source_ring_mb</x:v>
      </x:c>
      <x:c r="E1151" s="14" t="n">
        <x:v>96</x:v>
      </x:c>
    </x:row>
    <x:row r="1152" ht="34" customHeight="1">
      <x:c r="A1152" s="12" t="str">
        <x:v>DP44-B</x:v>
      </x:c>
      <x:c r="B1152" s="12" t="str">
        <x:v>U01</x:v>
      </x:c>
      <x:c r="C1152" s="13" t="n">
        <x:v>0.14</x:v>
      </x:c>
      <x:c r="D1152" s="12" t="str">
        <x:v>common_history_mb</x:v>
      </x:c>
      <x:c r="E1152" s="13" t="n">
        <x:v>64</x:v>
      </x:c>
    </x:row>
    <x:row r="1153" ht="34" customHeight="1">
      <x:c r="A1153" s="7" t="str">
        <x:v>DP44-B</x:v>
      </x:c>
      <x:c r="B1153" s="7" t="str">
        <x:v>U01</x:v>
      </x:c>
      <x:c r="C1153" s="14" t="n">
        <x:v>0.14</x:v>
      </x:c>
      <x:c r="D1153" s="7" t="str">
        <x:v>request</x:v>
      </x:c>
      <x:c r="E1153" s="14" t="n">
        <x:v>11</x:v>
      </x:c>
    </x:row>
    <x:row r="1154" ht="34" customHeight="1">
      <x:c r="A1154" s="12" t="str">
        <x:v>DP44-B</x:v>
      </x:c>
      <x:c r="B1154" s="12" t="str">
        <x:v>U01</x:v>
      </x:c>
      <x:c r="C1154" s="13" t="n">
        <x:v>0.14</x:v>
      </x:c>
      <x:c r="D1154" s="12" t="str">
        <x:v>meaning:client</x:v>
      </x:c>
      <x:c r="E1154" s="13" t="n">
        <x:v>17.4</x:v>
      </x:c>
    </x:row>
    <x:row r="1155" ht="34" customHeight="1">
      <x:c r="A1155" s="7" t="str">
        <x:v>DP44-B</x:v>
      </x:c>
      <x:c r="B1155" s="7" t="str">
        <x:v>U01</x:v>
      </x:c>
      <x:c r="C1155" s="14" t="n">
        <x:v>0.14</x:v>
      </x:c>
      <x:c r="D1155" s="7" t="str">
        <x:v>valid_audio</x:v>
      </x:c>
      <x:c r="E1155" s="14" t="n">
        <x:v>0</x:v>
      </x:c>
    </x:row>
    <x:row r="1156" ht="34" customHeight="1">
      <x:c r="A1156" s="12" t="str">
        <x:v>DP44-B</x:v>
      </x:c>
      <x:c r="B1156" s="12" t="str">
        <x:v>U02</x:v>
      </x:c>
      <x:c r="C1156" s="13" t="n">
        <x:v>0.38</x:v>
      </x:c>
      <x:c r="D1156" s="12" t="str">
        <x:v>core_ui_mb</x:v>
      </x:c>
      <x:c r="E1156" s="13" t="n">
        <x:v>180</x:v>
      </x:c>
    </x:row>
    <x:row r="1157" ht="34" customHeight="1">
      <x:c r="A1157" s="7" t="str">
        <x:v>DP44-B</x:v>
      </x:c>
      <x:c r="B1157" s="7" t="str">
        <x:v>U02</x:v>
      </x:c>
      <x:c r="C1157" s="14" t="n">
        <x:v>0.38</x:v>
      </x:c>
      <x:c r="D1157" s="7" t="str">
        <x:v>asr_audio_mb</x:v>
      </x:c>
      <x:c r="E1157" s="14" t="n">
        <x:v>220</x:v>
      </x:c>
    </x:row>
    <x:row r="1158" ht="34" customHeight="1">
      <x:c r="A1158" s="12" t="str">
        <x:v>DP44-B</x:v>
      </x:c>
      <x:c r="B1158" s="12" t="str">
        <x:v>U02</x:v>
      </x:c>
      <x:c r="C1158" s="13" t="n">
        <x:v>0.38</x:v>
      </x:c>
      <x:c r="D1158" s="12" t="str">
        <x:v>source_ring_mb</x:v>
      </x:c>
      <x:c r="E1158" s="13" t="n">
        <x:v>96</x:v>
      </x:c>
    </x:row>
    <x:row r="1159" ht="34" customHeight="1">
      <x:c r="A1159" s="7" t="str">
        <x:v>DP44-B</x:v>
      </x:c>
      <x:c r="B1159" s="7" t="str">
        <x:v>U02</x:v>
      </x:c>
      <x:c r="C1159" s="14" t="n">
        <x:v>0.38</x:v>
      </x:c>
      <x:c r="D1159" s="7" t="str">
        <x:v>common_history_mb</x:v>
      </x:c>
      <x:c r="E1159" s="14" t="n">
        <x:v>64</x:v>
      </x:c>
    </x:row>
    <x:row r="1160" ht="34" customHeight="1">
      <x:c r="A1160" s="12" t="str">
        <x:v>DP44-B</x:v>
      </x:c>
      <x:c r="B1160" s="12" t="str">
        <x:v>U02</x:v>
      </x:c>
      <x:c r="C1160" s="13" t="n">
        <x:v>0.38</x:v>
      </x:c>
      <x:c r="D1160" s="12" t="str">
        <x:v>request</x:v>
      </x:c>
      <x:c r="E1160" s="13" t="n">
        <x:v>11</x:v>
      </x:c>
    </x:row>
    <x:row r="1161" ht="34" customHeight="1">
      <x:c r="A1161" s="7" t="str">
        <x:v>DP44-B</x:v>
      </x:c>
      <x:c r="B1161" s="7" t="str">
        <x:v>U02</x:v>
      </x:c>
      <x:c r="C1161" s="14" t="n">
        <x:v>0.38</x:v>
      </x:c>
      <x:c r="D1161" s="7" t="str">
        <x:v>meaning:client</x:v>
      </x:c>
      <x:c r="E1161" s="14" t="n">
        <x:v>17.4</x:v>
      </x:c>
    </x:row>
    <x:row r="1162" ht="34" customHeight="1">
      <x:c r="A1162" s="12" t="str">
        <x:v>DP44-B</x:v>
      </x:c>
      <x:c r="B1162" s="12" t="str">
        <x:v>U02</x:v>
      </x:c>
      <x:c r="C1162" s="13" t="n">
        <x:v>0.38</x:v>
      </x:c>
      <x:c r="D1162" s="12" t="str">
        <x:v>valid_audio</x:v>
      </x:c>
      <x:c r="E1162" s="13" t="n">
        <x:v>0</x:v>
      </x:c>
    </x:row>
    <x:row r="1163" ht="34" customHeight="1">
      <x:c r="A1163" s="7" t="str">
        <x:v>DP44-B</x:v>
      </x:c>
      <x:c r="B1163" s="7" t="str">
        <x:v>U03</x:v>
      </x:c>
      <x:c r="C1163" s="14" t="n">
        <x:v>2.404</x:v>
      </x:c>
      <x:c r="D1163" s="7" t="str">
        <x:v>core_ui_mb</x:v>
      </x:c>
      <x:c r="E1163" s="14" t="n">
        <x:v>180</x:v>
      </x:c>
    </x:row>
    <x:row r="1164" ht="34" customHeight="1">
      <x:c r="A1164" s="12" t="str">
        <x:v>DP44-B</x:v>
      </x:c>
      <x:c r="B1164" s="12" t="str">
        <x:v>U03</x:v>
      </x:c>
      <x:c r="C1164" s="13" t="n">
        <x:v>2.404</x:v>
      </x:c>
      <x:c r="D1164" s="12" t="str">
        <x:v>asr_audio_mb</x:v>
      </x:c>
      <x:c r="E1164" s="13" t="n">
        <x:v>220</x:v>
      </x:c>
    </x:row>
    <x:row r="1165" ht="34" customHeight="1">
      <x:c r="A1165" s="7" t="str">
        <x:v>DP44-B</x:v>
      </x:c>
      <x:c r="B1165" s="7" t="str">
        <x:v>U03</x:v>
      </x:c>
      <x:c r="C1165" s="14" t="n">
        <x:v>2.404</x:v>
      </x:c>
      <x:c r="D1165" s="7" t="str">
        <x:v>source_ring_mb</x:v>
      </x:c>
      <x:c r="E1165" s="14" t="n">
        <x:v>96</x:v>
      </x:c>
    </x:row>
    <x:row r="1166" ht="34" customHeight="1">
      <x:c r="A1166" s="12" t="str">
        <x:v>DP44-B</x:v>
      </x:c>
      <x:c r="B1166" s="12" t="str">
        <x:v>U03</x:v>
      </x:c>
      <x:c r="C1166" s="13" t="n">
        <x:v>2.404</x:v>
      </x:c>
      <x:c r="D1166" s="12" t="str">
        <x:v>common_history_mb</x:v>
      </x:c>
      <x:c r="E1166" s="13" t="n">
        <x:v>64</x:v>
      </x:c>
    </x:row>
    <x:row r="1167" ht="34" customHeight="1">
      <x:c r="A1167" s="7" t="str">
        <x:v>DP44-B</x:v>
      </x:c>
      <x:c r="B1167" s="7" t="str">
        <x:v>U03</x:v>
      </x:c>
      <x:c r="C1167" s="14" t="n">
        <x:v>2.404</x:v>
      </x:c>
      <x:c r="D1167" s="7" t="str">
        <x:v>request</x:v>
      </x:c>
      <x:c r="E1167" s="14" t="n">
        <x:v>11</x:v>
      </x:c>
    </x:row>
    <x:row r="1168" ht="34" customHeight="1">
      <x:c r="A1168" s="12" t="str">
        <x:v>DP44-B</x:v>
      </x:c>
      <x:c r="B1168" s="12" t="str">
        <x:v>U03</x:v>
      </x:c>
      <x:c r="C1168" s="13" t="n">
        <x:v>2.404</x:v>
      </x:c>
      <x:c r="D1168" s="12" t="str">
        <x:v>long_work:client</x:v>
      </x:c>
      <x:c r="E1168" s="13" t="n">
        <x:v>19.8</x:v>
      </x:c>
    </x:row>
    <x:row r="1169" ht="34" customHeight="1">
      <x:c r="A1169" s="7" t="str">
        <x:v>DP44-B</x:v>
      </x:c>
      <x:c r="B1169" s="7" t="str">
        <x:v>U03</x:v>
      </x:c>
      <x:c r="C1169" s="14" t="n">
        <x:v>2.404</x:v>
      </x:c>
      <x:c r="D1169" s="7" t="str">
        <x:v>valid_audio</x:v>
      </x:c>
      <x:c r="E1169" s="14" t="n">
        <x:v>0.14399999999999993</x:v>
      </x:c>
    </x:row>
    <x:row r="1170" ht="34" customHeight="1">
      <x:c r="A1170" s="12" t="str">
        <x:v>DP44-B</x:v>
      </x:c>
      <x:c r="B1170" s="12" t="str">
        <x:v>U04</x:v>
      </x:c>
      <x:c r="C1170" s="13" t="n">
        <x:v>0.38</x:v>
      </x:c>
      <x:c r="D1170" s="12" t="str">
        <x:v>core_ui_mb</x:v>
      </x:c>
      <x:c r="E1170" s="13" t="n">
        <x:v>180</x:v>
      </x:c>
    </x:row>
    <x:row r="1171" ht="34" customHeight="1">
      <x:c r="A1171" s="7" t="str">
        <x:v>DP44-B</x:v>
      </x:c>
      <x:c r="B1171" s="7" t="str">
        <x:v>U04</x:v>
      </x:c>
      <x:c r="C1171" s="14" t="n">
        <x:v>0.38</x:v>
      </x:c>
      <x:c r="D1171" s="7" t="str">
        <x:v>asr_audio_mb</x:v>
      </x:c>
      <x:c r="E1171" s="14" t="n">
        <x:v>220</x:v>
      </x:c>
    </x:row>
    <x:row r="1172" ht="34" customHeight="1">
      <x:c r="A1172" s="12" t="str">
        <x:v>DP44-B</x:v>
      </x:c>
      <x:c r="B1172" s="12" t="str">
        <x:v>U04</x:v>
      </x:c>
      <x:c r="C1172" s="13" t="n">
        <x:v>0.38</x:v>
      </x:c>
      <x:c r="D1172" s="12" t="str">
        <x:v>source_ring_mb</x:v>
      </x:c>
      <x:c r="E1172" s="13" t="n">
        <x:v>96</x:v>
      </x:c>
    </x:row>
    <x:row r="1173" ht="34" customHeight="1">
      <x:c r="A1173" s="7" t="str">
        <x:v>DP44-B</x:v>
      </x:c>
      <x:c r="B1173" s="7" t="str">
        <x:v>U04</x:v>
      </x:c>
      <x:c r="C1173" s="14" t="n">
        <x:v>0.38</x:v>
      </x:c>
      <x:c r="D1173" s="7" t="str">
        <x:v>common_history_mb</x:v>
      </x:c>
      <x:c r="E1173" s="14" t="n">
        <x:v>64</x:v>
      </x:c>
    </x:row>
    <x:row r="1174" ht="34" customHeight="1">
      <x:c r="A1174" s="12" t="str">
        <x:v>DP44-B</x:v>
      </x:c>
      <x:c r="B1174" s="12" t="str">
        <x:v>U04</x:v>
      </x:c>
      <x:c r="C1174" s="13" t="n">
        <x:v>0.38</x:v>
      </x:c>
      <x:c r="D1174" s="12" t="str">
        <x:v>request</x:v>
      </x:c>
      <x:c r="E1174" s="13" t="n">
        <x:v>11</x:v>
      </x:c>
    </x:row>
    <x:row r="1175" ht="34" customHeight="1">
      <x:c r="A1175" s="7" t="str">
        <x:v>DP44-B</x:v>
      </x:c>
      <x:c r="B1175" s="7" t="str">
        <x:v>U04</x:v>
      </x:c>
      <x:c r="C1175" s="14" t="n">
        <x:v>0.38</x:v>
      </x:c>
      <x:c r="D1175" s="7" t="str">
        <x:v>meaning:client</x:v>
      </x:c>
      <x:c r="E1175" s="14" t="n">
        <x:v>17.4</x:v>
      </x:c>
    </x:row>
    <x:row r="1176" ht="34" customHeight="1">
      <x:c r="A1176" s="12" t="str">
        <x:v>DP44-B</x:v>
      </x:c>
      <x:c r="B1176" s="12" t="str">
        <x:v>U04</x:v>
      </x:c>
      <x:c r="C1176" s="13" t="n">
        <x:v>0.38</x:v>
      </x:c>
      <x:c r="D1176" s="12" t="str">
        <x:v>valid_audio</x:v>
      </x:c>
      <x:c r="E1176" s="13" t="n">
        <x:v>0</x:v>
      </x:c>
    </x:row>
    <x:row r="1177" ht="34" customHeight="1">
      <x:c r="A1177" s="7" t="str">
        <x:v>DP44-B</x:v>
      </x:c>
      <x:c r="B1177" s="7" t="str">
        <x:v>U05</x:v>
      </x:c>
      <x:c r="C1177" s="14" t="n">
        <x:v>0</x:v>
      </x:c>
      <x:c r="D1177" s="7" t="str">
        <x:v>core_ui_mb</x:v>
      </x:c>
      <x:c r="E1177" s="14" t="n">
        <x:v>180</x:v>
      </x:c>
    </x:row>
    <x:row r="1178" ht="34" customHeight="1">
      <x:c r="A1178" s="12" t="str">
        <x:v>DP44-B</x:v>
      </x:c>
      <x:c r="B1178" s="12" t="str">
        <x:v>U05</x:v>
      </x:c>
      <x:c r="C1178" s="13" t="n">
        <x:v>0</x:v>
      </x:c>
      <x:c r="D1178" s="12" t="str">
        <x:v>asr_audio_mb</x:v>
      </x:c>
      <x:c r="E1178" s="13" t="n">
        <x:v>220</x:v>
      </x:c>
    </x:row>
    <x:row r="1179" ht="34" customHeight="1">
      <x:c r="A1179" s="7" t="str">
        <x:v>DP44-B</x:v>
      </x:c>
      <x:c r="B1179" s="7" t="str">
        <x:v>U05</x:v>
      </x:c>
      <x:c r="C1179" s="14" t="n">
        <x:v>0</x:v>
      </x:c>
      <x:c r="D1179" s="7" t="str">
        <x:v>source_ring_mb</x:v>
      </x:c>
      <x:c r="E1179" s="14" t="n">
        <x:v>96</x:v>
      </x:c>
    </x:row>
    <x:row r="1180" ht="34" customHeight="1">
      <x:c r="A1180" s="12" t="str">
        <x:v>DP44-B</x:v>
      </x:c>
      <x:c r="B1180" s="12" t="str">
        <x:v>U05</x:v>
      </x:c>
      <x:c r="C1180" s="13" t="n">
        <x:v>0</x:v>
      </x:c>
      <x:c r="D1180" s="12" t="str">
        <x:v>common_history_mb</x:v>
      </x:c>
      <x:c r="E1180" s="13" t="n">
        <x:v>64</x:v>
      </x:c>
    </x:row>
    <x:row r="1181" ht="34" customHeight="1">
      <x:c r="A1181" s="7" t="str">
        <x:v>DP44-B</x:v>
      </x:c>
      <x:c r="B1181" s="7" t="str">
        <x:v>U05</x:v>
      </x:c>
      <x:c r="C1181" s="14" t="n">
        <x:v>0</x:v>
      </x:c>
      <x:c r="D1181" s="7" t="str">
        <x:v>request</x:v>
      </x:c>
      <x:c r="E1181" s="14" t="n">
        <x:v>11</x:v>
      </x:c>
    </x:row>
    <x:row r="1182" ht="34" customHeight="1">
      <x:c r="A1182" s="12" t="str">
        <x:v>DP44-B</x:v>
      </x:c>
      <x:c r="B1182" s="12" t="str">
        <x:v>U05</x:v>
      </x:c>
      <x:c r="C1182" s="13" t="n">
        <x:v>0</x:v>
      </x:c>
      <x:c r="D1182" s="12" t="str">
        <x:v>bg1:client</x:v>
      </x:c>
      <x:c r="E1182" s="13" t="n">
        <x:v>19.8</x:v>
      </x:c>
    </x:row>
    <x:row r="1183" ht="34" customHeight="1">
      <x:c r="A1183" s="7" t="str">
        <x:v>DP44-B</x:v>
      </x:c>
      <x:c r="B1183" s="7" t="str">
        <x:v>U05</x:v>
      </x:c>
      <x:c r="C1183" s="14" t="n">
        <x:v>0</x:v>
      </x:c>
      <x:c r="D1183" s="7" t="str">
        <x:v>valid_audio</x:v>
      </x:c>
      <x:c r="E1183" s="14" t="n">
        <x:v>0</x:v>
      </x:c>
    </x:row>
    <x:row r="1184" ht="34" customHeight="1">
      <x:c r="A1184" s="12" t="str">
        <x:v>DP44-B</x:v>
      </x:c>
      <x:c r="B1184" s="12" t="str">
        <x:v>U06</x:v>
      </x:c>
      <x:c r="C1184" s="13" t="n">
        <x:v>4.664</x:v>
      </x:c>
      <x:c r="D1184" s="12" t="str">
        <x:v>core_ui_mb</x:v>
      </x:c>
      <x:c r="E1184" s="13" t="n">
        <x:v>180</x:v>
      </x:c>
    </x:row>
    <x:row r="1185" ht="34" customHeight="1">
      <x:c r="A1185" s="7" t="str">
        <x:v>DP44-B</x:v>
      </x:c>
      <x:c r="B1185" s="7" t="str">
        <x:v>U06</x:v>
      </x:c>
      <x:c r="C1185" s="14" t="n">
        <x:v>4.664</x:v>
      </x:c>
      <x:c r="D1185" s="7" t="str">
        <x:v>asr_audio_mb</x:v>
      </x:c>
      <x:c r="E1185" s="14" t="n">
        <x:v>220</x:v>
      </x:c>
    </x:row>
    <x:row r="1186" ht="34" customHeight="1">
      <x:c r="A1186" s="12" t="str">
        <x:v>DP44-B</x:v>
      </x:c>
      <x:c r="B1186" s="12" t="str">
        <x:v>U06</x:v>
      </x:c>
      <x:c r="C1186" s="13" t="n">
        <x:v>4.664</x:v>
      </x:c>
      <x:c r="D1186" s="12" t="str">
        <x:v>source_ring_mb</x:v>
      </x:c>
      <x:c r="E1186" s="13" t="n">
        <x:v>96</x:v>
      </x:c>
    </x:row>
    <x:row r="1187" ht="34" customHeight="1">
      <x:c r="A1187" s="7" t="str">
        <x:v>DP44-B</x:v>
      </x:c>
      <x:c r="B1187" s="7" t="str">
        <x:v>U06</x:v>
      </x:c>
      <x:c r="C1187" s="14" t="n">
        <x:v>4.664</x:v>
      </x:c>
      <x:c r="D1187" s="7" t="str">
        <x:v>common_history_mb</x:v>
      </x:c>
      <x:c r="E1187" s="14" t="n">
        <x:v>64</x:v>
      </x:c>
    </x:row>
    <x:row r="1188" ht="34" customHeight="1">
      <x:c r="A1188" s="12" t="str">
        <x:v>DP44-B</x:v>
      </x:c>
      <x:c r="B1188" s="12" t="str">
        <x:v>U06</x:v>
      </x:c>
      <x:c r="C1188" s="13" t="n">
        <x:v>4.664</x:v>
      </x:c>
      <x:c r="D1188" s="12" t="str">
        <x:v>request</x:v>
      </x:c>
      <x:c r="E1188" s="13" t="n">
        <x:v>11</x:v>
      </x:c>
    </x:row>
    <x:row r="1189" ht="34" customHeight="1">
      <x:c r="A1189" s="7" t="str">
        <x:v>DP44-B</x:v>
      </x:c>
      <x:c r="B1189" s="7" t="str">
        <x:v>U06</x:v>
      </x:c>
      <x:c r="C1189" s="14" t="n">
        <x:v>4.664</x:v>
      </x:c>
      <x:c r="D1189" s="7" t="str">
        <x:v>long_work:client</x:v>
      </x:c>
      <x:c r="E1189" s="14" t="n">
        <x:v>19.8</x:v>
      </x:c>
    </x:row>
    <x:row r="1190" ht="34" customHeight="1">
      <x:c r="A1190" s="12" t="str">
        <x:v>DP44-B</x:v>
      </x:c>
      <x:c r="B1190" s="12" t="str">
        <x:v>U06</x:v>
      </x:c>
      <x:c r="C1190" s="13" t="n">
        <x:v>4.664</x:v>
      </x:c>
      <x:c r="D1190" s="12" t="str">
        <x:v>valid_audio</x:v>
      </x:c>
      <x:c r="E1190" s="13" t="n">
        <x:v>0.144</x:v>
      </x:c>
    </x:row>
    <x:row r="1191" ht="34" customHeight="1">
      <x:c r="A1191" s="7" t="str">
        <x:v>DP44-B</x:v>
      </x:c>
      <x:c r="B1191" s="7" t="str">
        <x:v>U07</x:v>
      </x:c>
      <x:c r="C1191" s="14" t="n">
        <x:v>0</x:v>
      </x:c>
      <x:c r="D1191" s="7" t="str">
        <x:v>core_ui_mb</x:v>
      </x:c>
      <x:c r="E1191" s="14" t="n">
        <x:v>180</x:v>
      </x:c>
    </x:row>
    <x:row r="1192" ht="34" customHeight="1">
      <x:c r="A1192" s="12" t="str">
        <x:v>DP44-B</x:v>
      </x:c>
      <x:c r="B1192" s="12" t="str">
        <x:v>U07</x:v>
      </x:c>
      <x:c r="C1192" s="13" t="n">
        <x:v>0</x:v>
      </x:c>
      <x:c r="D1192" s="12" t="str">
        <x:v>asr_audio_mb</x:v>
      </x:c>
      <x:c r="E1192" s="13" t="n">
        <x:v>220</x:v>
      </x:c>
    </x:row>
    <x:row r="1193" ht="34" customHeight="1">
      <x:c r="A1193" s="7" t="str">
        <x:v>DP44-B</x:v>
      </x:c>
      <x:c r="B1193" s="7" t="str">
        <x:v>U07</x:v>
      </x:c>
      <x:c r="C1193" s="14" t="n">
        <x:v>0</x:v>
      </x:c>
      <x:c r="D1193" s="7" t="str">
        <x:v>source_ring_mb</x:v>
      </x:c>
      <x:c r="E1193" s="14" t="n">
        <x:v>96</x:v>
      </x:c>
    </x:row>
    <x:row r="1194" ht="34" customHeight="1">
      <x:c r="A1194" s="12" t="str">
        <x:v>DP44-B</x:v>
      </x:c>
      <x:c r="B1194" s="12" t="str">
        <x:v>U07</x:v>
      </x:c>
      <x:c r="C1194" s="13" t="n">
        <x:v>0</x:v>
      </x:c>
      <x:c r="D1194" s="12" t="str">
        <x:v>common_history_mb</x:v>
      </x:c>
      <x:c r="E1194" s="13" t="n">
        <x:v>64</x:v>
      </x:c>
    </x:row>
    <x:row r="1195" ht="34" customHeight="1">
      <x:c r="A1195" s="7" t="str">
        <x:v>DP44-B</x:v>
      </x:c>
      <x:c r="B1195" s="7" t="str">
        <x:v>U07</x:v>
      </x:c>
      <x:c r="C1195" s="14" t="n">
        <x:v>0</x:v>
      </x:c>
      <x:c r="D1195" s="7" t="str">
        <x:v>request</x:v>
      </x:c>
      <x:c r="E1195" s="14" t="n">
        <x:v>11</x:v>
      </x:c>
    </x:row>
    <x:row r="1196" ht="34" customHeight="1">
      <x:c r="A1196" s="12" t="str">
        <x:v>DP44-B</x:v>
      </x:c>
      <x:c r="B1196" s="12" t="str">
        <x:v>U07</x:v>
      </x:c>
      <x:c r="C1196" s="13" t="n">
        <x:v>0</x:v>
      </x:c>
      <x:c r="D1196" s="12" t="str">
        <x:v>bg1:client</x:v>
      </x:c>
      <x:c r="E1196" s="13" t="n">
        <x:v>19.8</x:v>
      </x:c>
    </x:row>
    <x:row r="1197" ht="34" customHeight="1">
      <x:c r="A1197" s="7" t="str">
        <x:v>DP44-B</x:v>
      </x:c>
      <x:c r="B1197" s="7" t="str">
        <x:v>U07</x:v>
      </x:c>
      <x:c r="C1197" s="14" t="n">
        <x:v>0</x:v>
      </x:c>
      <x:c r="D1197" s="7" t="str">
        <x:v>bg2:client</x:v>
      </x:c>
      <x:c r="E1197" s="14" t="n">
        <x:v>19.8</x:v>
      </x:c>
    </x:row>
    <x:row r="1198" ht="34" customHeight="1">
      <x:c r="A1198" s="12" t="str">
        <x:v>DP44-B</x:v>
      </x:c>
      <x:c r="B1198" s="12" t="str">
        <x:v>U07</x:v>
      </x:c>
      <x:c r="C1198" s="13" t="n">
        <x:v>0</x:v>
      </x:c>
      <x:c r="D1198" s="12" t="str">
        <x:v>valid_audio</x:v>
      </x:c>
      <x:c r="E1198" s="13" t="n">
        <x:v>0</x:v>
      </x:c>
    </x:row>
    <x:row r="1199" ht="34" customHeight="1">
      <x:c r="A1199" s="7" t="str">
        <x:v>DP44-B</x:v>
      </x:c>
      <x:c r="B1199" s="7" t="str">
        <x:v>U08</x:v>
      </x:c>
      <x:c r="C1199" s="14" t="n">
        <x:v>4.664</x:v>
      </x:c>
      <x:c r="D1199" s="7" t="str">
        <x:v>core_ui_mb</x:v>
      </x:c>
      <x:c r="E1199" s="14" t="n">
        <x:v>180</x:v>
      </x:c>
    </x:row>
    <x:row r="1200" ht="34" customHeight="1">
      <x:c r="A1200" s="12" t="str">
        <x:v>DP44-B</x:v>
      </x:c>
      <x:c r="B1200" s="12" t="str">
        <x:v>U08</x:v>
      </x:c>
      <x:c r="C1200" s="13" t="n">
        <x:v>4.664</x:v>
      </x:c>
      <x:c r="D1200" s="12" t="str">
        <x:v>asr_audio_mb</x:v>
      </x:c>
      <x:c r="E1200" s="13" t="n">
        <x:v>220</x:v>
      </x:c>
    </x:row>
    <x:row r="1201" ht="34" customHeight="1">
      <x:c r="A1201" s="7" t="str">
        <x:v>DP44-B</x:v>
      </x:c>
      <x:c r="B1201" s="7" t="str">
        <x:v>U08</x:v>
      </x:c>
      <x:c r="C1201" s="14" t="n">
        <x:v>4.664</x:v>
      </x:c>
      <x:c r="D1201" s="7" t="str">
        <x:v>source_ring_mb</x:v>
      </x:c>
      <x:c r="E1201" s="14" t="n">
        <x:v>96</x:v>
      </x:c>
    </x:row>
    <x:row r="1202" ht="34" customHeight="1">
      <x:c r="A1202" s="12" t="str">
        <x:v>DP44-B</x:v>
      </x:c>
      <x:c r="B1202" s="12" t="str">
        <x:v>U08</x:v>
      </x:c>
      <x:c r="C1202" s="13" t="n">
        <x:v>4.664</x:v>
      </x:c>
      <x:c r="D1202" s="12" t="str">
        <x:v>common_history_mb</x:v>
      </x:c>
      <x:c r="E1202" s="13" t="n">
        <x:v>64</x:v>
      </x:c>
    </x:row>
    <x:row r="1203" ht="34" customHeight="1">
      <x:c r="A1203" s="7" t="str">
        <x:v>DP44-B</x:v>
      </x:c>
      <x:c r="B1203" s="7" t="str">
        <x:v>U08</x:v>
      </x:c>
      <x:c r="C1203" s="14" t="n">
        <x:v>4.664</x:v>
      </x:c>
      <x:c r="D1203" s="7" t="str">
        <x:v>request</x:v>
      </x:c>
      <x:c r="E1203" s="14" t="n">
        <x:v>11</x:v>
      </x:c>
    </x:row>
    <x:row r="1204" ht="34" customHeight="1">
      <x:c r="A1204" s="12" t="str">
        <x:v>DP44-B</x:v>
      </x:c>
      <x:c r="B1204" s="12" t="str">
        <x:v>U08</x:v>
      </x:c>
      <x:c r="C1204" s="13" t="n">
        <x:v>4.664</x:v>
      </x:c>
      <x:c r="D1204" s="12" t="str">
        <x:v>long_work:client</x:v>
      </x:c>
      <x:c r="E1204" s="13" t="n">
        <x:v>19.8</x:v>
      </x:c>
    </x:row>
    <x:row r="1205" ht="34" customHeight="1">
      <x:c r="A1205" s="7" t="str">
        <x:v>DP44-B</x:v>
      </x:c>
      <x:c r="B1205" s="7" t="str">
        <x:v>U08</x:v>
      </x:c>
      <x:c r="C1205" s="14" t="n">
        <x:v>4.664</x:v>
      </x:c>
      <x:c r="D1205" s="7" t="str">
        <x:v>valid_audio</x:v>
      </x:c>
      <x:c r="E1205" s="14" t="n">
        <x:v>0.144</x:v>
      </x:c>
    </x:row>
    <x:row r="1206" ht="34" customHeight="1">
      <x:c r="A1206" s="12" t="str">
        <x:v>DP44-B</x:v>
      </x:c>
      <x:c r="B1206" s="12" t="str">
        <x:v>U09</x:v>
      </x:c>
      <x:c r="C1206" s="13" t="n">
        <x:v>0.46</x:v>
      </x:c>
      <x:c r="D1206" s="12" t="str">
        <x:v>core_ui_mb</x:v>
      </x:c>
      <x:c r="E1206" s="13" t="n">
        <x:v>180</x:v>
      </x:c>
    </x:row>
    <x:row r="1207" ht="34" customHeight="1">
      <x:c r="A1207" s="7" t="str">
        <x:v>DP44-B</x:v>
      </x:c>
      <x:c r="B1207" s="7" t="str">
        <x:v>U09</x:v>
      </x:c>
      <x:c r="C1207" s="14" t="n">
        <x:v>0.46</x:v>
      </x:c>
      <x:c r="D1207" s="7" t="str">
        <x:v>asr_audio_mb</x:v>
      </x:c>
      <x:c r="E1207" s="14" t="n">
        <x:v>220</x:v>
      </x:c>
    </x:row>
    <x:row r="1208" ht="34" customHeight="1">
      <x:c r="A1208" s="12" t="str">
        <x:v>DP44-B</x:v>
      </x:c>
      <x:c r="B1208" s="12" t="str">
        <x:v>U09</x:v>
      </x:c>
      <x:c r="C1208" s="13" t="n">
        <x:v>0.46</x:v>
      </x:c>
      <x:c r="D1208" s="12" t="str">
        <x:v>source_ring_mb</x:v>
      </x:c>
      <x:c r="E1208" s="13" t="n">
        <x:v>96</x:v>
      </x:c>
    </x:row>
    <x:row r="1209" ht="34" customHeight="1">
      <x:c r="A1209" s="7" t="str">
        <x:v>DP44-B</x:v>
      </x:c>
      <x:c r="B1209" s="7" t="str">
        <x:v>U09</x:v>
      </x:c>
      <x:c r="C1209" s="14" t="n">
        <x:v>0.46</x:v>
      </x:c>
      <x:c r="D1209" s="7" t="str">
        <x:v>common_history_mb</x:v>
      </x:c>
      <x:c r="E1209" s="14" t="n">
        <x:v>64</x:v>
      </x:c>
    </x:row>
    <x:row r="1210" ht="34" customHeight="1">
      <x:c r="A1210" s="12" t="str">
        <x:v>DP44-B</x:v>
      </x:c>
      <x:c r="B1210" s="12" t="str">
        <x:v>U09</x:v>
      </x:c>
      <x:c r="C1210" s="13" t="n">
        <x:v>0.46</x:v>
      </x:c>
      <x:c r="D1210" s="12" t="str">
        <x:v>request</x:v>
      </x:c>
      <x:c r="E1210" s="13" t="n">
        <x:v>11</x:v>
      </x:c>
    </x:row>
    <x:row r="1211" ht="34" customHeight="1">
      <x:c r="A1211" s="7" t="str">
        <x:v>DP44-B</x:v>
      </x:c>
      <x:c r="B1211" s="7" t="str">
        <x:v>U09</x:v>
      </x:c>
      <x:c r="C1211" s="14" t="n">
        <x:v>0.46</x:v>
      </x:c>
      <x:c r="D1211" s="7" t="str">
        <x:v>meaning:client</x:v>
      </x:c>
      <x:c r="E1211" s="14" t="n">
        <x:v>17.4</x:v>
      </x:c>
    </x:row>
    <x:row r="1212" ht="34" customHeight="1">
      <x:c r="A1212" s="12" t="str">
        <x:v>DP44-B</x:v>
      </x:c>
      <x:c r="B1212" s="12" t="str">
        <x:v>U09</x:v>
      </x:c>
      <x:c r="C1212" s="13" t="n">
        <x:v>0.46</x:v>
      </x:c>
      <x:c r="D1212" s="12" t="str">
        <x:v>valid_audio</x:v>
      </x:c>
      <x:c r="E1212" s="13" t="n">
        <x:v>0</x:v>
      </x:c>
    </x:row>
    <x:row r="1213" ht="34" customHeight="1">
      <x:c r="A1213" s="7" t="str">
        <x:v>DP44-B</x:v>
      </x:c>
      <x:c r="B1213" s="7" t="str">
        <x:v>U10</x:v>
      </x:c>
      <x:c r="C1213" s="14" t="n">
        <x:v>0.38</x:v>
      </x:c>
      <x:c r="D1213" s="7" t="str">
        <x:v>core_ui_mb</x:v>
      </x:c>
      <x:c r="E1213" s="14" t="n">
        <x:v>180</x:v>
      </x:c>
    </x:row>
    <x:row r="1214" ht="34" customHeight="1">
      <x:c r="A1214" s="12" t="str">
        <x:v>DP44-B</x:v>
      </x:c>
      <x:c r="B1214" s="12" t="str">
        <x:v>U10</x:v>
      </x:c>
      <x:c r="C1214" s="13" t="n">
        <x:v>0.38</x:v>
      </x:c>
      <x:c r="D1214" s="12" t="str">
        <x:v>asr_audio_mb</x:v>
      </x:c>
      <x:c r="E1214" s="13" t="n">
        <x:v>220</x:v>
      </x:c>
    </x:row>
    <x:row r="1215" ht="34" customHeight="1">
      <x:c r="A1215" s="7" t="str">
        <x:v>DP44-B</x:v>
      </x:c>
      <x:c r="B1215" s="7" t="str">
        <x:v>U10</x:v>
      </x:c>
      <x:c r="C1215" s="14" t="n">
        <x:v>0.38</x:v>
      </x:c>
      <x:c r="D1215" s="7" t="str">
        <x:v>source_ring_mb</x:v>
      </x:c>
      <x:c r="E1215" s="14" t="n">
        <x:v>96</x:v>
      </x:c>
    </x:row>
    <x:row r="1216" ht="34" customHeight="1">
      <x:c r="A1216" s="12" t="str">
        <x:v>DP44-B</x:v>
      </x:c>
      <x:c r="B1216" s="12" t="str">
        <x:v>U10</x:v>
      </x:c>
      <x:c r="C1216" s="13" t="n">
        <x:v>0.38</x:v>
      </x:c>
      <x:c r="D1216" s="12" t="str">
        <x:v>common_history_mb</x:v>
      </x:c>
      <x:c r="E1216" s="13" t="n">
        <x:v>64</x:v>
      </x:c>
    </x:row>
    <x:row r="1217" ht="34" customHeight="1">
      <x:c r="A1217" s="7" t="str">
        <x:v>DP44-B</x:v>
      </x:c>
      <x:c r="B1217" s="7" t="str">
        <x:v>U10</x:v>
      </x:c>
      <x:c r="C1217" s="14" t="n">
        <x:v>0.38</x:v>
      </x:c>
      <x:c r="D1217" s="7" t="str">
        <x:v>request</x:v>
      </x:c>
      <x:c r="E1217" s="14" t="n">
        <x:v>11</x:v>
      </x:c>
    </x:row>
    <x:row r="1218" ht="34" customHeight="1">
      <x:c r="A1218" s="12" t="str">
        <x:v>DP44-B</x:v>
      </x:c>
      <x:c r="B1218" s="12" t="str">
        <x:v>U10</x:v>
      </x:c>
      <x:c r="C1218" s="13" t="n">
        <x:v>0.38</x:v>
      </x:c>
      <x:c r="D1218" s="12" t="str">
        <x:v>meaning:client</x:v>
      </x:c>
      <x:c r="E1218" s="13" t="n">
        <x:v>24.6</x:v>
      </x:c>
    </x:row>
    <x:row r="1219" ht="34" customHeight="1">
      <x:c r="A1219" s="7" t="str">
        <x:v>DP44-B</x:v>
      </x:c>
      <x:c r="B1219" s="7" t="str">
        <x:v>U10</x:v>
      </x:c>
      <x:c r="C1219" s="14" t="n">
        <x:v>0.38</x:v>
      </x:c>
      <x:c r="D1219" s="7" t="str">
        <x:v>cloud_image_buffer</x:v>
      </x:c>
      <x:c r="E1219" s="14" t="n">
        <x:v>32</x:v>
      </x:c>
    </x:row>
    <x:row r="1220" ht="34" customHeight="1">
      <x:c r="A1220" s="12" t="str">
        <x:v>DP44-B</x:v>
      </x:c>
      <x:c r="B1220" s="12" t="str">
        <x:v>U10</x:v>
      </x:c>
      <x:c r="C1220" s="13" t="n">
        <x:v>0.38</x:v>
      </x:c>
      <x:c r="D1220" s="12" t="str">
        <x:v>valid_audio</x:v>
      </x:c>
      <x:c r="E1220" s="13" t="n">
        <x:v>0</x:v>
      </x:c>
    </x:row>
    <x:row r="1221" ht="34" customHeight="1">
      <x:c r="A1221" s="7" t="str">
        <x:v>DP44-B</x:v>
      </x:c>
      <x:c r="B1221" s="7" t="str">
        <x:v>U11</x:v>
      </x:c>
      <x:c r="C1221" s="14" t="n">
        <x:v>0.38</x:v>
      </x:c>
      <x:c r="D1221" s="7" t="str">
        <x:v>core_ui_mb</x:v>
      </x:c>
      <x:c r="E1221" s="14" t="n">
        <x:v>180</x:v>
      </x:c>
    </x:row>
    <x:row r="1222" ht="34" customHeight="1">
      <x:c r="A1222" s="12" t="str">
        <x:v>DP44-B</x:v>
      </x:c>
      <x:c r="B1222" s="12" t="str">
        <x:v>U11</x:v>
      </x:c>
      <x:c r="C1222" s="13" t="n">
        <x:v>0.38</x:v>
      </x:c>
      <x:c r="D1222" s="12" t="str">
        <x:v>asr_audio_mb</x:v>
      </x:c>
      <x:c r="E1222" s="13" t="n">
        <x:v>220</x:v>
      </x:c>
    </x:row>
    <x:row r="1223" ht="34" customHeight="1">
      <x:c r="A1223" s="7" t="str">
        <x:v>DP44-B</x:v>
      </x:c>
      <x:c r="B1223" s="7" t="str">
        <x:v>U11</x:v>
      </x:c>
      <x:c r="C1223" s="14" t="n">
        <x:v>0.38</x:v>
      </x:c>
      <x:c r="D1223" s="7" t="str">
        <x:v>source_ring_mb</x:v>
      </x:c>
      <x:c r="E1223" s="14" t="n">
        <x:v>96</x:v>
      </x:c>
    </x:row>
    <x:row r="1224" ht="34" customHeight="1">
      <x:c r="A1224" s="12" t="str">
        <x:v>DP44-B</x:v>
      </x:c>
      <x:c r="B1224" s="12" t="str">
        <x:v>U11</x:v>
      </x:c>
      <x:c r="C1224" s="13" t="n">
        <x:v>0.38</x:v>
      </x:c>
      <x:c r="D1224" s="12" t="str">
        <x:v>common_history_mb</x:v>
      </x:c>
      <x:c r="E1224" s="13" t="n">
        <x:v>64</x:v>
      </x:c>
    </x:row>
    <x:row r="1225" ht="34" customHeight="1">
      <x:c r="A1225" s="7" t="str">
        <x:v>DP44-B</x:v>
      </x:c>
      <x:c r="B1225" s="7" t="str">
        <x:v>U11</x:v>
      </x:c>
      <x:c r="C1225" s="14" t="n">
        <x:v>0.38</x:v>
      </x:c>
      <x:c r="D1225" s="7" t="str">
        <x:v>request</x:v>
      </x:c>
      <x:c r="E1225" s="14" t="n">
        <x:v>11</x:v>
      </x:c>
    </x:row>
    <x:row r="1226" ht="34" customHeight="1">
      <x:c r="A1226" s="12" t="str">
        <x:v>DP44-B</x:v>
      </x:c>
      <x:c r="B1226" s="12" t="str">
        <x:v>U11</x:v>
      </x:c>
      <x:c r="C1226" s="13" t="n">
        <x:v>0.38</x:v>
      </x:c>
      <x:c r="D1226" s="12" t="str">
        <x:v>meaning:client</x:v>
      </x:c>
      <x:c r="E1226" s="13" t="n">
        <x:v>31.8</x:v>
      </x:c>
    </x:row>
    <x:row r="1227" ht="34" customHeight="1">
      <x:c r="A1227" s="7" t="str">
        <x:v>DP44-B</x:v>
      </x:c>
      <x:c r="B1227" s="7" t="str">
        <x:v>U11</x:v>
      </x:c>
      <x:c r="C1227" s="14" t="n">
        <x:v>0.38</x:v>
      </x:c>
      <x:c r="D1227" s="7" t="str">
        <x:v>cloud_image_buffer</x:v>
      </x:c>
      <x:c r="E1227" s="14" t="n">
        <x:v>32</x:v>
      </x:c>
    </x:row>
    <x:row r="1228" ht="34" customHeight="1">
      <x:c r="A1228" s="12" t="str">
        <x:v>DP44-B</x:v>
      </x:c>
      <x:c r="B1228" s="12" t="str">
        <x:v>U11</x:v>
      </x:c>
      <x:c r="C1228" s="13" t="n">
        <x:v>0.38</x:v>
      </x:c>
      <x:c r="D1228" s="12" t="str">
        <x:v>valid_audio</x:v>
      </x:c>
      <x:c r="E1228" s="13" t="n">
        <x:v>0</x:v>
      </x:c>
    </x:row>
    <x:row r="1229" ht="34" customHeight="1">
      <x:c r="A1229" s="7" t="str">
        <x:v>DP44-B</x:v>
      </x:c>
      <x:c r="B1229" s="7" t="str">
        <x:v>U12</x:v>
      </x:c>
      <x:c r="C1229" s="14" t="n">
        <x:v>0.46</x:v>
      </x:c>
      <x:c r="D1229" s="7" t="str">
        <x:v>core_ui_mb</x:v>
      </x:c>
      <x:c r="E1229" s="14" t="n">
        <x:v>180</x:v>
      </x:c>
    </x:row>
    <x:row r="1230" ht="34" customHeight="1">
      <x:c r="A1230" s="12" t="str">
        <x:v>DP44-B</x:v>
      </x:c>
      <x:c r="B1230" s="12" t="str">
        <x:v>U12</x:v>
      </x:c>
      <x:c r="C1230" s="13" t="n">
        <x:v>0.46</x:v>
      </x:c>
      <x:c r="D1230" s="12" t="str">
        <x:v>asr_audio_mb</x:v>
      </x:c>
      <x:c r="E1230" s="13" t="n">
        <x:v>220</x:v>
      </x:c>
    </x:row>
    <x:row r="1231" ht="34" customHeight="1">
      <x:c r="A1231" s="7" t="str">
        <x:v>DP44-B</x:v>
      </x:c>
      <x:c r="B1231" s="7" t="str">
        <x:v>U12</x:v>
      </x:c>
      <x:c r="C1231" s="14" t="n">
        <x:v>0.46</x:v>
      </x:c>
      <x:c r="D1231" s="7" t="str">
        <x:v>source_ring_mb</x:v>
      </x:c>
      <x:c r="E1231" s="14" t="n">
        <x:v>96</x:v>
      </x:c>
    </x:row>
    <x:row r="1232" ht="34" customHeight="1">
      <x:c r="A1232" s="12" t="str">
        <x:v>DP44-B</x:v>
      </x:c>
      <x:c r="B1232" s="12" t="str">
        <x:v>U12</x:v>
      </x:c>
      <x:c r="C1232" s="13" t="n">
        <x:v>0.46</x:v>
      </x:c>
      <x:c r="D1232" s="12" t="str">
        <x:v>common_history_mb</x:v>
      </x:c>
      <x:c r="E1232" s="13" t="n">
        <x:v>64</x:v>
      </x:c>
    </x:row>
    <x:row r="1233" ht="34" customHeight="1">
      <x:c r="A1233" s="7" t="str">
        <x:v>DP44-B</x:v>
      </x:c>
      <x:c r="B1233" s="7" t="str">
        <x:v>U12</x:v>
      </x:c>
      <x:c r="C1233" s="14" t="n">
        <x:v>0.46</x:v>
      </x:c>
      <x:c r="D1233" s="7" t="str">
        <x:v>request</x:v>
      </x:c>
      <x:c r="E1233" s="14" t="n">
        <x:v>11</x:v>
      </x:c>
    </x:row>
    <x:row r="1234" ht="34" customHeight="1">
      <x:c r="A1234" s="12" t="str">
        <x:v>DP44-B</x:v>
      </x:c>
      <x:c r="B1234" s="12" t="str">
        <x:v>U12</x:v>
      </x:c>
      <x:c r="C1234" s="13" t="n">
        <x:v>0.46</x:v>
      </x:c>
      <x:c r="D1234" s="12" t="str">
        <x:v>meaning:client</x:v>
      </x:c>
      <x:c r="E1234" s="13" t="n">
        <x:v>17.4</x:v>
      </x:c>
    </x:row>
    <x:row r="1235" ht="34" customHeight="1">
      <x:c r="A1235" s="7" t="str">
        <x:v>DP44-B</x:v>
      </x:c>
      <x:c r="B1235" s="7" t="str">
        <x:v>U12</x:v>
      </x:c>
      <x:c r="C1235" s="14" t="n">
        <x:v>0.46</x:v>
      </x:c>
      <x:c r="D1235" s="7" t="str">
        <x:v>valid_audio</x:v>
      </x:c>
      <x:c r="E1235" s="14" t="n">
        <x:v>0</x:v>
      </x:c>
    </x:row>
    <x:row r="1236" ht="34" customHeight="1">
      <x:c r="A1236" s="12" t="str">
        <x:v>DP44-B</x:v>
      </x:c>
      <x:c r="B1236" s="12" t="str">
        <x:v>U13</x:v>
      </x:c>
      <x:c r="C1236" s="13" t="n">
        <x:v>0.14</x:v>
      </x:c>
      <x:c r="D1236" s="12" t="str">
        <x:v>core_ui_mb</x:v>
      </x:c>
      <x:c r="E1236" s="13" t="n">
        <x:v>180</x:v>
      </x:c>
    </x:row>
    <x:row r="1237" ht="34" customHeight="1">
      <x:c r="A1237" s="7" t="str">
        <x:v>DP44-B</x:v>
      </x:c>
      <x:c r="B1237" s="7" t="str">
        <x:v>U13</x:v>
      </x:c>
      <x:c r="C1237" s="14" t="n">
        <x:v>0.14</x:v>
      </x:c>
      <x:c r="D1237" s="7" t="str">
        <x:v>asr_audio_mb</x:v>
      </x:c>
      <x:c r="E1237" s="14" t="n">
        <x:v>220</x:v>
      </x:c>
    </x:row>
    <x:row r="1238" ht="34" customHeight="1">
      <x:c r="A1238" s="12" t="str">
        <x:v>DP44-B</x:v>
      </x:c>
      <x:c r="B1238" s="12" t="str">
        <x:v>U13</x:v>
      </x:c>
      <x:c r="C1238" s="13" t="n">
        <x:v>0.14</x:v>
      </x:c>
      <x:c r="D1238" s="12" t="str">
        <x:v>source_ring_mb</x:v>
      </x:c>
      <x:c r="E1238" s="13" t="n">
        <x:v>96</x:v>
      </x:c>
    </x:row>
    <x:row r="1239" ht="34" customHeight="1">
      <x:c r="A1239" s="7" t="str">
        <x:v>DP44-B</x:v>
      </x:c>
      <x:c r="B1239" s="7" t="str">
        <x:v>U13</x:v>
      </x:c>
      <x:c r="C1239" s="14" t="n">
        <x:v>0.14</x:v>
      </x:c>
      <x:c r="D1239" s="7" t="str">
        <x:v>common_history_mb</x:v>
      </x:c>
      <x:c r="E1239" s="14" t="n">
        <x:v>64</x:v>
      </x:c>
    </x:row>
    <x:row r="1240" ht="34" customHeight="1">
      <x:c r="A1240" s="12" t="str">
        <x:v>DP44-B</x:v>
      </x:c>
      <x:c r="B1240" s="12" t="str">
        <x:v>U13</x:v>
      </x:c>
      <x:c r="C1240" s="13" t="n">
        <x:v>0.14</x:v>
      </x:c>
      <x:c r="D1240" s="12" t="str">
        <x:v>request</x:v>
      </x:c>
      <x:c r="E1240" s="13" t="n">
        <x:v>11</x:v>
      </x:c>
    </x:row>
    <x:row r="1241" ht="34" customHeight="1">
      <x:c r="A1241" s="7" t="str">
        <x:v>DP44-B</x:v>
      </x:c>
      <x:c r="B1241" s="7" t="str">
        <x:v>U13</x:v>
      </x:c>
      <x:c r="C1241" s="14" t="n">
        <x:v>0.14</x:v>
      </x:c>
      <x:c r="D1241" s="7" t="str">
        <x:v>meaning:client</x:v>
      </x:c>
      <x:c r="E1241" s="14" t="n">
        <x:v>17.4</x:v>
      </x:c>
    </x:row>
    <x:row r="1242" ht="34" customHeight="1">
      <x:c r="A1242" s="12" t="str">
        <x:v>DP44-B</x:v>
      </x:c>
      <x:c r="B1242" s="12" t="str">
        <x:v>U13</x:v>
      </x:c>
      <x:c r="C1242" s="13" t="n">
        <x:v>0.14</x:v>
      </x:c>
      <x:c r="D1242" s="12" t="str">
        <x:v>valid_audio</x:v>
      </x:c>
      <x:c r="E1242" s="13" t="n">
        <x:v>0</x:v>
      </x:c>
    </x:row>
    <x:row r="1243" ht="34" customHeight="1">
      <x:c r="A1243" s="7" t="str">
        <x:v>DP44-B</x:v>
      </x:c>
      <x:c r="B1243" s="7" t="str">
        <x:v>U14</x:v>
      </x:c>
      <x:c r="C1243" s="14" t="n">
        <x:v>0.38</x:v>
      </x:c>
      <x:c r="D1243" s="7" t="str">
        <x:v>core_ui_mb</x:v>
      </x:c>
      <x:c r="E1243" s="14" t="n">
        <x:v>180</x:v>
      </x:c>
    </x:row>
    <x:row r="1244" ht="34" customHeight="1">
      <x:c r="A1244" s="12" t="str">
        <x:v>DP44-B</x:v>
      </x:c>
      <x:c r="B1244" s="12" t="str">
        <x:v>U14</x:v>
      </x:c>
      <x:c r="C1244" s="13" t="n">
        <x:v>0.38</x:v>
      </x:c>
      <x:c r="D1244" s="12" t="str">
        <x:v>asr_audio_mb</x:v>
      </x:c>
      <x:c r="E1244" s="13" t="n">
        <x:v>220</x:v>
      </x:c>
    </x:row>
    <x:row r="1245" ht="34" customHeight="1">
      <x:c r="A1245" s="7" t="str">
        <x:v>DP44-B</x:v>
      </x:c>
      <x:c r="B1245" s="7" t="str">
        <x:v>U14</x:v>
      </x:c>
      <x:c r="C1245" s="14" t="n">
        <x:v>0.38</x:v>
      </x:c>
      <x:c r="D1245" s="7" t="str">
        <x:v>source_ring_mb</x:v>
      </x:c>
      <x:c r="E1245" s="14" t="n">
        <x:v>96</x:v>
      </x:c>
    </x:row>
    <x:row r="1246" ht="34" customHeight="1">
      <x:c r="A1246" s="12" t="str">
        <x:v>DP44-B</x:v>
      </x:c>
      <x:c r="B1246" s="12" t="str">
        <x:v>U14</x:v>
      </x:c>
      <x:c r="C1246" s="13" t="n">
        <x:v>0.38</x:v>
      </x:c>
      <x:c r="D1246" s="12" t="str">
        <x:v>common_history_mb</x:v>
      </x:c>
      <x:c r="E1246" s="13" t="n">
        <x:v>64</x:v>
      </x:c>
    </x:row>
    <x:row r="1247" ht="34" customHeight="1">
      <x:c r="A1247" s="7" t="str">
        <x:v>DP44-B</x:v>
      </x:c>
      <x:c r="B1247" s="7" t="str">
        <x:v>U14</x:v>
      </x:c>
      <x:c r="C1247" s="14" t="n">
        <x:v>0.38</x:v>
      </x:c>
      <x:c r="D1247" s="7" t="str">
        <x:v>request</x:v>
      </x:c>
      <x:c r="E1247" s="14" t="n">
        <x:v>11</x:v>
      </x:c>
    </x:row>
    <x:row r="1248" ht="34" customHeight="1">
      <x:c r="A1248" s="12" t="str">
        <x:v>DP44-B</x:v>
      </x:c>
      <x:c r="B1248" s="12" t="str">
        <x:v>U14</x:v>
      </x:c>
      <x:c r="C1248" s="13" t="n">
        <x:v>0.38</x:v>
      </x:c>
      <x:c r="D1248" s="12" t="str">
        <x:v>meaning:client</x:v>
      </x:c>
      <x:c r="E1248" s="13" t="n">
        <x:v>27</x:v>
      </x:c>
    </x:row>
    <x:row r="1249" ht="34" customHeight="1">
      <x:c r="A1249" s="7" t="str">
        <x:v>DP44-B</x:v>
      </x:c>
      <x:c r="B1249" s="7" t="str">
        <x:v>U14</x:v>
      </x:c>
      <x:c r="C1249" s="14" t="n">
        <x:v>0.38</x:v>
      </x:c>
      <x:c r="D1249" s="7" t="str">
        <x:v>valid_audio</x:v>
      </x:c>
      <x:c r="E1249" s="14" t="n">
        <x:v>0</x:v>
      </x:c>
    </x:row>
    <x:row r="1250" ht="34" customHeight="1">
      <x:c r="A1250" s="12" t="str">
        <x:v>DP44-B</x:v>
      </x:c>
      <x:c r="B1250" s="12" t="str">
        <x:v>U15</x:v>
      </x:c>
      <x:c r="C1250" s="13" t="n">
        <x:v>0.14</x:v>
      </x:c>
      <x:c r="D1250" s="12" t="str">
        <x:v>core_ui_mb</x:v>
      </x:c>
      <x:c r="E1250" s="13" t="n">
        <x:v>180</x:v>
      </x:c>
    </x:row>
    <x:row r="1251" ht="34" customHeight="1">
      <x:c r="A1251" s="7" t="str">
        <x:v>DP44-B</x:v>
      </x:c>
      <x:c r="B1251" s="7" t="str">
        <x:v>U15</x:v>
      </x:c>
      <x:c r="C1251" s="14" t="n">
        <x:v>0.14</x:v>
      </x:c>
      <x:c r="D1251" s="7" t="str">
        <x:v>asr_audio_mb</x:v>
      </x:c>
      <x:c r="E1251" s="14" t="n">
        <x:v>220</x:v>
      </x:c>
    </x:row>
    <x:row r="1252" ht="34" customHeight="1">
      <x:c r="A1252" s="12" t="str">
        <x:v>DP44-B</x:v>
      </x:c>
      <x:c r="B1252" s="12" t="str">
        <x:v>U15</x:v>
      </x:c>
      <x:c r="C1252" s="13" t="n">
        <x:v>0.14</x:v>
      </x:c>
      <x:c r="D1252" s="12" t="str">
        <x:v>source_ring_mb</x:v>
      </x:c>
      <x:c r="E1252" s="13" t="n">
        <x:v>96</x:v>
      </x:c>
    </x:row>
    <x:row r="1253" ht="34" customHeight="1">
      <x:c r="A1253" s="7" t="str">
        <x:v>DP44-B</x:v>
      </x:c>
      <x:c r="B1253" s="7" t="str">
        <x:v>U15</x:v>
      </x:c>
      <x:c r="C1253" s="14" t="n">
        <x:v>0.14</x:v>
      </x:c>
      <x:c r="D1253" s="7" t="str">
        <x:v>common_history_mb</x:v>
      </x:c>
      <x:c r="E1253" s="14" t="n">
        <x:v>64</x:v>
      </x:c>
    </x:row>
    <x:row r="1254" ht="34" customHeight="1">
      <x:c r="A1254" s="12" t="str">
        <x:v>DP44-B</x:v>
      </x:c>
      <x:c r="B1254" s="12" t="str">
        <x:v>U15</x:v>
      </x:c>
      <x:c r="C1254" s="13" t="n">
        <x:v>0.14</x:v>
      </x:c>
      <x:c r="D1254" s="12" t="str">
        <x:v>request</x:v>
      </x:c>
      <x:c r="E1254" s="13" t="n">
        <x:v>11</x:v>
      </x:c>
    </x:row>
    <x:row r="1255" ht="34" customHeight="1">
      <x:c r="A1255" s="7" t="str">
        <x:v>DP44-B</x:v>
      </x:c>
      <x:c r="B1255" s="7" t="str">
        <x:v>U15</x:v>
      </x:c>
      <x:c r="C1255" s="14" t="n">
        <x:v>0.14</x:v>
      </x:c>
      <x:c r="D1255" s="7" t="str">
        <x:v>meaning:client</x:v>
      </x:c>
      <x:c r="E1255" s="14" t="n">
        <x:v>17.4</x:v>
      </x:c>
    </x:row>
    <x:row r="1256" ht="34" customHeight="1">
      <x:c r="A1256" s="12" t="str">
        <x:v>DP44-B</x:v>
      </x:c>
      <x:c r="B1256" s="12" t="str">
        <x:v>U15</x:v>
      </x:c>
      <x:c r="C1256" s="13" t="n">
        <x:v>0.14</x:v>
      </x:c>
      <x:c r="D1256" s="12" t="str">
        <x:v>valid_audio</x:v>
      </x:c>
      <x:c r="E1256" s="13" t="n">
        <x:v>0</x:v>
      </x:c>
    </x:row>
    <x:row r="1257" ht="34" customHeight="1">
      <x:c r="A1257" s="7" t="str">
        <x:v>DP44-B</x:v>
      </x:c>
      <x:c r="B1257" s="7" t="str">
        <x:v>U16</x:v>
      </x:c>
      <x:c r="C1257" s="14" t="n">
        <x:v>0.38</x:v>
      </x:c>
      <x:c r="D1257" s="7" t="str">
        <x:v>core_ui_mb</x:v>
      </x:c>
      <x:c r="E1257" s="14" t="n">
        <x:v>180</x:v>
      </x:c>
    </x:row>
    <x:row r="1258" ht="34" customHeight="1">
      <x:c r="A1258" s="12" t="str">
        <x:v>DP44-B</x:v>
      </x:c>
      <x:c r="B1258" s="12" t="str">
        <x:v>U16</x:v>
      </x:c>
      <x:c r="C1258" s="13" t="n">
        <x:v>0.38</x:v>
      </x:c>
      <x:c r="D1258" s="12" t="str">
        <x:v>asr_audio_mb</x:v>
      </x:c>
      <x:c r="E1258" s="13" t="n">
        <x:v>220</x:v>
      </x:c>
    </x:row>
    <x:row r="1259" ht="34" customHeight="1">
      <x:c r="A1259" s="7" t="str">
        <x:v>DP44-B</x:v>
      </x:c>
      <x:c r="B1259" s="7" t="str">
        <x:v>U16</x:v>
      </x:c>
      <x:c r="C1259" s="14" t="n">
        <x:v>0.38</x:v>
      </x:c>
      <x:c r="D1259" s="7" t="str">
        <x:v>source_ring_mb</x:v>
      </x:c>
      <x:c r="E1259" s="14" t="n">
        <x:v>96</x:v>
      </x:c>
    </x:row>
    <x:row r="1260" ht="34" customHeight="1">
      <x:c r="A1260" s="12" t="str">
        <x:v>DP44-B</x:v>
      </x:c>
      <x:c r="B1260" s="12" t="str">
        <x:v>U16</x:v>
      </x:c>
      <x:c r="C1260" s="13" t="n">
        <x:v>0.38</x:v>
      </x:c>
      <x:c r="D1260" s="12" t="str">
        <x:v>common_history_mb</x:v>
      </x:c>
      <x:c r="E1260" s="13" t="n">
        <x:v>64</x:v>
      </x:c>
    </x:row>
    <x:row r="1261" ht="34" customHeight="1">
      <x:c r="A1261" s="7" t="str">
        <x:v>DP44-B</x:v>
      </x:c>
      <x:c r="B1261" s="7" t="str">
        <x:v>U16</x:v>
      </x:c>
      <x:c r="C1261" s="14" t="n">
        <x:v>0.38</x:v>
      </x:c>
      <x:c r="D1261" s="7" t="str">
        <x:v>request</x:v>
      </x:c>
      <x:c r="E1261" s="14" t="n">
        <x:v>11</x:v>
      </x:c>
    </x:row>
    <x:row r="1262" ht="34" customHeight="1">
      <x:c r="A1262" s="12" t="str">
        <x:v>DP44-B</x:v>
      </x:c>
      <x:c r="B1262" s="12" t="str">
        <x:v>U16</x:v>
      </x:c>
      <x:c r="C1262" s="13" t="n">
        <x:v>0.38</x:v>
      </x:c>
      <x:c r="D1262" s="12" t="str">
        <x:v>meaning:client</x:v>
      </x:c>
      <x:c r="E1262" s="13" t="n">
        <x:v>27</x:v>
      </x:c>
    </x:row>
    <x:row r="1263" ht="34" customHeight="1">
      <x:c r="A1263" s="7" t="str">
        <x:v>DP44-B</x:v>
      </x:c>
      <x:c r="B1263" s="7" t="str">
        <x:v>U16</x:v>
      </x:c>
      <x:c r="C1263" s="14" t="n">
        <x:v>0.38</x:v>
      </x:c>
      <x:c r="D1263" s="7" t="str">
        <x:v>valid_audio</x:v>
      </x:c>
      <x:c r="E1263" s="14" t="n">
        <x:v>0</x:v>
      </x:c>
    </x:row>
    <x:row r="1264" ht="34" customHeight="1">
      <x:c r="A1264" s="12" t="str">
        <x:v>DP44-B</x:v>
      </x:c>
      <x:c r="B1264" s="12" t="str">
        <x:v>U17</x:v>
      </x:c>
      <x:c r="C1264" s="13" t="n">
        <x:v>0.38</x:v>
      </x:c>
      <x:c r="D1264" s="12" t="str">
        <x:v>core_ui_mb</x:v>
      </x:c>
      <x:c r="E1264" s="13" t="n">
        <x:v>180</x:v>
      </x:c>
    </x:row>
    <x:row r="1265" ht="34" customHeight="1">
      <x:c r="A1265" s="7" t="str">
        <x:v>DP44-B</x:v>
      </x:c>
      <x:c r="B1265" s="7" t="str">
        <x:v>U17</x:v>
      </x:c>
      <x:c r="C1265" s="14" t="n">
        <x:v>0.38</x:v>
      </x:c>
      <x:c r="D1265" s="7" t="str">
        <x:v>asr_audio_mb</x:v>
      </x:c>
      <x:c r="E1265" s="14" t="n">
        <x:v>220</x:v>
      </x:c>
    </x:row>
    <x:row r="1266" ht="34" customHeight="1">
      <x:c r="A1266" s="12" t="str">
        <x:v>DP44-B</x:v>
      </x:c>
      <x:c r="B1266" s="12" t="str">
        <x:v>U17</x:v>
      </x:c>
      <x:c r="C1266" s="13" t="n">
        <x:v>0.38</x:v>
      </x:c>
      <x:c r="D1266" s="12" t="str">
        <x:v>source_ring_mb</x:v>
      </x:c>
      <x:c r="E1266" s="13" t="n">
        <x:v>96</x:v>
      </x:c>
    </x:row>
    <x:row r="1267" ht="34" customHeight="1">
      <x:c r="A1267" s="7" t="str">
        <x:v>DP44-B</x:v>
      </x:c>
      <x:c r="B1267" s="7" t="str">
        <x:v>U17</x:v>
      </x:c>
      <x:c r="C1267" s="14" t="n">
        <x:v>0.38</x:v>
      </x:c>
      <x:c r="D1267" s="7" t="str">
        <x:v>common_history_mb</x:v>
      </x:c>
      <x:c r="E1267" s="14" t="n">
        <x:v>64</x:v>
      </x:c>
    </x:row>
    <x:row r="1268" ht="34" customHeight="1">
      <x:c r="A1268" s="12" t="str">
        <x:v>DP44-B</x:v>
      </x:c>
      <x:c r="B1268" s="12" t="str">
        <x:v>U17</x:v>
      </x:c>
      <x:c r="C1268" s="13" t="n">
        <x:v>0.38</x:v>
      </x:c>
      <x:c r="D1268" s="12" t="str">
        <x:v>request</x:v>
      </x:c>
      <x:c r="E1268" s="13" t="n">
        <x:v>11</x:v>
      </x:c>
    </x:row>
    <x:row r="1269" ht="34" customHeight="1">
      <x:c r="A1269" s="7" t="str">
        <x:v>DP44-B</x:v>
      </x:c>
      <x:c r="B1269" s="7" t="str">
        <x:v>U17</x:v>
      </x:c>
      <x:c r="C1269" s="14" t="n">
        <x:v>0.38</x:v>
      </x:c>
      <x:c r="D1269" s="7" t="str">
        <x:v>meaning:client</x:v>
      </x:c>
      <x:c r="E1269" s="14" t="n">
        <x:v>17.4</x:v>
      </x:c>
    </x:row>
    <x:row r="1270" ht="34" customHeight="1">
      <x:c r="A1270" s="12" t="str">
        <x:v>DP44-B</x:v>
      </x:c>
      <x:c r="B1270" s="12" t="str">
        <x:v>U17</x:v>
      </x:c>
      <x:c r="C1270" s="13" t="n">
        <x:v>0.38</x:v>
      </x:c>
      <x:c r="D1270" s="12" t="str">
        <x:v>valid_audio</x:v>
      </x:c>
      <x:c r="E1270" s="13" t="n">
        <x:v>0</x:v>
      </x:c>
    </x:row>
    <x:row r="1271" ht="34" customHeight="1">
      <x:c r="A1271" s="7" t="str">
        <x:v>DP44-B</x:v>
      </x:c>
      <x:c r="B1271" s="7" t="str">
        <x:v>U18</x:v>
      </x:c>
      <x:c r="C1271" s="14" t="n">
        <x:v>0.38</x:v>
      </x:c>
      <x:c r="D1271" s="7" t="str">
        <x:v>core_ui_mb</x:v>
      </x:c>
      <x:c r="E1271" s="14" t="n">
        <x:v>180</x:v>
      </x:c>
    </x:row>
    <x:row r="1272" ht="34" customHeight="1">
      <x:c r="A1272" s="12" t="str">
        <x:v>DP44-B</x:v>
      </x:c>
      <x:c r="B1272" s="12" t="str">
        <x:v>U18</x:v>
      </x:c>
      <x:c r="C1272" s="13" t="n">
        <x:v>0.38</x:v>
      </x:c>
      <x:c r="D1272" s="12" t="str">
        <x:v>asr_audio_mb</x:v>
      </x:c>
      <x:c r="E1272" s="13" t="n">
        <x:v>220</x:v>
      </x:c>
    </x:row>
    <x:row r="1273" ht="34" customHeight="1">
      <x:c r="A1273" s="7" t="str">
        <x:v>DP44-B</x:v>
      </x:c>
      <x:c r="B1273" s="7" t="str">
        <x:v>U18</x:v>
      </x:c>
      <x:c r="C1273" s="14" t="n">
        <x:v>0.38</x:v>
      </x:c>
      <x:c r="D1273" s="7" t="str">
        <x:v>source_ring_mb</x:v>
      </x:c>
      <x:c r="E1273" s="14" t="n">
        <x:v>96</x:v>
      </x:c>
    </x:row>
    <x:row r="1274" ht="34" customHeight="1">
      <x:c r="A1274" s="12" t="str">
        <x:v>DP44-B</x:v>
      </x:c>
      <x:c r="B1274" s="12" t="str">
        <x:v>U18</x:v>
      </x:c>
      <x:c r="C1274" s="13" t="n">
        <x:v>0.38</x:v>
      </x:c>
      <x:c r="D1274" s="12" t="str">
        <x:v>common_history_mb</x:v>
      </x:c>
      <x:c r="E1274" s="13" t="n">
        <x:v>64</x:v>
      </x:c>
    </x:row>
    <x:row r="1275" ht="34" customHeight="1">
      <x:c r="A1275" s="7" t="str">
        <x:v>DP44-B</x:v>
      </x:c>
      <x:c r="B1275" s="7" t="str">
        <x:v>U18</x:v>
      </x:c>
      <x:c r="C1275" s="14" t="n">
        <x:v>0.38</x:v>
      </x:c>
      <x:c r="D1275" s="7" t="str">
        <x:v>request</x:v>
      </x:c>
      <x:c r="E1275" s="14" t="n">
        <x:v>11</x:v>
      </x:c>
    </x:row>
    <x:row r="1276" ht="34" customHeight="1">
      <x:c r="A1276" s="12" t="str">
        <x:v>DP44-B</x:v>
      </x:c>
      <x:c r="B1276" s="12" t="str">
        <x:v>U18</x:v>
      </x:c>
      <x:c r="C1276" s="13" t="n">
        <x:v>0.38</x:v>
      </x:c>
      <x:c r="D1276" s="12" t="str">
        <x:v>meaning:client</x:v>
      </x:c>
      <x:c r="E1276" s="13" t="n">
        <x:v>17.4</x:v>
      </x:c>
    </x:row>
    <x:row r="1277" ht="34" customHeight="1">
      <x:c r="A1277" s="7" t="str">
        <x:v>DP44-B</x:v>
      </x:c>
      <x:c r="B1277" s="7" t="str">
        <x:v>U18</x:v>
      </x:c>
      <x:c r="C1277" s="14" t="n">
        <x:v>0.38</x:v>
      </x:c>
      <x:c r="D1277" s="7" t="str">
        <x:v>valid_audio</x:v>
      </x:c>
      <x:c r="E1277" s="14" t="n">
        <x:v>0</x:v>
      </x:c>
    </x:row>
    <x:row r="1278" ht="34" customHeight="1">
      <x:c r="A1278" s="12" t="str">
        <x:v>DP44-B</x:v>
      </x:c>
      <x:c r="B1278" s="12" t="str">
        <x:v>U19</x:v>
      </x:c>
      <x:c r="C1278" s="13" t="n">
        <x:v>1.47999999</x:v>
      </x:c>
      <x:c r="D1278" s="12" t="str">
        <x:v>core_ui_mb</x:v>
      </x:c>
      <x:c r="E1278" s="13" t="n">
        <x:v>180</x:v>
      </x:c>
    </x:row>
    <x:row r="1279" ht="34" customHeight="1">
      <x:c r="A1279" s="7" t="str">
        <x:v>DP44-B</x:v>
      </x:c>
      <x:c r="B1279" s="7" t="str">
        <x:v>U19</x:v>
      </x:c>
      <x:c r="C1279" s="14" t="n">
        <x:v>1.47999999</x:v>
      </x:c>
      <x:c r="D1279" s="7" t="str">
        <x:v>asr_audio_mb</x:v>
      </x:c>
      <x:c r="E1279" s="14" t="n">
        <x:v>220</x:v>
      </x:c>
    </x:row>
    <x:row r="1280" ht="34" customHeight="1">
      <x:c r="A1280" s="12" t="str">
        <x:v>DP44-B</x:v>
      </x:c>
      <x:c r="B1280" s="12" t="str">
        <x:v>U19</x:v>
      </x:c>
      <x:c r="C1280" s="13" t="n">
        <x:v>1.47999999</x:v>
      </x:c>
      <x:c r="D1280" s="12" t="str">
        <x:v>source_ring_mb</x:v>
      </x:c>
      <x:c r="E1280" s="13" t="n">
        <x:v>96</x:v>
      </x:c>
    </x:row>
    <x:row r="1281" ht="34" customHeight="1">
      <x:c r="A1281" s="7" t="str">
        <x:v>DP44-B</x:v>
      </x:c>
      <x:c r="B1281" s="7" t="str">
        <x:v>U19</x:v>
      </x:c>
      <x:c r="C1281" s="14" t="n">
        <x:v>1.47999999</x:v>
      </x:c>
      <x:c r="D1281" s="7" t="str">
        <x:v>common_history_mb</x:v>
      </x:c>
      <x:c r="E1281" s="14" t="n">
        <x:v>64</x:v>
      </x:c>
    </x:row>
    <x:row r="1282" ht="34" customHeight="1">
      <x:c r="A1282" s="12" t="str">
        <x:v>DP44-B</x:v>
      </x:c>
      <x:c r="B1282" s="12" t="str">
        <x:v>U19</x:v>
      </x:c>
      <x:c r="C1282" s="13" t="n">
        <x:v>1.47999999</x:v>
      </x:c>
      <x:c r="D1282" s="12" t="str">
        <x:v>request</x:v>
      </x:c>
      <x:c r="E1282" s="13" t="n">
        <x:v>11</x:v>
      </x:c>
    </x:row>
    <x:row r="1283" ht="34" customHeight="1">
      <x:c r="A1283" s="7" t="str">
        <x:v>DP44-B</x:v>
      </x:c>
      <x:c r="B1283" s="7" t="str">
        <x:v>U19</x:v>
      </x:c>
      <x:c r="C1283" s="14" t="n">
        <x:v>1.47999999</x:v>
      </x:c>
      <x:c r="D1283" s="7" t="str">
        <x:v>meaning:client</x:v>
      </x:c>
      <x:c r="E1283" s="14" t="n">
        <x:v>17.4</x:v>
      </x:c>
    </x:row>
    <x:row r="1284" ht="34" customHeight="1">
      <x:c r="A1284" s="12" t="str">
        <x:v>DP44-B</x:v>
      </x:c>
      <x:c r="B1284" s="12" t="str">
        <x:v>U19</x:v>
      </x:c>
      <x:c r="C1284" s="13" t="n">
        <x:v>1.47999999</x:v>
      </x:c>
      <x:c r="D1284" s="12" t="str">
        <x:v>valid_audio</x:v>
      </x:c>
      <x:c r="E1284" s="13" t="n">
        <x:v>0.58598399808</x:v>
      </x:c>
    </x:row>
    <x:row r="1285" ht="34" customHeight="1">
      <x:c r="A1285" s="7" t="str">
        <x:v>DP44-B</x:v>
      </x:c>
      <x:c r="B1285" s="7" t="str">
        <x:v>U20</x:v>
      </x:c>
      <x:c r="C1285" s="14" t="n">
        <x:v>0.38</x:v>
      </x:c>
      <x:c r="D1285" s="7" t="str">
        <x:v>core_ui_mb</x:v>
      </x:c>
      <x:c r="E1285" s="14" t="n">
        <x:v>180</x:v>
      </x:c>
    </x:row>
    <x:row r="1286" ht="34" customHeight="1">
      <x:c r="A1286" s="12" t="str">
        <x:v>DP44-B</x:v>
      </x:c>
      <x:c r="B1286" s="12" t="str">
        <x:v>U20</x:v>
      </x:c>
      <x:c r="C1286" s="13" t="n">
        <x:v>0.38</x:v>
      </x:c>
      <x:c r="D1286" s="12" t="str">
        <x:v>asr_audio_mb</x:v>
      </x:c>
      <x:c r="E1286" s="13" t="n">
        <x:v>220</x:v>
      </x:c>
    </x:row>
    <x:row r="1287" ht="34" customHeight="1">
      <x:c r="A1287" s="7" t="str">
        <x:v>DP44-B</x:v>
      </x:c>
      <x:c r="B1287" s="7" t="str">
        <x:v>U20</x:v>
      </x:c>
      <x:c r="C1287" s="14" t="n">
        <x:v>0.38</x:v>
      </x:c>
      <x:c r="D1287" s="7" t="str">
        <x:v>source_ring_mb</x:v>
      </x:c>
      <x:c r="E1287" s="14" t="n">
        <x:v>96</x:v>
      </x:c>
    </x:row>
    <x:row r="1288" ht="34" customHeight="1">
      <x:c r="A1288" s="12" t="str">
        <x:v>DP44-B</x:v>
      </x:c>
      <x:c r="B1288" s="12" t="str">
        <x:v>U20</x:v>
      </x:c>
      <x:c r="C1288" s="13" t="n">
        <x:v>0.38</x:v>
      </x:c>
      <x:c r="D1288" s="12" t="str">
        <x:v>common_history_mb</x:v>
      </x:c>
      <x:c r="E1288" s="13" t="n">
        <x:v>64</x:v>
      </x:c>
    </x:row>
    <x:row r="1289" ht="34" customHeight="1">
      <x:c r="A1289" s="7" t="str">
        <x:v>DP44-B</x:v>
      </x:c>
      <x:c r="B1289" s="7" t="str">
        <x:v>U20</x:v>
      </x:c>
      <x:c r="C1289" s="14" t="n">
        <x:v>0.38</x:v>
      </x:c>
      <x:c r="D1289" s="7" t="str">
        <x:v>request</x:v>
      </x:c>
      <x:c r="E1289" s="14" t="n">
        <x:v>11</x:v>
      </x:c>
    </x:row>
    <x:row r="1290" ht="34" customHeight="1">
      <x:c r="A1290" s="12" t="str">
        <x:v>DP44-B</x:v>
      </x:c>
      <x:c r="B1290" s="12" t="str">
        <x:v>U20</x:v>
      </x:c>
      <x:c r="C1290" s="13" t="n">
        <x:v>0.38</x:v>
      </x:c>
      <x:c r="D1290" s="12" t="str">
        <x:v>meaning:client</x:v>
      </x:c>
      <x:c r="E1290" s="13" t="n">
        <x:v>17.4</x:v>
      </x:c>
    </x:row>
    <x:row r="1291" ht="34" customHeight="1">
      <x:c r="A1291" s="7" t="str">
        <x:v>DP44-B</x:v>
      </x:c>
      <x:c r="B1291" s="7" t="str">
        <x:v>U20</x:v>
      </x:c>
      <x:c r="C1291" s="14" t="n">
        <x:v>0.38</x:v>
      </x:c>
      <x:c r="D1291" s="7" t="str">
        <x:v>valid_audio</x:v>
      </x:c>
      <x:c r="E1291" s="14" t="n">
        <x:v>0.5760000000000001</x:v>
      </x:c>
    </x:row>
    <x:row r="1292" ht="34" customHeight="1">
      <x:c r="A1292" s="12" t="str">
        <x:v>DP44-B</x:v>
      </x:c>
      <x:c r="B1292" s="12" t="str">
        <x:v>U21</x:v>
      </x:c>
      <x:c r="C1292" s="13" t="n">
        <x:v>2.4</x:v>
      </x:c>
      <x:c r="D1292" s="12" t="str">
        <x:v>core_ui_mb</x:v>
      </x:c>
      <x:c r="E1292" s="13" t="n">
        <x:v>180</x:v>
      </x:c>
    </x:row>
    <x:row r="1293" ht="34" customHeight="1">
      <x:c r="A1293" s="7" t="str">
        <x:v>DP44-B</x:v>
      </x:c>
      <x:c r="B1293" s="7" t="str">
        <x:v>U21</x:v>
      </x:c>
      <x:c r="C1293" s="14" t="n">
        <x:v>2.4</x:v>
      </x:c>
      <x:c r="D1293" s="7" t="str">
        <x:v>asr_audio_mb</x:v>
      </x:c>
      <x:c r="E1293" s="14" t="n">
        <x:v>220</x:v>
      </x:c>
    </x:row>
    <x:row r="1294" ht="34" customHeight="1">
      <x:c r="A1294" s="12" t="str">
        <x:v>DP44-B</x:v>
      </x:c>
      <x:c r="B1294" s="12" t="str">
        <x:v>U21</x:v>
      </x:c>
      <x:c r="C1294" s="13" t="n">
        <x:v>2.4</x:v>
      </x:c>
      <x:c r="D1294" s="12" t="str">
        <x:v>source_ring_mb</x:v>
      </x:c>
      <x:c r="E1294" s="13" t="n">
        <x:v>96</x:v>
      </x:c>
    </x:row>
    <x:row r="1295" ht="34" customHeight="1">
      <x:c r="A1295" s="7" t="str">
        <x:v>DP44-B</x:v>
      </x:c>
      <x:c r="B1295" s="7" t="str">
        <x:v>U21</x:v>
      </x:c>
      <x:c r="C1295" s="14" t="n">
        <x:v>2.4</x:v>
      </x:c>
      <x:c r="D1295" s="7" t="str">
        <x:v>common_history_mb</x:v>
      </x:c>
      <x:c r="E1295" s="14" t="n">
        <x:v>64</x:v>
      </x:c>
    </x:row>
    <x:row r="1296" ht="34" customHeight="1">
      <x:c r="A1296" s="12" t="str">
        <x:v>DP44-B</x:v>
      </x:c>
      <x:c r="B1296" s="12" t="str">
        <x:v>U21</x:v>
      </x:c>
      <x:c r="C1296" s="13" t="n">
        <x:v>2.4</x:v>
      </x:c>
      <x:c r="D1296" s="12" t="str">
        <x:v>request</x:v>
      </x:c>
      <x:c r="E1296" s="13" t="n">
        <x:v>11</x:v>
      </x:c>
    </x:row>
    <x:row r="1297" ht="34" customHeight="1">
      <x:c r="A1297" s="7" t="str">
        <x:v>DP44-B</x:v>
      </x:c>
      <x:c r="B1297" s="7" t="str">
        <x:v>U21</x:v>
      </x:c>
      <x:c r="C1297" s="14" t="n">
        <x:v>2.4</x:v>
      </x:c>
      <x:c r="D1297" s="7" t="str">
        <x:v>meaning:client</x:v>
      </x:c>
      <x:c r="E1297" s="14" t="n">
        <x:v>34.2</x:v>
      </x:c>
    </x:row>
    <x:row r="1298" ht="34" customHeight="1">
      <x:c r="A1298" s="12" t="str">
        <x:v>DP44-B</x:v>
      </x:c>
      <x:c r="B1298" s="12" t="str">
        <x:v>U21</x:v>
      </x:c>
      <x:c r="C1298" s="13" t="n">
        <x:v>2.4</x:v>
      </x:c>
      <x:c r="D1298" s="12" t="str">
        <x:v>cloud_image_buffer</x:v>
      </x:c>
      <x:c r="E1298" s="13" t="n">
        <x:v>32</x:v>
      </x:c>
    </x:row>
    <x:row r="1299" ht="34" customHeight="1">
      <x:c r="A1299" s="7" t="str">
        <x:v>DP44-B</x:v>
      </x:c>
      <x:c r="B1299" s="7" t="str">
        <x:v>U21</x:v>
      </x:c>
      <x:c r="C1299" s="14" t="n">
        <x:v>2.4</x:v>
      </x:c>
      <x:c r="D1299" s="7" t="str">
        <x:v>valid_audio</x:v>
      </x:c>
      <x:c r="E1299" s="14" t="n">
        <x:v>0</x:v>
      </x:c>
    </x:row>
    <x:row r="1300" ht="34" customHeight="1">
      <x:c r="A1300" s="12" t="str">
        <x:v>DP44-B</x:v>
      </x:c>
      <x:c r="B1300" s="12" t="str">
        <x:v>U22</x:v>
      </x:c>
      <x:c r="C1300" s="13" t="n">
        <x:v>0.46</x:v>
      </x:c>
      <x:c r="D1300" s="12" t="str">
        <x:v>core_ui_mb</x:v>
      </x:c>
      <x:c r="E1300" s="13" t="n">
        <x:v>180</x:v>
      </x:c>
    </x:row>
    <x:row r="1301" ht="34" customHeight="1">
      <x:c r="A1301" s="7" t="str">
        <x:v>DP44-B</x:v>
      </x:c>
      <x:c r="B1301" s="7" t="str">
        <x:v>U22</x:v>
      </x:c>
      <x:c r="C1301" s="14" t="n">
        <x:v>0.46</x:v>
      </x:c>
      <x:c r="D1301" s="7" t="str">
        <x:v>asr_audio_mb</x:v>
      </x:c>
      <x:c r="E1301" s="14" t="n">
        <x:v>220</x:v>
      </x:c>
    </x:row>
    <x:row r="1302" ht="34" customHeight="1">
      <x:c r="A1302" s="12" t="str">
        <x:v>DP44-B</x:v>
      </x:c>
      <x:c r="B1302" s="12" t="str">
        <x:v>U22</x:v>
      </x:c>
      <x:c r="C1302" s="13" t="n">
        <x:v>0.46</x:v>
      </x:c>
      <x:c r="D1302" s="12" t="str">
        <x:v>source_ring_mb</x:v>
      </x:c>
      <x:c r="E1302" s="13" t="n">
        <x:v>96</x:v>
      </x:c>
    </x:row>
    <x:row r="1303" ht="34" customHeight="1">
      <x:c r="A1303" s="7" t="str">
        <x:v>DP44-B</x:v>
      </x:c>
      <x:c r="B1303" s="7" t="str">
        <x:v>U22</x:v>
      </x:c>
      <x:c r="C1303" s="14" t="n">
        <x:v>0.46</x:v>
      </x:c>
      <x:c r="D1303" s="7" t="str">
        <x:v>common_history_mb</x:v>
      </x:c>
      <x:c r="E1303" s="14" t="n">
        <x:v>64</x:v>
      </x:c>
    </x:row>
    <x:row r="1304" ht="34" customHeight="1">
      <x:c r="A1304" s="12" t="str">
        <x:v>DP44-B</x:v>
      </x:c>
      <x:c r="B1304" s="12" t="str">
        <x:v>U22</x:v>
      </x:c>
      <x:c r="C1304" s="13" t="n">
        <x:v>0.46</x:v>
      </x:c>
      <x:c r="D1304" s="12" t="str">
        <x:v>request</x:v>
      </x:c>
      <x:c r="E1304" s="13" t="n">
        <x:v>11</x:v>
      </x:c>
    </x:row>
    <x:row r="1305" ht="34" customHeight="1">
      <x:c r="A1305" s="7" t="str">
        <x:v>DP44-B</x:v>
      </x:c>
      <x:c r="B1305" s="7" t="str">
        <x:v>U22</x:v>
      </x:c>
      <x:c r="C1305" s="14" t="n">
        <x:v>0.46</x:v>
      </x:c>
      <x:c r="D1305" s="7" t="str">
        <x:v>meaning:client</x:v>
      </x:c>
      <x:c r="E1305" s="14" t="n">
        <x:v>24.6</x:v>
      </x:c>
    </x:row>
    <x:row r="1306" ht="34" customHeight="1">
      <x:c r="A1306" s="12" t="str">
        <x:v>DP44-B</x:v>
      </x:c>
      <x:c r="B1306" s="12" t="str">
        <x:v>U22</x:v>
      </x:c>
      <x:c r="C1306" s="13" t="n">
        <x:v>0.46</x:v>
      </x:c>
      <x:c r="D1306" s="12" t="str">
        <x:v>cloud_image_buffer</x:v>
      </x:c>
      <x:c r="E1306" s="13" t="n">
        <x:v>32</x:v>
      </x:c>
    </x:row>
    <x:row r="1307" ht="34" customHeight="1">
      <x:c r="A1307" s="7" t="str">
        <x:v>DP44-B</x:v>
      </x:c>
      <x:c r="B1307" s="7" t="str">
        <x:v>U22</x:v>
      </x:c>
      <x:c r="C1307" s="14" t="n">
        <x:v>0.46</x:v>
      </x:c>
      <x:c r="D1307" s="7" t="str">
        <x:v>valid_audio</x:v>
      </x:c>
      <x:c r="E1307" s="14" t="n">
        <x:v>0</x:v>
      </x:c>
    </x:row>
    <x:row r="1308" ht="34" customHeight="1">
      <x:c r="A1308" s="12" t="str">
        <x:v>DP44-B</x:v>
      </x:c>
      <x:c r="B1308" s="12" t="str">
        <x:v>U23</x:v>
      </x:c>
      <x:c r="C1308" s="13" t="n">
        <x:v>0.14</x:v>
      </x:c>
      <x:c r="D1308" s="12" t="str">
        <x:v>core_ui_mb</x:v>
      </x:c>
      <x:c r="E1308" s="13" t="n">
        <x:v>180</x:v>
      </x:c>
    </x:row>
    <x:row r="1309" ht="34" customHeight="1">
      <x:c r="A1309" s="7" t="str">
        <x:v>DP44-B</x:v>
      </x:c>
      <x:c r="B1309" s="7" t="str">
        <x:v>U23</x:v>
      </x:c>
      <x:c r="C1309" s="14" t="n">
        <x:v>0.14</x:v>
      </x:c>
      <x:c r="D1309" s="7" t="str">
        <x:v>asr_audio_mb</x:v>
      </x:c>
      <x:c r="E1309" s="14" t="n">
        <x:v>220</x:v>
      </x:c>
    </x:row>
    <x:row r="1310" ht="34" customHeight="1">
      <x:c r="A1310" s="12" t="str">
        <x:v>DP44-B</x:v>
      </x:c>
      <x:c r="B1310" s="12" t="str">
        <x:v>U23</x:v>
      </x:c>
      <x:c r="C1310" s="13" t="n">
        <x:v>0.14</x:v>
      </x:c>
      <x:c r="D1310" s="12" t="str">
        <x:v>source_ring_mb</x:v>
      </x:c>
      <x:c r="E1310" s="13" t="n">
        <x:v>96</x:v>
      </x:c>
    </x:row>
    <x:row r="1311" ht="34" customHeight="1">
      <x:c r="A1311" s="7" t="str">
        <x:v>DP44-B</x:v>
      </x:c>
      <x:c r="B1311" s="7" t="str">
        <x:v>U23</x:v>
      </x:c>
      <x:c r="C1311" s="14" t="n">
        <x:v>0.14</x:v>
      </x:c>
      <x:c r="D1311" s="7" t="str">
        <x:v>common_history_mb</x:v>
      </x:c>
      <x:c r="E1311" s="14" t="n">
        <x:v>64</x:v>
      </x:c>
    </x:row>
    <x:row r="1312" ht="34" customHeight="1">
      <x:c r="A1312" s="12" t="str">
        <x:v>DP44-B</x:v>
      </x:c>
      <x:c r="B1312" s="12" t="str">
        <x:v>U23</x:v>
      </x:c>
      <x:c r="C1312" s="13" t="n">
        <x:v>0.14</x:v>
      </x:c>
      <x:c r="D1312" s="12" t="str">
        <x:v>request</x:v>
      </x:c>
      <x:c r="E1312" s="13" t="n">
        <x:v>11</x:v>
      </x:c>
    </x:row>
    <x:row r="1313" ht="34" customHeight="1">
      <x:c r="A1313" s="7" t="str">
        <x:v>DP44-B</x:v>
      </x:c>
      <x:c r="B1313" s="7" t="str">
        <x:v>U23</x:v>
      </x:c>
      <x:c r="C1313" s="14" t="n">
        <x:v>0.14</x:v>
      </x:c>
      <x:c r="D1313" s="7" t="str">
        <x:v>meaning:client</x:v>
      </x:c>
      <x:c r="E1313" s="14" t="n">
        <x:v>27</x:v>
      </x:c>
    </x:row>
    <x:row r="1314" ht="34" customHeight="1">
      <x:c r="A1314" s="12" t="str">
        <x:v>DP44-B</x:v>
      </x:c>
      <x:c r="B1314" s="12" t="str">
        <x:v>U23</x:v>
      </x:c>
      <x:c r="C1314" s="13" t="n">
        <x:v>0.14</x:v>
      </x:c>
      <x:c r="D1314" s="12" t="str">
        <x:v>valid_audio</x:v>
      </x:c>
      <x:c r="E1314" s="13" t="n">
        <x:v>0</x:v>
      </x:c>
    </x:row>
    <x:row r="1315" ht="34" customHeight="1">
      <x:c r="A1315" s="7" t="str">
        <x:v>DP44-B</x:v>
      </x:c>
      <x:c r="B1315" s="7" t="str">
        <x:v>U24</x:v>
      </x:c>
      <x:c r="C1315" s="14" t="n">
        <x:v>2.4</x:v>
      </x:c>
      <x:c r="D1315" s="7" t="str">
        <x:v>core_ui_mb</x:v>
      </x:c>
      <x:c r="E1315" s="14" t="n">
        <x:v>180</x:v>
      </x:c>
    </x:row>
    <x:row r="1316" ht="34" customHeight="1">
      <x:c r="A1316" s="12" t="str">
        <x:v>DP44-B</x:v>
      </x:c>
      <x:c r="B1316" s="12" t="str">
        <x:v>U24</x:v>
      </x:c>
      <x:c r="C1316" s="13" t="n">
        <x:v>2.4</x:v>
      </x:c>
      <x:c r="D1316" s="12" t="str">
        <x:v>asr_audio_mb</x:v>
      </x:c>
      <x:c r="E1316" s="13" t="n">
        <x:v>220</x:v>
      </x:c>
    </x:row>
    <x:row r="1317" ht="34" customHeight="1">
      <x:c r="A1317" s="7" t="str">
        <x:v>DP44-B</x:v>
      </x:c>
      <x:c r="B1317" s="7" t="str">
        <x:v>U24</x:v>
      </x:c>
      <x:c r="C1317" s="14" t="n">
        <x:v>2.4</x:v>
      </x:c>
      <x:c r="D1317" s="7" t="str">
        <x:v>source_ring_mb</x:v>
      </x:c>
      <x:c r="E1317" s="14" t="n">
        <x:v>96</x:v>
      </x:c>
    </x:row>
    <x:row r="1318" ht="34" customHeight="1">
      <x:c r="A1318" s="12" t="str">
        <x:v>DP44-B</x:v>
      </x:c>
      <x:c r="B1318" s="12" t="str">
        <x:v>U24</x:v>
      </x:c>
      <x:c r="C1318" s="13" t="n">
        <x:v>2.4</x:v>
      </x:c>
      <x:c r="D1318" s="12" t="str">
        <x:v>common_history_mb</x:v>
      </x:c>
      <x:c r="E1318" s="13" t="n">
        <x:v>64</x:v>
      </x:c>
    </x:row>
    <x:row r="1319" ht="34" customHeight="1">
      <x:c r="A1319" s="7" t="str">
        <x:v>DP44-B</x:v>
      </x:c>
      <x:c r="B1319" s="7" t="str">
        <x:v>U24</x:v>
      </x:c>
      <x:c r="C1319" s="14" t="n">
        <x:v>2.4</x:v>
      </x:c>
      <x:c r="D1319" s="7" t="str">
        <x:v>request</x:v>
      </x:c>
      <x:c r="E1319" s="14" t="n">
        <x:v>11</x:v>
      </x:c>
    </x:row>
    <x:row r="1320" ht="34" customHeight="1">
      <x:c r="A1320" s="12" t="str">
        <x:v>DP44-B</x:v>
      </x:c>
      <x:c r="B1320" s="12" t="str">
        <x:v>U24</x:v>
      </x:c>
      <x:c r="C1320" s="13" t="n">
        <x:v>2.4</x:v>
      </x:c>
      <x:c r="D1320" s="12" t="str">
        <x:v>meaning:client</x:v>
      </x:c>
      <x:c r="E1320" s="13" t="n">
        <x:v>41.4</x:v>
      </x:c>
    </x:row>
    <x:row r="1321" ht="34" customHeight="1">
      <x:c r="A1321" s="7" t="str">
        <x:v>DP44-B</x:v>
      </x:c>
      <x:c r="B1321" s="7" t="str">
        <x:v>U24</x:v>
      </x:c>
      <x:c r="C1321" s="14" t="n">
        <x:v>2.4</x:v>
      </x:c>
      <x:c r="D1321" s="7" t="str">
        <x:v>cloud_image_buffer</x:v>
      </x:c>
      <x:c r="E1321" s="14" t="n">
        <x:v>32</x:v>
      </x:c>
    </x:row>
    <x:row r="1322" ht="34" customHeight="1">
      <x:c r="A1322" s="12" t="str">
        <x:v>DP44-B</x:v>
      </x:c>
      <x:c r="B1322" s="12" t="str">
        <x:v>U24</x:v>
      </x:c>
      <x:c r="C1322" s="13" t="n">
        <x:v>2.4</x:v>
      </x:c>
      <x:c r="D1322" s="12" t="str">
        <x:v>valid_audio</x:v>
      </x:c>
      <x:c r="E1322" s="13" t="n">
        <x:v>0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40" hidden="0" customWidth="1"/>
    <x:col min="4" max="4" width="38" hidden="0" customWidth="1"/>
    <x:col min="5" max="5" width="10" hidden="0" customWidth="1"/>
    <x:col min="6" max="6" width="42" hidden="0" customWidth="1"/>
  </x:cols>
  <x:sheetData>
    <x:row r="1" ht="38" customHeight="1">
      <x:c r="A1" s="6" t="str">
        <x:v>같은 여섯 변경 과제의 모듈 영향</x:v>
      </x:c>
      <x:c r="B1" s="6"/>
      <x:c r="C1" s="6"/>
      <x:c r="D1" s="6"/>
      <x:c r="E1" s="6"/>
      <x:c r="F1" s="6"/>
    </x:row>
    <x:row r="2" ht="23" customHeight="1">
      <x:c r="A2" s="8" t="str">
        <x:v>모듈 집합의 크기를 과제별로 한 번 센다. 실제 Rust diff가 없는 설계 추정이며 DP별 기존 평균을 합산하지 않는다.</x:v>
      </x:c>
      <x:c r="B2" s="8"/>
      <x:c r="C2" s="8"/>
      <x:c r="D2" s="8"/>
      <x:c r="E2" s="8"/>
      <x:c r="F2" s="8"/>
    </x:row>
    <x:row r="3" ht="23" customHeight="1">
      <x:c r="A3" s="8"/>
      <x:c r="B3" s="8"/>
      <x:c r="C3" s="8"/>
      <x:c r="D3" s="8"/>
      <x:c r="E3" s="8"/>
      <x:c r="F3" s="8"/>
    </x:row>
    <x:row r="4">
      <x:c r="A4" s="3"/>
      <x:c r="B4" s="3"/>
      <x:c r="C4" s="3"/>
      <x:c r="D4" s="3"/>
      <x:c r="E4" s="3"/>
      <x:c r="F4" s="3"/>
    </x:row>
    <x:row r="5" ht="38" customHeight="1">
      <x:c r="A5" s="11" t="str">
        <x:v>구성</x:v>
      </x:c>
      <x:c r="B5" s="11" t="str">
        <x:v>과제</x:v>
      </x:c>
      <x:c r="C5" s="11" t="str">
        <x:v>요청</x:v>
      </x:c>
      <x:c r="D5" s="11" t="str">
        <x:v>예상 concept 모듈 집합</x:v>
      </x:c>
      <x:c r="E5" s="11" t="str">
        <x:v>개수</x:v>
      </x:c>
      <x:c r="F5" s="11" t="str">
        <x:v>근거 수준</x:v>
      </x:c>
    </x:row>
    <x:row r="6" ht="92" customHeight="1">
      <x:c r="A6" s="12" t="str">
        <x:v>BASE</x:v>
      </x:c>
      <x:c r="B6" s="12" t="str">
        <x:v>C01</x:v>
      </x:c>
      <x:c r="C6" s="12" t="str">
        <x:v>모델 wire 형식 변경</x:v>
      </x:c>
      <x:c r="D6" s="12" t="str">
        <x:v>concept::model_access_wire</x:v>
      </x:c>
      <x:c r="E6" s="12" t="n">
        <x:v>1</x:v>
      </x:c>
      <x:c r="F6" s="12" t="str">
        <x:v>DESIGN_IMPACT_ESTIMATE_NOT_RUST_DIFF</x:v>
      </x:c>
    </x:row>
    <x:row r="7" ht="92" customHeight="1">
      <x:c r="A7" s="7" t="str">
        <x:v>BASE</x:v>
      </x:c>
      <x:c r="B7" s="7" t="str">
        <x:v>C02</x:v>
      </x:c>
      <x:c r="C7" s="7" t="str">
        <x:v>Agent 요청/취소/receipt 형식 변경</x:v>
      </x:c>
      <x:c r="D7" s="7" t="str">
        <x:v>concept::agent_wire</x:v>
      </x:c>
      <x:c r="E7" s="7" t="n">
        <x:v>1</x:v>
      </x:c>
      <x:c r="F7" s="7" t="str">
        <x:v>DESIGN_IMPACT_ESTIMATE_NOT_RUST_DIFF</x:v>
      </x:c>
    </x:row>
    <x:row r="8" ht="92" customHeight="1">
      <x:c r="A8" s="12" t="str">
        <x:v>BASE</x:v>
      </x:c>
      <x:c r="B8" s="12" t="str">
        <x:v>C03</x:v>
      </x:c>
      <x:c r="C8" s="12" t="str">
        <x:v>원본 좌표/시각/revision 표현 변경</x:v>
      </x:c>
      <x:c r="D8" s="12" t="str">
        <x:v>concept::source_contract
concept::source_read</x:v>
      </x:c>
      <x:c r="E8" s="12" t="n">
        <x:v>2</x:v>
      </x:c>
      <x:c r="F8" s="12" t="str">
        <x:v>DESIGN_IMPACT_ESTIMATE_NOT_RUST_DIFF</x:v>
      </x:c>
    </x:row>
    <x:row r="9" ht="92" customHeight="1">
      <x:c r="A9" s="7" t="str">
        <x:v>BASE</x:v>
      </x:c>
      <x:c r="B9" s="7" t="str">
        <x:v>C04</x:v>
      </x:c>
      <x:c r="C9" s="7" t="str">
        <x:v>선택 section만 수정하고 관련 대기 음성 갱신</x:v>
      </x:c>
      <x:c r="D9" s="7" t="str">
        <x:v>concept::delivery_history
concept::prepared_audio_range
concept::response_revision
concept::speech_prepare
concept::ui_render</x:v>
      </x:c>
      <x:c r="E9" s="7" t="n">
        <x:v>5</x:v>
      </x:c>
      <x:c r="F9" s="7" t="str">
        <x:v>DESIGN_IMPACT_ESTIMATE_NOT_RUST_DIFF</x:v>
      </x:c>
    </x:row>
    <x:row r="10" ht="92" customHeight="1">
      <x:c r="A10" s="12" t="str">
        <x:v>BASE</x:v>
      </x:c>
      <x:c r="B10" s="12" t="str">
        <x:v>C05</x:v>
      </x:c>
      <x:c r="C10" s="12" t="str">
        <x:v>실제로 전달한 설명의 원본 위치/revision 표시</x:v>
      </x:c>
      <x:c r="D10" s="12" t="str">
        <x:v>concept::source_citation
concept::ui_render</x:v>
      </x:c>
      <x:c r="E10" s="12" t="n">
        <x:v>2</x:v>
      </x:c>
      <x:c r="F10" s="12" t="str">
        <x:v>DESIGN_IMPACT_ESTIMATE_NOT_RUST_DIFF</x:v>
      </x:c>
    </x:row>
    <x:row r="11" ht="92" customHeight="1">
      <x:c r="A11" s="7" t="str">
        <x:v>BASE</x:v>
      </x:c>
      <x:c r="B11" s="7" t="str">
        <x:v>C06</x:v>
      </x:c>
      <x:c r="C11" s="7" t="str">
        <x:v>선택 source extent 권한 철회</x:v>
      </x:c>
      <x:c r="D11" s="7" t="str">
        <x:v>concept::prepared_audio_range
concept::response_revision
concept::source_epoch
concept::speech_prepare</x:v>
      </x:c>
      <x:c r="E11" s="7" t="n">
        <x:v>4</x:v>
      </x:c>
      <x:c r="F11" s="7" t="str">
        <x:v>DESIGN_IMPACT_ESTIMATE_NOT_RUST_DIFF</x:v>
      </x:c>
    </x:row>
    <x:row r="12" ht="92" customHeight="1">
      <x:c r="A12" s="12" t="str">
        <x:v>DP2-B</x:v>
      </x:c>
      <x:c r="B12" s="12" t="str">
        <x:v>C01</x:v>
      </x:c>
      <x:c r="C12" s="12" t="str">
        <x:v>모델 wire 형식 변경</x:v>
      </x:c>
      <x:c r="D12" s="12" t="str">
        <x:v>concept::model_access_wire</x:v>
      </x:c>
      <x:c r="E12" s="12" t="n">
        <x:v>1</x:v>
      </x:c>
      <x:c r="F12" s="12" t="str">
        <x:v>DESIGN_IMPACT_ESTIMATE_NOT_RUST_DIFF</x:v>
      </x:c>
    </x:row>
    <x:row r="13" ht="92" customHeight="1">
      <x:c r="A13" s="7" t="str">
        <x:v>DP2-B</x:v>
      </x:c>
      <x:c r="B13" s="7" t="str">
        <x:v>C02</x:v>
      </x:c>
      <x:c r="C13" s="7" t="str">
        <x:v>Agent 요청/취소/receipt 형식 변경</x:v>
      </x:c>
      <x:c r="D13" s="7" t="str">
        <x:v>concept::agent_wire</x:v>
      </x:c>
      <x:c r="E13" s="7" t="n">
        <x:v>1</x:v>
      </x:c>
      <x:c r="F13" s="7" t="str">
        <x:v>DESIGN_IMPACT_ESTIMATE_NOT_RUST_DIFF</x:v>
      </x:c>
    </x:row>
    <x:row r="14" ht="92" customHeight="1">
      <x:c r="A14" s="12" t="str">
        <x:v>DP2-B</x:v>
      </x:c>
      <x:c r="B14" s="12" t="str">
        <x:v>C03</x:v>
      </x:c>
      <x:c r="C14" s="12" t="str">
        <x:v>원본 좌표/시각/revision 표현 변경</x:v>
      </x:c>
      <x:c r="D14" s="12" t="str">
        <x:v>concept::source_contract
concept::source_read</x:v>
      </x:c>
      <x:c r="E14" s="12" t="n">
        <x:v>2</x:v>
      </x:c>
      <x:c r="F14" s="12" t="str">
        <x:v>DESIGN_IMPACT_ESTIMATE_NOT_RUST_DIFF</x:v>
      </x:c>
    </x:row>
    <x:row r="15" ht="92" customHeight="1">
      <x:c r="A15" s="7" t="str">
        <x:v>DP2-B</x:v>
      </x:c>
      <x:c r="B15" s="7" t="str">
        <x:v>C04</x:v>
      </x:c>
      <x:c r="C15" s="7" t="str">
        <x:v>선택 section만 수정하고 관련 대기 음성 갱신</x:v>
      </x:c>
      <x:c r="D15" s="7" t="str">
        <x:v>concept::delivery_history
concept::prepared_audio_range
concept::response_revision
concept::speech_prepare
concept::ui_render</x:v>
      </x:c>
      <x:c r="E15" s="7" t="n">
        <x:v>5</x:v>
      </x:c>
      <x:c r="F15" s="7" t="str">
        <x:v>DESIGN_IMPACT_ESTIMATE_NOT_RUST_DIFF</x:v>
      </x:c>
    </x:row>
    <x:row r="16" ht="92" customHeight="1">
      <x:c r="A16" s="12" t="str">
        <x:v>DP2-B</x:v>
      </x:c>
      <x:c r="B16" s="12" t="str">
        <x:v>C05</x:v>
      </x:c>
      <x:c r="C16" s="12" t="str">
        <x:v>실제로 전달한 설명의 원본 위치/revision 표시</x:v>
      </x:c>
      <x:c r="D16" s="12" t="str">
        <x:v>concept::source_citation
concept::ui_render</x:v>
      </x:c>
      <x:c r="E16" s="12" t="n">
        <x:v>2</x:v>
      </x:c>
      <x:c r="F16" s="12" t="str">
        <x:v>DESIGN_IMPACT_ESTIMATE_NOT_RUST_DIFF</x:v>
      </x:c>
    </x:row>
    <x:row r="17" ht="92" customHeight="1">
      <x:c r="A17" s="7" t="str">
        <x:v>DP2-B</x:v>
      </x:c>
      <x:c r="B17" s="7" t="str">
        <x:v>C06</x:v>
      </x:c>
      <x:c r="C17" s="7" t="str">
        <x:v>선택 source extent 권한 철회</x:v>
      </x:c>
      <x:c r="D17" s="7" t="str">
        <x:v>concept::prepared_audio_range
concept::response_revision
concept::source_epoch
concept::speech_prepare</x:v>
      </x:c>
      <x:c r="E17" s="7" t="n">
        <x:v>4</x:v>
      </x:c>
      <x:c r="F17" s="7" t="str">
        <x:v>DESIGN_IMPACT_ESTIMATE_NOT_RUST_DIFF</x:v>
      </x:c>
    </x:row>
    <x:row r="18" ht="92" customHeight="1">
      <x:c r="A18" s="12" t="str">
        <x:v>DP3-B-R1</x:v>
      </x:c>
      <x:c r="B18" s="12" t="str">
        <x:v>C01</x:v>
      </x:c>
      <x:c r="C18" s="12" t="str">
        <x:v>모델 wire 형식 변경</x:v>
      </x:c>
      <x:c r="D18" s="12" t="str">
        <x:v>concept::model_access_wire</x:v>
      </x:c>
      <x:c r="E18" s="12" t="n">
        <x:v>1</x:v>
      </x:c>
      <x:c r="F18" s="12" t="str">
        <x:v>DESIGN_IMPACT_ESTIMATE_NOT_RUST_DIFF</x:v>
      </x:c>
    </x:row>
    <x:row r="19" ht="92" customHeight="1">
      <x:c r="A19" s="7" t="str">
        <x:v>DP3-B-R1</x:v>
      </x:c>
      <x:c r="B19" s="7" t="str">
        <x:v>C02</x:v>
      </x:c>
      <x:c r="C19" s="7" t="str">
        <x:v>Agent 요청/취소/receipt 형식 변경</x:v>
      </x:c>
      <x:c r="D19" s="7" t="str">
        <x:v>concept::agent_wire</x:v>
      </x:c>
      <x:c r="E19" s="7" t="n">
        <x:v>1</x:v>
      </x:c>
      <x:c r="F19" s="7" t="str">
        <x:v>DESIGN_IMPACT_ESTIMATE_NOT_RUST_DIFF</x:v>
      </x:c>
    </x:row>
    <x:row r="20" ht="92" customHeight="1">
      <x:c r="A20" s="12" t="str">
        <x:v>DP3-B-R1</x:v>
      </x:c>
      <x:c r="B20" s="12" t="str">
        <x:v>C03</x:v>
      </x:c>
      <x:c r="C20" s="12" t="str">
        <x:v>원본 좌표/시각/revision 표현 변경</x:v>
      </x:c>
      <x:c r="D20" s="12" t="str">
        <x:v>concept::source_contract
concept::source_read
concept::visual_evidence_contract</x:v>
      </x:c>
      <x:c r="E20" s="12" t="n">
        <x:v>3</x:v>
      </x:c>
      <x:c r="F20" s="12" t="str">
        <x:v>DESIGN_IMPACT_ESTIMATE_NOT_RUST_DIFF</x:v>
      </x:c>
    </x:row>
    <x:row r="21" ht="92" customHeight="1">
      <x:c r="A21" s="7" t="str">
        <x:v>DP3-B-R1</x:v>
      </x:c>
      <x:c r="B21" s="7" t="str">
        <x:v>C04</x:v>
      </x:c>
      <x:c r="C21" s="7" t="str">
        <x:v>선택 section만 수정하고 관련 대기 음성 갱신</x:v>
      </x:c>
      <x:c r="D21" s="7" t="str">
        <x:v>concept::delivery_history
concept::prepared_audio_range
concept::response_revision
concept::speech_prepare
concept::ui_render</x:v>
      </x:c>
      <x:c r="E21" s="7" t="n">
        <x:v>5</x:v>
      </x:c>
      <x:c r="F21" s="7" t="str">
        <x:v>DESIGN_IMPACT_ESTIMATE_NOT_RUST_DIFF</x:v>
      </x:c>
    </x:row>
    <x:row r="22" ht="92" customHeight="1">
      <x:c r="A22" s="12" t="str">
        <x:v>DP3-B-R1</x:v>
      </x:c>
      <x:c r="B22" s="12" t="str">
        <x:v>C05</x:v>
      </x:c>
      <x:c r="C22" s="12" t="str">
        <x:v>실제로 전달한 설명의 원본 위치/revision 표시</x:v>
      </x:c>
      <x:c r="D22" s="12" t="str">
        <x:v>concept::source_citation
concept::ui_render</x:v>
      </x:c>
      <x:c r="E22" s="12" t="n">
        <x:v>2</x:v>
      </x:c>
      <x:c r="F22" s="12" t="str">
        <x:v>DESIGN_IMPACT_ESTIMATE_NOT_RUST_DIFF</x:v>
      </x:c>
    </x:row>
    <x:row r="23" ht="92" customHeight="1">
      <x:c r="A23" s="7" t="str">
        <x:v>DP3-B-R1</x:v>
      </x:c>
      <x:c r="B23" s="7" t="str">
        <x:v>C06</x:v>
      </x:c>
      <x:c r="C23" s="7" t="str">
        <x:v>선택 source extent 권한 철회</x:v>
      </x:c>
      <x:c r="D23" s="7" t="str">
        <x:v>concept::prepared_audio_range
concept::response_revision
concept::source_epoch
concept::speech_prepare
concept::visual_evidence_contract</x:v>
      </x:c>
      <x:c r="E23" s="7" t="n">
        <x:v>5</x:v>
      </x:c>
      <x:c r="F23" s="7" t="str">
        <x:v>DESIGN_IMPACT_ESTIMATE_NOT_RUST_DIFF</x:v>
      </x:c>
    </x:row>
    <x:row r="24" ht="92" customHeight="1">
      <x:c r="A24" s="12" t="str">
        <x:v>DP3-B-R2</x:v>
      </x:c>
      <x:c r="B24" s="12" t="str">
        <x:v>C01</x:v>
      </x:c>
      <x:c r="C24" s="12" t="str">
        <x:v>모델 wire 형식 변경</x:v>
      </x:c>
      <x:c r="D24" s="12" t="str">
        <x:v>concept::model_access_wire</x:v>
      </x:c>
      <x:c r="E24" s="12" t="n">
        <x:v>1</x:v>
      </x:c>
      <x:c r="F24" s="12" t="str">
        <x:v>DESIGN_IMPACT_ESTIMATE_NOT_RUST_DIFF</x:v>
      </x:c>
    </x:row>
    <x:row r="25" ht="92" customHeight="1">
      <x:c r="A25" s="7" t="str">
        <x:v>DP3-B-R2</x:v>
      </x:c>
      <x:c r="B25" s="7" t="str">
        <x:v>C02</x:v>
      </x:c>
      <x:c r="C25" s="7" t="str">
        <x:v>Agent 요청/취소/receipt 형식 변경</x:v>
      </x:c>
      <x:c r="D25" s="7" t="str">
        <x:v>concept::agent_wire</x:v>
      </x:c>
      <x:c r="E25" s="7" t="n">
        <x:v>1</x:v>
      </x:c>
      <x:c r="F25" s="7" t="str">
        <x:v>DESIGN_IMPACT_ESTIMATE_NOT_RUST_DIFF</x:v>
      </x:c>
    </x:row>
    <x:row r="26" ht="92" customHeight="1">
      <x:c r="A26" s="12" t="str">
        <x:v>DP3-B-R2</x:v>
      </x:c>
      <x:c r="B26" s="12" t="str">
        <x:v>C03</x:v>
      </x:c>
      <x:c r="C26" s="12" t="str">
        <x:v>원본 좌표/시각/revision 표현 변경</x:v>
      </x:c>
      <x:c r="D26" s="12" t="str">
        <x:v>concept::source_contract
concept::source_read
concept::visual_evidence_contract</x:v>
      </x:c>
      <x:c r="E26" s="12" t="n">
        <x:v>3</x:v>
      </x:c>
      <x:c r="F26" s="12" t="str">
        <x:v>DESIGN_IMPACT_ESTIMATE_NOT_RUST_DIFF</x:v>
      </x:c>
    </x:row>
    <x:row r="27" ht="92" customHeight="1">
      <x:c r="A27" s="7" t="str">
        <x:v>DP3-B-R2</x:v>
      </x:c>
      <x:c r="B27" s="7" t="str">
        <x:v>C04</x:v>
      </x:c>
      <x:c r="C27" s="7" t="str">
        <x:v>선택 section만 수정하고 관련 대기 음성 갱신</x:v>
      </x:c>
      <x:c r="D27" s="7" t="str">
        <x:v>concept::delivery_history
concept::prepared_audio_range
concept::response_revision
concept::speech_prepare
concept::ui_render</x:v>
      </x:c>
      <x:c r="E27" s="7" t="n">
        <x:v>5</x:v>
      </x:c>
      <x:c r="F27" s="7" t="str">
        <x:v>DESIGN_IMPACT_ESTIMATE_NOT_RUST_DIFF</x:v>
      </x:c>
    </x:row>
    <x:row r="28" ht="92" customHeight="1">
      <x:c r="A28" s="12" t="str">
        <x:v>DP3-B-R2</x:v>
      </x:c>
      <x:c r="B28" s="12" t="str">
        <x:v>C05</x:v>
      </x:c>
      <x:c r="C28" s="12" t="str">
        <x:v>실제로 전달한 설명의 원본 위치/revision 표시</x:v>
      </x:c>
      <x:c r="D28" s="12" t="str">
        <x:v>concept::source_citation
concept::ui_render</x:v>
      </x:c>
      <x:c r="E28" s="12" t="n">
        <x:v>2</x:v>
      </x:c>
      <x:c r="F28" s="12" t="str">
        <x:v>DESIGN_IMPACT_ESTIMATE_NOT_RUST_DIFF</x:v>
      </x:c>
    </x:row>
    <x:row r="29" ht="92" customHeight="1">
      <x:c r="A29" s="7" t="str">
        <x:v>DP3-B-R2</x:v>
      </x:c>
      <x:c r="B29" s="7" t="str">
        <x:v>C06</x:v>
      </x:c>
      <x:c r="C29" s="7" t="str">
        <x:v>선택 source extent 권한 철회</x:v>
      </x:c>
      <x:c r="D29" s="7" t="str">
        <x:v>concept::prepared_audio_range
concept::response_revision
concept::source_epoch
concept::speech_prepare
concept::visual_evidence_contract</x:v>
      </x:c>
      <x:c r="E29" s="7" t="n">
        <x:v>5</x:v>
      </x:c>
      <x:c r="F29" s="7" t="str">
        <x:v>DESIGN_IMPACT_ESTIMATE_NOT_RUST_DIFF</x:v>
      </x:c>
    </x:row>
    <x:row r="30" ht="92" customHeight="1">
      <x:c r="A30" s="12" t="str">
        <x:v>DP3-B-R3</x:v>
      </x:c>
      <x:c r="B30" s="12" t="str">
        <x:v>C01</x:v>
      </x:c>
      <x:c r="C30" s="12" t="str">
        <x:v>모델 wire 형식 변경</x:v>
      </x:c>
      <x:c r="D30" s="12" t="str">
        <x:v>concept::model_access_wire</x:v>
      </x:c>
      <x:c r="E30" s="12" t="n">
        <x:v>1</x:v>
      </x:c>
      <x:c r="F30" s="12" t="str">
        <x:v>DESIGN_IMPACT_ESTIMATE_NOT_RUST_DIFF</x:v>
      </x:c>
    </x:row>
    <x:row r="31" ht="92" customHeight="1">
      <x:c r="A31" s="7" t="str">
        <x:v>DP3-B-R3</x:v>
      </x:c>
      <x:c r="B31" s="7" t="str">
        <x:v>C02</x:v>
      </x:c>
      <x:c r="C31" s="7" t="str">
        <x:v>Agent 요청/취소/receipt 형식 변경</x:v>
      </x:c>
      <x:c r="D31" s="7" t="str">
        <x:v>concept::agent_wire</x:v>
      </x:c>
      <x:c r="E31" s="7" t="n">
        <x:v>1</x:v>
      </x:c>
      <x:c r="F31" s="7" t="str">
        <x:v>DESIGN_IMPACT_ESTIMATE_NOT_RUST_DIFF</x:v>
      </x:c>
    </x:row>
    <x:row r="32" ht="92" customHeight="1">
      <x:c r="A32" s="12" t="str">
        <x:v>DP3-B-R3</x:v>
      </x:c>
      <x:c r="B32" s="12" t="str">
        <x:v>C03</x:v>
      </x:c>
      <x:c r="C32" s="12" t="str">
        <x:v>원본 좌표/시각/revision 표현 변경</x:v>
      </x:c>
      <x:c r="D32" s="12" t="str">
        <x:v>concept::source_contract
concept::source_read
concept::visual_evidence_contract</x:v>
      </x:c>
      <x:c r="E32" s="12" t="n">
        <x:v>3</x:v>
      </x:c>
      <x:c r="F32" s="12" t="str">
        <x:v>DESIGN_IMPACT_ESTIMATE_NOT_RUST_DIFF</x:v>
      </x:c>
    </x:row>
    <x:row r="33" ht="92" customHeight="1">
      <x:c r="A33" s="7" t="str">
        <x:v>DP3-B-R3</x:v>
      </x:c>
      <x:c r="B33" s="7" t="str">
        <x:v>C04</x:v>
      </x:c>
      <x:c r="C33" s="7" t="str">
        <x:v>선택 section만 수정하고 관련 대기 음성 갱신</x:v>
      </x:c>
      <x:c r="D33" s="7" t="str">
        <x:v>concept::delivery_history
concept::prepared_audio_range
concept::response_revision
concept::speech_prepare
concept::ui_render</x:v>
      </x:c>
      <x:c r="E33" s="7" t="n">
        <x:v>5</x:v>
      </x:c>
      <x:c r="F33" s="7" t="str">
        <x:v>DESIGN_IMPACT_ESTIMATE_NOT_RUST_DIFF</x:v>
      </x:c>
    </x:row>
    <x:row r="34" ht="92" customHeight="1">
      <x:c r="A34" s="12" t="str">
        <x:v>DP3-B-R3</x:v>
      </x:c>
      <x:c r="B34" s="12" t="str">
        <x:v>C05</x:v>
      </x:c>
      <x:c r="C34" s="12" t="str">
        <x:v>실제로 전달한 설명의 원본 위치/revision 표시</x:v>
      </x:c>
      <x:c r="D34" s="12" t="str">
        <x:v>concept::source_citation
concept::ui_render</x:v>
      </x:c>
      <x:c r="E34" s="12" t="n">
        <x:v>2</x:v>
      </x:c>
      <x:c r="F34" s="12" t="str">
        <x:v>DESIGN_IMPACT_ESTIMATE_NOT_RUST_DIFF</x:v>
      </x:c>
    </x:row>
    <x:row r="35" ht="92" customHeight="1">
      <x:c r="A35" s="7" t="str">
        <x:v>DP3-B-R3</x:v>
      </x:c>
      <x:c r="B35" s="7" t="str">
        <x:v>C06</x:v>
      </x:c>
      <x:c r="C35" s="7" t="str">
        <x:v>선택 source extent 권한 철회</x:v>
      </x:c>
      <x:c r="D35" s="7" t="str">
        <x:v>concept::prepared_audio_range
concept::response_revision
concept::source_epoch
concept::speech_prepare
concept::visual_evidence_contract</x:v>
      </x:c>
      <x:c r="E35" s="7" t="n">
        <x:v>5</x:v>
      </x:c>
      <x:c r="F35" s="7" t="str">
        <x:v>DESIGN_IMPACT_ESTIMATE_NOT_RUST_DIFF</x:v>
      </x:c>
    </x:row>
    <x:row r="36" ht="92" customHeight="1">
      <x:c r="A36" s="12" t="str">
        <x:v>DP5-B</x:v>
      </x:c>
      <x:c r="B36" s="12" t="str">
        <x:v>C01</x:v>
      </x:c>
      <x:c r="C36" s="12" t="str">
        <x:v>모델 wire 형식 변경</x:v>
      </x:c>
      <x:c r="D36" s="12" t="str">
        <x:v>concept::model_access_wire</x:v>
      </x:c>
      <x:c r="E36" s="12" t="n">
        <x:v>1</x:v>
      </x:c>
      <x:c r="F36" s="12" t="str">
        <x:v>DESIGN_IMPACT_ESTIMATE_NOT_RUST_DIFF</x:v>
      </x:c>
    </x:row>
    <x:row r="37" ht="92" customHeight="1">
      <x:c r="A37" s="7" t="str">
        <x:v>DP5-B</x:v>
      </x:c>
      <x:c r="B37" s="7" t="str">
        <x:v>C02</x:v>
      </x:c>
      <x:c r="C37" s="7" t="str">
        <x:v>Agent 요청/취소/receipt 형식 변경</x:v>
      </x:c>
      <x:c r="D37" s="7" t="str">
        <x:v>concept::agent_wire</x:v>
      </x:c>
      <x:c r="E37" s="7" t="n">
        <x:v>1</x:v>
      </x:c>
      <x:c r="F37" s="7" t="str">
        <x:v>DESIGN_IMPACT_ESTIMATE_NOT_RUST_DIFF</x:v>
      </x:c>
    </x:row>
    <x:row r="38" ht="92" customHeight="1">
      <x:c r="A38" s="12" t="str">
        <x:v>DP5-B</x:v>
      </x:c>
      <x:c r="B38" s="12" t="str">
        <x:v>C03</x:v>
      </x:c>
      <x:c r="C38" s="12" t="str">
        <x:v>원본 좌표/시각/revision 표현 변경</x:v>
      </x:c>
      <x:c r="D38" s="12" t="str">
        <x:v>concept::relation_provenance
concept::source_contract
concept::source_read</x:v>
      </x:c>
      <x:c r="E38" s="12" t="n">
        <x:v>3</x:v>
      </x:c>
      <x:c r="F38" s="12" t="str">
        <x:v>DESIGN_IMPACT_ESTIMATE_NOT_RUST_DIFF</x:v>
      </x:c>
    </x:row>
    <x:row r="39" ht="92" customHeight="1">
      <x:c r="A39" s="7" t="str">
        <x:v>DP5-B</x:v>
      </x:c>
      <x:c r="B39" s="7" t="str">
        <x:v>C04</x:v>
      </x:c>
      <x:c r="C39" s="7" t="str">
        <x:v>선택 section만 수정하고 관련 대기 음성 갱신</x:v>
      </x:c>
      <x:c r="D39" s="7" t="str">
        <x:v>concept::delivery_history
concept::prepared_audio_range
concept::response_revision
concept::speech_prepare
concept::ui_render</x:v>
      </x:c>
      <x:c r="E39" s="7" t="n">
        <x:v>5</x:v>
      </x:c>
      <x:c r="F39" s="7" t="str">
        <x:v>DESIGN_IMPACT_ESTIMATE_NOT_RUST_DIFF</x:v>
      </x:c>
    </x:row>
    <x:row r="40" ht="92" customHeight="1">
      <x:c r="A40" s="12" t="str">
        <x:v>DP5-B</x:v>
      </x:c>
      <x:c r="B40" s="12" t="str">
        <x:v>C05</x:v>
      </x:c>
      <x:c r="C40" s="12" t="str">
        <x:v>실제로 전달한 설명의 원본 위치/revision 표시</x:v>
      </x:c>
      <x:c r="D40" s="12" t="str">
        <x:v>concept::relation_provenance
concept::source_citation
concept::ui_render</x:v>
      </x:c>
      <x:c r="E40" s="12" t="n">
        <x:v>3</x:v>
      </x:c>
      <x:c r="F40" s="12" t="str">
        <x:v>DESIGN_IMPACT_ESTIMATE_NOT_RUST_DIFF</x:v>
      </x:c>
    </x:row>
    <x:row r="41" ht="92" customHeight="1">
      <x:c r="A41" s="7" t="str">
        <x:v>DP5-B</x:v>
      </x:c>
      <x:c r="B41" s="7" t="str">
        <x:v>C06</x:v>
      </x:c>
      <x:c r="C41" s="7" t="str">
        <x:v>선택 source extent 권한 철회</x:v>
      </x:c>
      <x:c r="D41" s="7" t="str">
        <x:v>concept::prepared_audio_range
concept::relation_provenance
concept::response_revision
concept::source_epoch
concept::speech_prepare</x:v>
      </x:c>
      <x:c r="E41" s="7" t="n">
        <x:v>5</x:v>
      </x:c>
      <x:c r="F41" s="7" t="str">
        <x:v>DESIGN_IMPACT_ESTIMATE_NOT_RUST_DIFF</x:v>
      </x:c>
    </x:row>
    <x:row r="42" ht="92" customHeight="1">
      <x:c r="A42" s="12" t="str">
        <x:v>DP44-B</x:v>
      </x:c>
      <x:c r="B42" s="12" t="str">
        <x:v>C01</x:v>
      </x:c>
      <x:c r="C42" s="12" t="str">
        <x:v>모델 wire 형식 변경</x:v>
      </x:c>
      <x:c r="D42" s="12" t="str">
        <x:v>concept::model_access_wire</x:v>
      </x:c>
      <x:c r="E42" s="12" t="n">
        <x:v>1</x:v>
      </x:c>
      <x:c r="F42" s="12" t="str">
        <x:v>DESIGN_IMPACT_ESTIMATE_NOT_RUST_DIFF</x:v>
      </x:c>
    </x:row>
    <x:row r="43" ht="92" customHeight="1">
      <x:c r="A43" s="7" t="str">
        <x:v>DP44-B</x:v>
      </x:c>
      <x:c r="B43" s="7" t="str">
        <x:v>C02</x:v>
      </x:c>
      <x:c r="C43" s="7" t="str">
        <x:v>Agent 요청/취소/receipt 형식 변경</x:v>
      </x:c>
      <x:c r="D43" s="7" t="str">
        <x:v>concept::agent_wire</x:v>
      </x:c>
      <x:c r="E43" s="7" t="n">
        <x:v>1</x:v>
      </x:c>
      <x:c r="F43" s="7" t="str">
        <x:v>DESIGN_IMPACT_ESTIMATE_NOT_RUST_DIFF</x:v>
      </x:c>
    </x:row>
    <x:row r="44" ht="92" customHeight="1">
      <x:c r="A44" s="12" t="str">
        <x:v>DP44-B</x:v>
      </x:c>
      <x:c r="B44" s="12" t="str">
        <x:v>C03</x:v>
      </x:c>
      <x:c r="C44" s="12" t="str">
        <x:v>원본 좌표/시각/revision 표현 변경</x:v>
      </x:c>
      <x:c r="D44" s="12" t="str">
        <x:v>concept::source_contract
concept::source_read</x:v>
      </x:c>
      <x:c r="E44" s="12" t="n">
        <x:v>2</x:v>
      </x:c>
      <x:c r="F44" s="12" t="str">
        <x:v>DESIGN_IMPACT_ESTIMATE_NOT_RUST_DIFF</x:v>
      </x:c>
    </x:row>
    <x:row r="45" ht="92" customHeight="1">
      <x:c r="A45" s="7" t="str">
        <x:v>DP44-B</x:v>
      </x:c>
      <x:c r="B45" s="7" t="str">
        <x:v>C04</x:v>
      </x:c>
      <x:c r="C45" s="7" t="str">
        <x:v>선택 section만 수정하고 관련 대기 음성 갱신</x:v>
      </x:c>
      <x:c r="D45" s="7" t="str">
        <x:v>concept::delivery_history
concept::response_revision
concept::speech_turn
concept::ui_render</x:v>
      </x:c>
      <x:c r="E45" s="7" t="n">
        <x:v>4</x:v>
      </x:c>
      <x:c r="F45" s="7" t="str">
        <x:v>DESIGN_IMPACT_ESTIMATE_NOT_RUST_DIFF</x:v>
      </x:c>
    </x:row>
    <x:row r="46" ht="92" customHeight="1">
      <x:c r="A46" s="12" t="str">
        <x:v>DP44-B</x:v>
      </x:c>
      <x:c r="B46" s="12" t="str">
        <x:v>C05</x:v>
      </x:c>
      <x:c r="C46" s="12" t="str">
        <x:v>실제로 전달한 설명의 원본 위치/revision 표시</x:v>
      </x:c>
      <x:c r="D46" s="12" t="str">
        <x:v>concept::source_citation
concept::ui_render</x:v>
      </x:c>
      <x:c r="E46" s="12" t="n">
        <x:v>2</x:v>
      </x:c>
      <x:c r="F46" s="12" t="str">
        <x:v>DESIGN_IMPACT_ESTIMATE_NOT_RUST_DIFF</x:v>
      </x:c>
    </x:row>
    <x:row r="47" ht="92" customHeight="1">
      <x:c r="A47" s="7" t="str">
        <x:v>DP44-B</x:v>
      </x:c>
      <x:c r="B47" s="7" t="str">
        <x:v>C06</x:v>
      </x:c>
      <x:c r="C47" s="7" t="str">
        <x:v>선택 source extent 권한 철회</x:v>
      </x:c>
      <x:c r="D47" s="7" t="str">
        <x:v>concept::response_revision
concept::source_epoch
concept::speech_turn</x:v>
      </x:c>
      <x:c r="E47" s="7" t="n">
        <x:v>3</x:v>
      </x:c>
      <x:c r="F47" s="7" t="str">
        <x:v>DESIGN_IMPACT_ESTIMATE_NOT_RUST_DIFF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12" hidden="0" customWidth="1"/>
    <x:col min="4" max="4" width="38" hidden="0" customWidth="1"/>
    <x:col min="5" max="5" width="38" hidden="0" customWidth="1"/>
    <x:col min="6" max="6" width="14" hidden="0" customWidth="1"/>
  </x:cols>
  <x:sheetData>
    <x:row r="1" ht="38" customHeight="1">
      <x:c r="A1" s="6" t="str">
        <x:v>QA02 공통 정답과 최초 채택 출력</x:v>
      </x:c>
      <x:c r="B1" s="6"/>
      <x:c r="C1" s="6"/>
      <x:c r="D1" s="6"/>
      <x:c r="E1" s="6"/>
      <x:c r="F1" s="6"/>
    </x:row>
    <x:row r="2" ht="23" customHeight="1">
      <x:c r="A2" s="8" t="str">
        <x:v>후보 출력은 모두 비어 있다. 평가자가 검증한 최초 채택 집합을 canonical 형식으로 입력해야 한다. 33개가 모두 채워지기 전에는 집계가 미산출이다.</x:v>
      </x:c>
      <x:c r="B2" s="8"/>
      <x:c r="C2" s="8"/>
      <x:c r="D2" s="8"/>
      <x:c r="E2" s="8"/>
      <x:c r="F2" s="8"/>
    </x:row>
    <x:row r="3" ht="23" customHeight="1">
      <x:c r="A3" s="8"/>
      <x:c r="B3" s="8"/>
      <x:c r="C3" s="8"/>
      <x:c r="D3" s="8"/>
      <x:c r="E3" s="8"/>
      <x:c r="F3" s="8"/>
    </x:row>
    <x:row r="4">
      <x:c r="A4" s="3"/>
      <x:c r="B4" s="3"/>
      <x:c r="C4" s="3"/>
      <x:c r="D4" s="3"/>
      <x:c r="E4" s="3"/>
      <x:c r="F4" s="3"/>
    </x:row>
    <x:row r="5" ht="38" customHeight="1">
      <x:c r="A5" s="11" t="str">
        <x:v>구성</x:v>
      </x:c>
      <x:c r="B5" s="11" t="str">
        <x:v>사례</x:v>
      </x:c>
      <x:c r="C5" s="11" t="str">
        <x:v>표현 번호</x:v>
      </x:c>
      <x:c r="D5" s="11" t="str">
        <x:v>정답 canonical set</x:v>
      </x:c>
      <x:c r="E5" s="11" t="str">
        <x:v>관측 출력 canonical set</x:v>
      </x:c>
      <x:c r="F5" s="11" t="str">
        <x:v>일치 1/0</x:v>
      </x:c>
    </x:row>
    <x:row r="6" ht="48" customHeight="1">
      <x:c r="A6" s="12" t="str">
        <x:v>BASE</x:v>
      </x:c>
      <x:c r="B6" s="12" t="str">
        <x:v>U02</x:v>
      </x:c>
      <x:c r="C6" s="12" t="n">
        <x:v>1</x:v>
      </x:c>
      <x:c r="D6" s="12" t="str">
        <x:v>["R1"]</x:v>
      </x:c>
      <x:c r="E6" s="19"/>
      <x:c r="F6" s="12" t="str">
        <x:f>IF(E6="","",IF(EXACT(D6,E6),1,0))</x:f>
      </x:c>
    </x:row>
    <x:row r="7" ht="48" customHeight="1">
      <x:c r="A7" s="7" t="str">
        <x:v>BASE</x:v>
      </x:c>
      <x:c r="B7" s="7" t="str">
        <x:v>U03</x:v>
      </x:c>
      <x:c r="C7" s="7" t="n">
        <x:v>1</x:v>
      </x:c>
      <x:c r="D7" s="7" t="str">
        <x:v>["D1@v1"]</x:v>
      </x:c>
      <x:c r="E7" s="19"/>
      <x:c r="F7" s="7" t="str">
        <x:f>IF(E7="","",IF(EXACT(D7,E7),1,0))</x:f>
      </x:c>
    </x:row>
    <x:row r="8" ht="48" customHeight="1">
      <x:c r="A8" s="12" t="str">
        <x:v>BASE</x:v>
      </x:c>
      <x:c r="B8" s="12" t="str">
        <x:v>U04</x:v>
      </x:c>
      <x:c r="C8" s="12" t="n">
        <x:v>1</x:v>
      </x:c>
      <x:c r="D8" s="12" t="str">
        <x:v>["T1"]</x:v>
      </x:c>
      <x:c r="E8" s="19"/>
      <x:c r="F8" s="12" t="str">
        <x:f>IF(E8="","",IF(EXACT(D8,E8),1,0))</x:f>
      </x:c>
    </x:row>
    <x:row r="9" ht="48" customHeight="1">
      <x:c r="A9" s="7" t="str">
        <x:v>BASE</x:v>
      </x:c>
      <x:c r="B9" s="7" t="str">
        <x:v>U05</x:v>
      </x:c>
      <x:c r="C9" s="7" t="n">
        <x:v>1</x:v>
      </x:c>
      <x:c r="D9" s="7" t="str">
        <x:v>["D1"]</x:v>
      </x:c>
      <x:c r="E9" s="19"/>
      <x:c r="F9" s="7" t="str">
        <x:f>IF(E9="","",IF(EXACT(D9,E9),1,0))</x:f>
      </x:c>
    </x:row>
    <x:row r="10" ht="48" customHeight="1">
      <x:c r="A10" s="12" t="str">
        <x:v>BASE</x:v>
      </x:c>
      <x:c r="B10" s="12" t="str">
        <x:v>U06</x:v>
      </x:c>
      <x:c r="C10" s="12" t="n">
        <x:v>1</x:v>
      </x:c>
      <x:c r="D10" s="12" t="str">
        <x:v>["D1"]</x:v>
      </x:c>
      <x:c r="E10" s="19"/>
      <x:c r="F10" s="12" t="str">
        <x:f>IF(E10="","",IF(EXACT(D10,E10),1,0))</x:f>
      </x:c>
    </x:row>
    <x:row r="11" ht="48" customHeight="1">
      <x:c r="A11" s="7" t="str">
        <x:v>BASE</x:v>
      </x:c>
      <x:c r="B11" s="7" t="str">
        <x:v>U06</x:v>
      </x:c>
      <x:c r="C11" s="7" t="n">
        <x:v>2</x:v>
      </x:c>
      <x:c r="D11" s="7" t="str">
        <x:v>["D2"]</x:v>
      </x:c>
      <x:c r="E11" s="19"/>
      <x:c r="F11" s="7" t="str">
        <x:f>IF(E11="","",IF(EXACT(D11,E11),1,0))</x:f>
      </x:c>
    </x:row>
    <x:row r="12" ht="48" customHeight="1">
      <x:c r="A12" s="12" t="str">
        <x:v>BASE</x:v>
      </x:c>
      <x:c r="B12" s="12" t="str">
        <x:v>U07</x:v>
      </x:c>
      <x:c r="C12" s="12" t="n">
        <x:v>1</x:v>
      </x:c>
      <x:c r="D12" s="12" t="str">
        <x:v>["D2"]</x:v>
      </x:c>
      <x:c r="E12" s="19"/>
      <x:c r="F12" s="12" t="str">
        <x:f>IF(E12="","",IF(EXACT(D12,E12),1,0))</x:f>
      </x:c>
    </x:row>
    <x:row r="13" ht="48" customHeight="1">
      <x:c r="A13" s="7" t="str">
        <x:v>BASE</x:v>
      </x:c>
      <x:c r="B13" s="7" t="str">
        <x:v>U08</x:v>
      </x:c>
      <x:c r="C13" s="7" t="n">
        <x:v>1</x:v>
      </x:c>
      <x:c r="D13" s="7" t="str">
        <x:v>["D1"]</x:v>
      </x:c>
      <x:c r="E13" s="19"/>
      <x:c r="F13" s="7" t="str">
        <x:f>IF(E13="","",IF(EXACT(D13,E13),1,0))</x:f>
      </x:c>
    </x:row>
    <x:row r="14" ht="48" customHeight="1">
      <x:c r="A14" s="12" t="str">
        <x:v>BASE</x:v>
      </x:c>
      <x:c r="B14" s="12" t="str">
        <x:v>U09</x:v>
      </x:c>
      <x:c r="C14" s="12" t="n">
        <x:v>1</x:v>
      </x:c>
      <x:c r="D14" s="12" t="str">
        <x:v>["Q1@v1","Q2@v1"]</x:v>
      </x:c>
      <x:c r="E14" s="19"/>
      <x:c r="F14" s="12" t="str">
        <x:f>IF(E14="","",IF(EXACT(D14,E14),1,0))</x:f>
      </x:c>
    </x:row>
    <x:row r="15" ht="48" customHeight="1">
      <x:c r="A15" s="7" t="str">
        <x:v>BASE</x:v>
      </x:c>
      <x:c r="B15" s="7" t="str">
        <x:v>U10</x:v>
      </x:c>
      <x:c r="C15" s="7" t="n">
        <x:v>1</x:v>
      </x:c>
      <x:c r="D15" s="7" t="str">
        <x:v>["Q1","Q2"]</x:v>
      </x:c>
      <x:c r="E15" s="19"/>
      <x:c r="F15" s="7" t="str">
        <x:f>IF(E15="","",IF(EXACT(D15,E15),1,0))</x:f>
      </x:c>
    </x:row>
    <x:row r="16" ht="48" customHeight="1">
      <x:c r="A16" s="12" t="str">
        <x:v>BASE</x:v>
      </x:c>
      <x:c r="B16" s="12" t="str">
        <x:v>U11</x:v>
      </x:c>
      <x:c r="C16" s="12" t="n">
        <x:v>1</x:v>
      </x:c>
      <x:c r="D16" s="12" t="str">
        <x:v>["Q1"]</x:v>
      </x:c>
      <x:c r="E16" s="19"/>
      <x:c r="F16" s="12" t="str">
        <x:f>IF(E16="","",IF(EXACT(D16,E16),1,0))</x:f>
      </x:c>
    </x:row>
    <x:row r="17" ht="48" customHeight="1">
      <x:c r="A17" s="7" t="str">
        <x:v>BASE</x:v>
      </x:c>
      <x:c r="B17" s="7" t="str">
        <x:v>U11</x:v>
      </x:c>
      <x:c r="C17" s="7" t="n">
        <x:v>2</x:v>
      </x:c>
      <x:c r="D17" s="7" t="str">
        <x:v>["Q2"]</x:v>
      </x:c>
      <x:c r="E17" s="19"/>
      <x:c r="F17" s="7" t="str">
        <x:f>IF(E17="","",IF(EXACT(D17,E17),1,0))</x:f>
      </x:c>
    </x:row>
    <x:row r="18" ht="48" customHeight="1">
      <x:c r="A18" s="12" t="str">
        <x:v>BASE</x:v>
      </x:c>
      <x:c r="B18" s="12" t="str">
        <x:v>U12</x:v>
      </x:c>
      <x:c r="C18" s="12" t="n">
        <x:v>1</x:v>
      </x:c>
      <x:c r="D18" s="12" t="str">
        <x:v>["Q1","Q2"]</x:v>
      </x:c>
      <x:c r="E18" s="19"/>
      <x:c r="F18" s="12" t="str">
        <x:f>IF(E18="","",IF(EXACT(D18,E18),1,0))</x:f>
      </x:c>
    </x:row>
    <x:row r="19" ht="48" customHeight="1">
      <x:c r="A19" s="7" t="str">
        <x:v>BASE</x:v>
      </x:c>
      <x:c r="B19" s="7" t="str">
        <x:v>U13</x:v>
      </x:c>
      <x:c r="C19" s="7" t="n">
        <x:v>1</x:v>
      </x:c>
      <x:c r="D19" s="7" t="str">
        <x:v>["D2"]</x:v>
      </x:c>
      <x:c r="E19" s="19"/>
      <x:c r="F19" s="7" t="str">
        <x:f>IF(E19="","",IF(EXACT(D19,E19),1,0))</x:f>
      </x:c>
    </x:row>
    <x:row r="20" ht="48" customHeight="1">
      <x:c r="A20" s="12" t="str">
        <x:v>BASE</x:v>
      </x:c>
      <x:c r="B20" s="12" t="str">
        <x:v>U13</x:v>
      </x:c>
      <x:c r="C20" s="12" t="n">
        <x:v>2</x:v>
      </x:c>
      <x:c r="D20" s="12" t="str">
        <x:v>["P"]</x:v>
      </x:c>
      <x:c r="E20" s="19"/>
      <x:c r="F20" s="12" t="str">
        <x:f>IF(E20="","",IF(EXACT(D20,E20),1,0))</x:f>
      </x:c>
    </x:row>
    <x:row r="21" ht="48" customHeight="1">
      <x:c r="A21" s="7" t="str">
        <x:v>BASE</x:v>
      </x:c>
      <x:c r="B21" s="7" t="str">
        <x:v>U14</x:v>
      </x:c>
      <x:c r="C21" s="7" t="n">
        <x:v>1</x:v>
      </x:c>
      <x:c r="D21" s="7" t="str">
        <x:v>["D2"]</x:v>
      </x:c>
      <x:c r="E21" s="19"/>
      <x:c r="F21" s="7" t="str">
        <x:f>IF(E21="","",IF(EXACT(D21,E21),1,0))</x:f>
      </x:c>
    </x:row>
    <x:row r="22" ht="48" customHeight="1">
      <x:c r="A22" s="12" t="str">
        <x:v>BASE</x:v>
      </x:c>
      <x:c r="B22" s="12" t="str">
        <x:v>U15</x:v>
      </x:c>
      <x:c r="C22" s="12" t="n">
        <x:v>1</x:v>
      </x:c>
      <x:c r="D22" s="12" t="str">
        <x:v>["D2"]</x:v>
      </x:c>
      <x:c r="E22" s="19"/>
      <x:c r="F22" s="12" t="str">
        <x:f>IF(E22="","",IF(EXACT(D22,E22),1,0))</x:f>
      </x:c>
    </x:row>
    <x:row r="23" ht="48" customHeight="1">
      <x:c r="A23" s="7" t="str">
        <x:v>BASE</x:v>
      </x:c>
      <x:c r="B23" s="7" t="str">
        <x:v>U16</x:v>
      </x:c>
      <x:c r="C23" s="7" t="n">
        <x:v>1</x:v>
      </x:c>
      <x:c r="D23" s="7" t="str">
        <x:v>["F1"]</x:v>
      </x:c>
      <x:c r="E23" s="19"/>
      <x:c r="F23" s="7" t="str">
        <x:f>IF(E23="","",IF(EXACT(D23,E23),1,0))</x:f>
      </x:c>
    </x:row>
    <x:row r="24" ht="48" customHeight="1">
      <x:c r="A24" s="12" t="str">
        <x:v>BASE</x:v>
      </x:c>
      <x:c r="B24" s="12" t="str">
        <x:v>U17</x:v>
      </x:c>
      <x:c r="C24" s="12" t="n">
        <x:v>1</x:v>
      </x:c>
      <x:c r="D24" s="12" t="str">
        <x:v>["Q1"]</x:v>
      </x:c>
      <x:c r="E24" s="19"/>
      <x:c r="F24" s="12" t="str">
        <x:f>IF(E24="","",IF(EXACT(D24,E24),1,0))</x:f>
      </x:c>
    </x:row>
    <x:row r="25" ht="48" customHeight="1">
      <x:c r="A25" s="7" t="str">
        <x:v>BASE</x:v>
      </x:c>
      <x:c r="B25" s="7" t="str">
        <x:v>U18</x:v>
      </x:c>
      <x:c r="C25" s="7" t="n">
        <x:v>1</x:v>
      </x:c>
      <x:c r="D25" s="7" t="str">
        <x:v>["R1"]</x:v>
      </x:c>
      <x:c r="E25" s="19"/>
      <x:c r="F25" s="7" t="str">
        <x:f>IF(E25="","",IF(EXACT(D25,E25),1,0))</x:f>
      </x:c>
    </x:row>
    <x:row r="26" ht="48" customHeight="1">
      <x:c r="A26" s="12" t="str">
        <x:v>BASE</x:v>
      </x:c>
      <x:c r="B26" s="12" t="str">
        <x:v>U18</x:v>
      </x:c>
      <x:c r="C26" s="12" t="n">
        <x:v>2</x:v>
      </x:c>
      <x:c r="D26" s="12" t="str">
        <x:v>["Q1"]</x:v>
      </x:c>
      <x:c r="E26" s="19"/>
      <x:c r="F26" s="12" t="str">
        <x:f>IF(E26="","",IF(EXACT(D26,E26),1,0))</x:f>
      </x:c>
    </x:row>
    <x:row r="27" ht="48" customHeight="1">
      <x:c r="A27" s="7" t="str">
        <x:v>BASE</x:v>
      </x:c>
      <x:c r="B27" s="7" t="str">
        <x:v>U19</x:v>
      </x:c>
      <x:c r="C27" s="7" t="n">
        <x:v>1</x:v>
      </x:c>
      <x:c r="D27" s="7" t="str">
        <x:v>["Q1"]</x:v>
      </x:c>
      <x:c r="E27" s="19"/>
      <x:c r="F27" s="7" t="str">
        <x:f>IF(E27="","",IF(EXACT(D27,E27),1,0))</x:f>
      </x:c>
    </x:row>
    <x:row r="28" ht="48" customHeight="1">
      <x:c r="A28" s="12" t="str">
        <x:v>BASE</x:v>
      </x:c>
      <x:c r="B28" s="12" t="str">
        <x:v>U19</x:v>
      </x:c>
      <x:c r="C28" s="12" t="n">
        <x:v>2</x:v>
      </x:c>
      <x:c r="D28" s="12" t="str">
        <x:v>["R0"]</x:v>
      </x:c>
      <x:c r="E28" s="19"/>
      <x:c r="F28" s="12" t="str">
        <x:f>IF(E28="","",IF(EXACT(D28,E28),1,0))</x:f>
      </x:c>
    </x:row>
    <x:row r="29" ht="48" customHeight="1">
      <x:c r="A29" s="7" t="str">
        <x:v>BASE</x:v>
      </x:c>
      <x:c r="B29" s="7" t="str">
        <x:v>U20</x:v>
      </x:c>
      <x:c r="C29" s="7" t="n">
        <x:v>1</x:v>
      </x:c>
      <x:c r="D29" s="7" t="str">
        <x:v>["R0"]</x:v>
      </x:c>
      <x:c r="E29" s="19"/>
      <x:c r="F29" s="7" t="str">
        <x:f>IF(E29="","",IF(EXACT(D29,E29),1,0))</x:f>
      </x:c>
    </x:row>
    <x:row r="30" ht="48" customHeight="1">
      <x:c r="A30" s="12" t="str">
        <x:v>BASE</x:v>
      </x:c>
      <x:c r="B30" s="12" t="str">
        <x:v>U21</x:v>
      </x:c>
      <x:c r="C30" s="12" t="n">
        <x:v>1</x:v>
      </x:c>
      <x:c r="D30" s="12" t="str">
        <x:v>["Q1","Q2"]</x:v>
      </x:c>
      <x:c r="E30" s="19"/>
      <x:c r="F30" s="12" t="str">
        <x:f>IF(E30="","",IF(EXACT(D30,E30),1,0))</x:f>
      </x:c>
    </x:row>
    <x:row r="31" ht="48" customHeight="1">
      <x:c r="A31" s="7" t="str">
        <x:v>BASE</x:v>
      </x:c>
      <x:c r="B31" s="7" t="str">
        <x:v>U21</x:v>
      </x:c>
      <x:c r="C31" s="7" t="n">
        <x:v>2</x:v>
      </x:c>
      <x:c r="D31" s="7" t="str">
        <x:v>["D2"]</x:v>
      </x:c>
      <x:c r="E31" s="19"/>
      <x:c r="F31" s="7" t="str">
        <x:f>IF(E31="","",IF(EXACT(D31,E31),1,0))</x:f>
      </x:c>
    </x:row>
    <x:row r="32" ht="48" customHeight="1">
      <x:c r="A32" s="12" t="str">
        <x:v>BASE</x:v>
      </x:c>
      <x:c r="B32" s="12" t="str">
        <x:v>U21</x:v>
      </x:c>
      <x:c r="C32" s="12" t="n">
        <x:v>3</x:v>
      </x:c>
      <x:c r="D32" s="12" t="str">
        <x:v>["T1"]</x:v>
      </x:c>
      <x:c r="E32" s="19"/>
      <x:c r="F32" s="12" t="str">
        <x:f>IF(E32="","",IF(EXACT(D32,E32),1,0))</x:f>
      </x:c>
    </x:row>
    <x:row r="33" ht="48" customHeight="1">
      <x:c r="A33" s="7" t="str">
        <x:v>BASE</x:v>
      </x:c>
      <x:c r="B33" s="7" t="str">
        <x:v>U22</x:v>
      </x:c>
      <x:c r="C33" s="7" t="n">
        <x:v>1</x:v>
      </x:c>
      <x:c r="D33" s="7" t="str">
        <x:v>["Q1","Q2"]</x:v>
      </x:c>
      <x:c r="E33" s="19"/>
      <x:c r="F33" s="7" t="str">
        <x:f>IF(E33="","",IF(EXACT(D33,E33),1,0))</x:f>
      </x:c>
    </x:row>
    <x:row r="34" ht="48" customHeight="1">
      <x:c r="A34" s="12" t="str">
        <x:v>BASE</x:v>
      </x:c>
      <x:c r="B34" s="12" t="str">
        <x:v>U22</x:v>
      </x:c>
      <x:c r="C34" s="12" t="n">
        <x:v>2</x:v>
      </x:c>
      <x:c r="D34" s="12" t="str">
        <x:v>["calendar_question"]</x:v>
      </x:c>
      <x:c r="E34" s="19"/>
      <x:c r="F34" s="12" t="str">
        <x:f>IF(E34="","",IF(EXACT(D34,E34),1,0))</x:f>
      </x:c>
    </x:row>
    <x:row r="35" ht="48" customHeight="1">
      <x:c r="A35" s="7" t="str">
        <x:v>BASE</x:v>
      </x:c>
      <x:c r="B35" s="7" t="str">
        <x:v>U23</x:v>
      </x:c>
      <x:c r="C35" s="7" t="n">
        <x:v>1</x:v>
      </x:c>
      <x:c r="D35" s="7" t="str">
        <x:v>["D2"]</x:v>
      </x:c>
      <x:c r="E35" s="19"/>
      <x:c r="F35" s="7" t="str">
        <x:f>IF(E35="","",IF(EXACT(D35,E35),1,0))</x:f>
      </x:c>
    </x:row>
    <x:row r="36" ht="48" customHeight="1">
      <x:c r="A36" s="12" t="str">
        <x:v>BASE</x:v>
      </x:c>
      <x:c r="B36" s="12" t="str">
        <x:v>U23</x:v>
      </x:c>
      <x:c r="C36" s="12" t="n">
        <x:v>2</x:v>
      </x:c>
      <x:c r="D36" s="12" t="str">
        <x:v>["mail_question"]</x:v>
      </x:c>
      <x:c r="E36" s="19"/>
      <x:c r="F36" s="12" t="str">
        <x:f>IF(E36="","",IF(EXACT(D36,E36),1,0))</x:f>
      </x:c>
    </x:row>
    <x:row r="37" ht="48" customHeight="1">
      <x:c r="A37" s="7" t="str">
        <x:v>BASE</x:v>
      </x:c>
      <x:c r="B37" s="7" t="str">
        <x:v>U24</x:v>
      </x:c>
      <x:c r="C37" s="7" t="n">
        <x:v>1</x:v>
      </x:c>
      <x:c r="D37" s="7" t="str">
        <x:v>["Q1","Q2"]</x:v>
      </x:c>
      <x:c r="E37" s="19"/>
      <x:c r="F37" s="7" t="str">
        <x:f>IF(E37="","",IF(EXACT(D37,E37),1,0))</x:f>
      </x:c>
    </x:row>
    <x:row r="38" ht="48" customHeight="1">
      <x:c r="A38" s="12" t="str">
        <x:v>BASE</x:v>
      </x:c>
      <x:c r="B38" s="12" t="str">
        <x:v>U24</x:v>
      </x:c>
      <x:c r="C38" s="12" t="n">
        <x:v>2</x:v>
      </x:c>
      <x:c r="D38" s="12" t="str">
        <x:v>["F1"]</x:v>
      </x:c>
      <x:c r="E38" s="19"/>
      <x:c r="F38" s="12" t="str">
        <x:f>IF(E38="","",IF(EXACT(D38,E38),1,0))</x:f>
      </x:c>
    </x:row>
    <x:row r="39" ht="48" customHeight="1">
      <x:c r="A39" s="7" t="str">
        <x:v>DP2-B</x:v>
      </x:c>
      <x:c r="B39" s="7" t="str">
        <x:v>U02</x:v>
      </x:c>
      <x:c r="C39" s="7" t="n">
        <x:v>1</x:v>
      </x:c>
      <x:c r="D39" s="7" t="str">
        <x:v>["R1"]</x:v>
      </x:c>
      <x:c r="E39" s="19" t="str"/>
      <x:c r="F39" s="7" t="str">
        <x:f>IF(E39="","",IF(EXACT(D39,E39),1,0))</x:f>
      </x:c>
    </x:row>
    <x:row r="40" ht="48" customHeight="1">
      <x:c r="A40" s="12" t="str">
        <x:v>DP2-B</x:v>
      </x:c>
      <x:c r="B40" s="12" t="str">
        <x:v>U03</x:v>
      </x:c>
      <x:c r="C40" s="12" t="n">
        <x:v>1</x:v>
      </x:c>
      <x:c r="D40" s="12" t="str">
        <x:v>["D1@v1"]</x:v>
      </x:c>
      <x:c r="E40" s="19" t="str"/>
      <x:c r="F40" s="12" t="str">
        <x:f>IF(E40="","",IF(EXACT(D40,E40),1,0))</x:f>
      </x:c>
    </x:row>
    <x:row r="41" ht="48" customHeight="1">
      <x:c r="A41" s="7" t="str">
        <x:v>DP2-B</x:v>
      </x:c>
      <x:c r="B41" s="7" t="str">
        <x:v>U04</x:v>
      </x:c>
      <x:c r="C41" s="7" t="n">
        <x:v>1</x:v>
      </x:c>
      <x:c r="D41" s="7" t="str">
        <x:v>["T1"]</x:v>
      </x:c>
      <x:c r="E41" s="19" t="str"/>
      <x:c r="F41" s="7" t="str">
        <x:f>IF(E41="","",IF(EXACT(D41,E41),1,0))</x:f>
      </x:c>
    </x:row>
    <x:row r="42" ht="48" customHeight="1">
      <x:c r="A42" s="12" t="str">
        <x:v>DP2-B</x:v>
      </x:c>
      <x:c r="B42" s="12" t="str">
        <x:v>U05</x:v>
      </x:c>
      <x:c r="C42" s="12" t="n">
        <x:v>1</x:v>
      </x:c>
      <x:c r="D42" s="12" t="str">
        <x:v>["D1"]</x:v>
      </x:c>
      <x:c r="E42" s="19" t="str"/>
      <x:c r="F42" s="12" t="str">
        <x:f>IF(E42="","",IF(EXACT(D42,E42),1,0))</x:f>
      </x:c>
    </x:row>
    <x:row r="43" ht="48" customHeight="1">
      <x:c r="A43" s="7" t="str">
        <x:v>DP2-B</x:v>
      </x:c>
      <x:c r="B43" s="7" t="str">
        <x:v>U06</x:v>
      </x:c>
      <x:c r="C43" s="7" t="n">
        <x:v>1</x:v>
      </x:c>
      <x:c r="D43" s="7" t="str">
        <x:v>["D1"]</x:v>
      </x:c>
      <x:c r="E43" s="19" t="str"/>
      <x:c r="F43" s="7" t="str">
        <x:f>IF(E43="","",IF(EXACT(D43,E43),1,0))</x:f>
      </x:c>
    </x:row>
    <x:row r="44" ht="48" customHeight="1">
      <x:c r="A44" s="12" t="str">
        <x:v>DP2-B</x:v>
      </x:c>
      <x:c r="B44" s="12" t="str">
        <x:v>U06</x:v>
      </x:c>
      <x:c r="C44" s="12" t="n">
        <x:v>2</x:v>
      </x:c>
      <x:c r="D44" s="12" t="str">
        <x:v>["D2"]</x:v>
      </x:c>
      <x:c r="E44" s="19" t="str"/>
      <x:c r="F44" s="12" t="str">
        <x:f>IF(E44="","",IF(EXACT(D44,E44),1,0))</x:f>
      </x:c>
    </x:row>
    <x:row r="45" ht="48" customHeight="1">
      <x:c r="A45" s="7" t="str">
        <x:v>DP2-B</x:v>
      </x:c>
      <x:c r="B45" s="7" t="str">
        <x:v>U07</x:v>
      </x:c>
      <x:c r="C45" s="7" t="n">
        <x:v>1</x:v>
      </x:c>
      <x:c r="D45" s="7" t="str">
        <x:v>["D2"]</x:v>
      </x:c>
      <x:c r="E45" s="19" t="str"/>
      <x:c r="F45" s="7" t="str">
        <x:f>IF(E45="","",IF(EXACT(D45,E45),1,0))</x:f>
      </x:c>
    </x:row>
    <x:row r="46" ht="48" customHeight="1">
      <x:c r="A46" s="12" t="str">
        <x:v>DP2-B</x:v>
      </x:c>
      <x:c r="B46" s="12" t="str">
        <x:v>U08</x:v>
      </x:c>
      <x:c r="C46" s="12" t="n">
        <x:v>1</x:v>
      </x:c>
      <x:c r="D46" s="12" t="str">
        <x:v>["D1"]</x:v>
      </x:c>
      <x:c r="E46" s="19" t="str"/>
      <x:c r="F46" s="12" t="str">
        <x:f>IF(E46="","",IF(EXACT(D46,E46),1,0))</x:f>
      </x:c>
    </x:row>
    <x:row r="47" ht="48" customHeight="1">
      <x:c r="A47" s="7" t="str">
        <x:v>DP2-B</x:v>
      </x:c>
      <x:c r="B47" s="7" t="str">
        <x:v>U09</x:v>
      </x:c>
      <x:c r="C47" s="7" t="n">
        <x:v>1</x:v>
      </x:c>
      <x:c r="D47" s="7" t="str">
        <x:v>["Q1@v1","Q2@v1"]</x:v>
      </x:c>
      <x:c r="E47" s="19" t="str"/>
      <x:c r="F47" s="7" t="str">
        <x:f>IF(E47="","",IF(EXACT(D47,E47),1,0))</x:f>
      </x:c>
    </x:row>
    <x:row r="48" ht="48" customHeight="1">
      <x:c r="A48" s="12" t="str">
        <x:v>DP2-B</x:v>
      </x:c>
      <x:c r="B48" s="12" t="str">
        <x:v>U10</x:v>
      </x:c>
      <x:c r="C48" s="12" t="n">
        <x:v>1</x:v>
      </x:c>
      <x:c r="D48" s="12" t="str">
        <x:v>["Q1","Q2"]</x:v>
      </x:c>
      <x:c r="E48" s="19" t="str"/>
      <x:c r="F48" s="12" t="str">
        <x:f>IF(E48="","",IF(EXACT(D48,E48),1,0))</x:f>
      </x:c>
    </x:row>
    <x:row r="49" ht="48" customHeight="1">
      <x:c r="A49" s="7" t="str">
        <x:v>DP2-B</x:v>
      </x:c>
      <x:c r="B49" s="7" t="str">
        <x:v>U11</x:v>
      </x:c>
      <x:c r="C49" s="7" t="n">
        <x:v>1</x:v>
      </x:c>
      <x:c r="D49" s="7" t="str">
        <x:v>["Q1"]</x:v>
      </x:c>
      <x:c r="E49" s="19" t="str"/>
      <x:c r="F49" s="7" t="str">
        <x:f>IF(E49="","",IF(EXACT(D49,E49),1,0))</x:f>
      </x:c>
    </x:row>
    <x:row r="50" ht="48" customHeight="1">
      <x:c r="A50" s="12" t="str">
        <x:v>DP2-B</x:v>
      </x:c>
      <x:c r="B50" s="12" t="str">
        <x:v>U11</x:v>
      </x:c>
      <x:c r="C50" s="12" t="n">
        <x:v>2</x:v>
      </x:c>
      <x:c r="D50" s="12" t="str">
        <x:v>["Q2"]</x:v>
      </x:c>
      <x:c r="E50" s="19" t="str"/>
      <x:c r="F50" s="12" t="str">
        <x:f>IF(E50="","",IF(EXACT(D50,E50),1,0))</x:f>
      </x:c>
    </x:row>
    <x:row r="51" ht="48" customHeight="1">
      <x:c r="A51" s="7" t="str">
        <x:v>DP2-B</x:v>
      </x:c>
      <x:c r="B51" s="7" t="str">
        <x:v>U12</x:v>
      </x:c>
      <x:c r="C51" s="7" t="n">
        <x:v>1</x:v>
      </x:c>
      <x:c r="D51" s="7" t="str">
        <x:v>["Q1","Q2"]</x:v>
      </x:c>
      <x:c r="E51" s="19" t="str"/>
      <x:c r="F51" s="7" t="str">
        <x:f>IF(E51="","",IF(EXACT(D51,E51),1,0))</x:f>
      </x:c>
    </x:row>
    <x:row r="52" ht="48" customHeight="1">
      <x:c r="A52" s="12" t="str">
        <x:v>DP2-B</x:v>
      </x:c>
      <x:c r="B52" s="12" t="str">
        <x:v>U13</x:v>
      </x:c>
      <x:c r="C52" s="12" t="n">
        <x:v>1</x:v>
      </x:c>
      <x:c r="D52" s="12" t="str">
        <x:v>["D2"]</x:v>
      </x:c>
      <x:c r="E52" s="19" t="str"/>
      <x:c r="F52" s="12" t="str">
        <x:f>IF(E52="","",IF(EXACT(D52,E52),1,0))</x:f>
      </x:c>
    </x:row>
    <x:row r="53" ht="48" customHeight="1">
      <x:c r="A53" s="7" t="str">
        <x:v>DP2-B</x:v>
      </x:c>
      <x:c r="B53" s="7" t="str">
        <x:v>U13</x:v>
      </x:c>
      <x:c r="C53" s="7" t="n">
        <x:v>2</x:v>
      </x:c>
      <x:c r="D53" s="7" t="str">
        <x:v>["P"]</x:v>
      </x:c>
      <x:c r="E53" s="19" t="str"/>
      <x:c r="F53" s="7" t="str">
        <x:f>IF(E53="","",IF(EXACT(D53,E53),1,0))</x:f>
      </x:c>
    </x:row>
    <x:row r="54" ht="48" customHeight="1">
      <x:c r="A54" s="12" t="str">
        <x:v>DP2-B</x:v>
      </x:c>
      <x:c r="B54" s="12" t="str">
        <x:v>U14</x:v>
      </x:c>
      <x:c r="C54" s="12" t="n">
        <x:v>1</x:v>
      </x:c>
      <x:c r="D54" s="12" t="str">
        <x:v>["D2"]</x:v>
      </x:c>
      <x:c r="E54" s="19" t="str"/>
      <x:c r="F54" s="12" t="str">
        <x:f>IF(E54="","",IF(EXACT(D54,E54),1,0))</x:f>
      </x:c>
    </x:row>
    <x:row r="55" ht="48" customHeight="1">
      <x:c r="A55" s="7" t="str">
        <x:v>DP2-B</x:v>
      </x:c>
      <x:c r="B55" s="7" t="str">
        <x:v>U15</x:v>
      </x:c>
      <x:c r="C55" s="7" t="n">
        <x:v>1</x:v>
      </x:c>
      <x:c r="D55" s="7" t="str">
        <x:v>["D2"]</x:v>
      </x:c>
      <x:c r="E55" s="19" t="str"/>
      <x:c r="F55" s="7" t="str">
        <x:f>IF(E55="","",IF(EXACT(D55,E55),1,0))</x:f>
      </x:c>
    </x:row>
    <x:row r="56" ht="48" customHeight="1">
      <x:c r="A56" s="12" t="str">
        <x:v>DP2-B</x:v>
      </x:c>
      <x:c r="B56" s="12" t="str">
        <x:v>U16</x:v>
      </x:c>
      <x:c r="C56" s="12" t="n">
        <x:v>1</x:v>
      </x:c>
      <x:c r="D56" s="12" t="str">
        <x:v>["F1"]</x:v>
      </x:c>
      <x:c r="E56" s="19" t="str"/>
      <x:c r="F56" s="12" t="str">
        <x:f>IF(E56="","",IF(EXACT(D56,E56),1,0))</x:f>
      </x:c>
    </x:row>
    <x:row r="57" ht="48" customHeight="1">
      <x:c r="A57" s="7" t="str">
        <x:v>DP2-B</x:v>
      </x:c>
      <x:c r="B57" s="7" t="str">
        <x:v>U17</x:v>
      </x:c>
      <x:c r="C57" s="7" t="n">
        <x:v>1</x:v>
      </x:c>
      <x:c r="D57" s="7" t="str">
        <x:v>["Q1"]</x:v>
      </x:c>
      <x:c r="E57" s="19" t="str"/>
      <x:c r="F57" s="7" t="str">
        <x:f>IF(E57="","",IF(EXACT(D57,E57),1,0))</x:f>
      </x:c>
    </x:row>
    <x:row r="58" ht="48" customHeight="1">
      <x:c r="A58" s="12" t="str">
        <x:v>DP2-B</x:v>
      </x:c>
      <x:c r="B58" s="12" t="str">
        <x:v>U18</x:v>
      </x:c>
      <x:c r="C58" s="12" t="n">
        <x:v>1</x:v>
      </x:c>
      <x:c r="D58" s="12" t="str">
        <x:v>["R1"]</x:v>
      </x:c>
      <x:c r="E58" s="19" t="str"/>
      <x:c r="F58" s="12" t="str">
        <x:f>IF(E58="","",IF(EXACT(D58,E58),1,0))</x:f>
      </x:c>
    </x:row>
    <x:row r="59" ht="48" customHeight="1">
      <x:c r="A59" s="7" t="str">
        <x:v>DP2-B</x:v>
      </x:c>
      <x:c r="B59" s="7" t="str">
        <x:v>U18</x:v>
      </x:c>
      <x:c r="C59" s="7" t="n">
        <x:v>2</x:v>
      </x:c>
      <x:c r="D59" s="7" t="str">
        <x:v>["Q1"]</x:v>
      </x:c>
      <x:c r="E59" s="19" t="str"/>
      <x:c r="F59" s="7" t="str">
        <x:f>IF(E59="","",IF(EXACT(D59,E59),1,0))</x:f>
      </x:c>
    </x:row>
    <x:row r="60" ht="48" customHeight="1">
      <x:c r="A60" s="12" t="str">
        <x:v>DP2-B</x:v>
      </x:c>
      <x:c r="B60" s="12" t="str">
        <x:v>U19</x:v>
      </x:c>
      <x:c r="C60" s="12" t="n">
        <x:v>1</x:v>
      </x:c>
      <x:c r="D60" s="12" t="str">
        <x:v>["Q1"]</x:v>
      </x:c>
      <x:c r="E60" s="19" t="str"/>
      <x:c r="F60" s="12" t="str">
        <x:f>IF(E60="","",IF(EXACT(D60,E60),1,0))</x:f>
      </x:c>
    </x:row>
    <x:row r="61" ht="48" customHeight="1">
      <x:c r="A61" s="7" t="str">
        <x:v>DP2-B</x:v>
      </x:c>
      <x:c r="B61" s="7" t="str">
        <x:v>U19</x:v>
      </x:c>
      <x:c r="C61" s="7" t="n">
        <x:v>2</x:v>
      </x:c>
      <x:c r="D61" s="7" t="str">
        <x:v>["R0"]</x:v>
      </x:c>
      <x:c r="E61" s="19" t="str"/>
      <x:c r="F61" s="7" t="str">
        <x:f>IF(E61="","",IF(EXACT(D61,E61),1,0))</x:f>
      </x:c>
    </x:row>
    <x:row r="62" ht="48" customHeight="1">
      <x:c r="A62" s="12" t="str">
        <x:v>DP2-B</x:v>
      </x:c>
      <x:c r="B62" s="12" t="str">
        <x:v>U20</x:v>
      </x:c>
      <x:c r="C62" s="12" t="n">
        <x:v>1</x:v>
      </x:c>
      <x:c r="D62" s="12" t="str">
        <x:v>["R0"]</x:v>
      </x:c>
      <x:c r="E62" s="19" t="str"/>
      <x:c r="F62" s="12" t="str">
        <x:f>IF(E62="","",IF(EXACT(D62,E62),1,0))</x:f>
      </x:c>
    </x:row>
    <x:row r="63" ht="48" customHeight="1">
      <x:c r="A63" s="7" t="str">
        <x:v>DP2-B</x:v>
      </x:c>
      <x:c r="B63" s="7" t="str">
        <x:v>U21</x:v>
      </x:c>
      <x:c r="C63" s="7" t="n">
        <x:v>1</x:v>
      </x:c>
      <x:c r="D63" s="7" t="str">
        <x:v>["Q1","Q2"]</x:v>
      </x:c>
      <x:c r="E63" s="19" t="str"/>
      <x:c r="F63" s="7" t="str">
        <x:f>IF(E63="","",IF(EXACT(D63,E63),1,0))</x:f>
      </x:c>
    </x:row>
    <x:row r="64" ht="48" customHeight="1">
      <x:c r="A64" s="12" t="str">
        <x:v>DP2-B</x:v>
      </x:c>
      <x:c r="B64" s="12" t="str">
        <x:v>U21</x:v>
      </x:c>
      <x:c r="C64" s="12" t="n">
        <x:v>2</x:v>
      </x:c>
      <x:c r="D64" s="12" t="str">
        <x:v>["D2"]</x:v>
      </x:c>
      <x:c r="E64" s="19" t="str"/>
      <x:c r="F64" s="12" t="str">
        <x:f>IF(E64="","",IF(EXACT(D64,E64),1,0))</x:f>
      </x:c>
    </x:row>
    <x:row r="65" ht="48" customHeight="1">
      <x:c r="A65" s="7" t="str">
        <x:v>DP2-B</x:v>
      </x:c>
      <x:c r="B65" s="7" t="str">
        <x:v>U21</x:v>
      </x:c>
      <x:c r="C65" s="7" t="n">
        <x:v>3</x:v>
      </x:c>
      <x:c r="D65" s="7" t="str">
        <x:v>["T1"]</x:v>
      </x:c>
      <x:c r="E65" s="19" t="str"/>
      <x:c r="F65" s="7" t="str">
        <x:f>IF(E65="","",IF(EXACT(D65,E65),1,0))</x:f>
      </x:c>
    </x:row>
    <x:row r="66" ht="48" customHeight="1">
      <x:c r="A66" s="12" t="str">
        <x:v>DP2-B</x:v>
      </x:c>
      <x:c r="B66" s="12" t="str">
        <x:v>U22</x:v>
      </x:c>
      <x:c r="C66" s="12" t="n">
        <x:v>1</x:v>
      </x:c>
      <x:c r="D66" s="12" t="str">
        <x:v>["Q1","Q2"]</x:v>
      </x:c>
      <x:c r="E66" s="19" t="str"/>
      <x:c r="F66" s="12" t="str">
        <x:f>IF(E66="","",IF(EXACT(D66,E66),1,0))</x:f>
      </x:c>
    </x:row>
    <x:row r="67" ht="48" customHeight="1">
      <x:c r="A67" s="7" t="str">
        <x:v>DP2-B</x:v>
      </x:c>
      <x:c r="B67" s="7" t="str">
        <x:v>U22</x:v>
      </x:c>
      <x:c r="C67" s="7" t="n">
        <x:v>2</x:v>
      </x:c>
      <x:c r="D67" s="7" t="str">
        <x:v>["calendar_question"]</x:v>
      </x:c>
      <x:c r="E67" s="19" t="str"/>
      <x:c r="F67" s="7" t="str">
        <x:f>IF(E67="","",IF(EXACT(D67,E67),1,0))</x:f>
      </x:c>
    </x:row>
    <x:row r="68" ht="48" customHeight="1">
      <x:c r="A68" s="12" t="str">
        <x:v>DP2-B</x:v>
      </x:c>
      <x:c r="B68" s="12" t="str">
        <x:v>U23</x:v>
      </x:c>
      <x:c r="C68" s="12" t="n">
        <x:v>1</x:v>
      </x:c>
      <x:c r="D68" s="12" t="str">
        <x:v>["D2"]</x:v>
      </x:c>
      <x:c r="E68" s="19" t="str"/>
      <x:c r="F68" s="12" t="str">
        <x:f>IF(E68="","",IF(EXACT(D68,E68),1,0))</x:f>
      </x:c>
    </x:row>
    <x:row r="69" ht="48" customHeight="1">
      <x:c r="A69" s="7" t="str">
        <x:v>DP2-B</x:v>
      </x:c>
      <x:c r="B69" s="7" t="str">
        <x:v>U23</x:v>
      </x:c>
      <x:c r="C69" s="7" t="n">
        <x:v>2</x:v>
      </x:c>
      <x:c r="D69" s="7" t="str">
        <x:v>["mail_question"]</x:v>
      </x:c>
      <x:c r="E69" s="19" t="str"/>
      <x:c r="F69" s="7" t="str">
        <x:f>IF(E69="","",IF(EXACT(D69,E69),1,0))</x:f>
      </x:c>
    </x:row>
    <x:row r="70" ht="48" customHeight="1">
      <x:c r="A70" s="12" t="str">
        <x:v>DP2-B</x:v>
      </x:c>
      <x:c r="B70" s="12" t="str">
        <x:v>U24</x:v>
      </x:c>
      <x:c r="C70" s="12" t="n">
        <x:v>1</x:v>
      </x:c>
      <x:c r="D70" s="12" t="str">
        <x:v>["Q1","Q2"]</x:v>
      </x:c>
      <x:c r="E70" s="19" t="str"/>
      <x:c r="F70" s="12" t="str">
        <x:f>IF(E70="","",IF(EXACT(D70,E70),1,0))</x:f>
      </x:c>
    </x:row>
    <x:row r="71" ht="48" customHeight="1">
      <x:c r="A71" s="7" t="str">
        <x:v>DP2-B</x:v>
      </x:c>
      <x:c r="B71" s="7" t="str">
        <x:v>U24</x:v>
      </x:c>
      <x:c r="C71" s="7" t="n">
        <x:v>2</x:v>
      </x:c>
      <x:c r="D71" s="7" t="str">
        <x:v>["F1"]</x:v>
      </x:c>
      <x:c r="E71" s="19" t="str"/>
      <x:c r="F71" s="7" t="str">
        <x:f>IF(E71="","",IF(EXACT(D71,E71),1,0))</x:f>
      </x:c>
    </x:row>
    <x:row r="72" ht="48" customHeight="1">
      <x:c r="A72" s="12" t="str">
        <x:v>DP3-B-R1</x:v>
      </x:c>
      <x:c r="B72" s="12" t="str">
        <x:v>U02</x:v>
      </x:c>
      <x:c r="C72" s="12" t="n">
        <x:v>1</x:v>
      </x:c>
      <x:c r="D72" s="12" t="str">
        <x:v>["R1"]</x:v>
      </x:c>
      <x:c r="E72" s="19" t="str"/>
      <x:c r="F72" s="12" t="str">
        <x:f>IF(E72="","",IF(EXACT(D72,E72),1,0))</x:f>
      </x:c>
    </x:row>
    <x:row r="73" ht="48" customHeight="1">
      <x:c r="A73" s="7" t="str">
        <x:v>DP3-B-R1</x:v>
      </x:c>
      <x:c r="B73" s="7" t="str">
        <x:v>U03</x:v>
      </x:c>
      <x:c r="C73" s="7" t="n">
        <x:v>1</x:v>
      </x:c>
      <x:c r="D73" s="7" t="str">
        <x:v>["D1@v1"]</x:v>
      </x:c>
      <x:c r="E73" s="19" t="str"/>
      <x:c r="F73" s="7" t="str">
        <x:f>IF(E73="","",IF(EXACT(D73,E73),1,0))</x:f>
      </x:c>
    </x:row>
    <x:row r="74" ht="48" customHeight="1">
      <x:c r="A74" s="12" t="str">
        <x:v>DP3-B-R1</x:v>
      </x:c>
      <x:c r="B74" s="12" t="str">
        <x:v>U04</x:v>
      </x:c>
      <x:c r="C74" s="12" t="n">
        <x:v>1</x:v>
      </x:c>
      <x:c r="D74" s="12" t="str">
        <x:v>["T1"]</x:v>
      </x:c>
      <x:c r="E74" s="19" t="str"/>
      <x:c r="F74" s="12" t="str">
        <x:f>IF(E74="","",IF(EXACT(D74,E74),1,0))</x:f>
      </x:c>
    </x:row>
    <x:row r="75" ht="48" customHeight="1">
      <x:c r="A75" s="7" t="str">
        <x:v>DP3-B-R1</x:v>
      </x:c>
      <x:c r="B75" s="7" t="str">
        <x:v>U05</x:v>
      </x:c>
      <x:c r="C75" s="7" t="n">
        <x:v>1</x:v>
      </x:c>
      <x:c r="D75" s="7" t="str">
        <x:v>["D1"]</x:v>
      </x:c>
      <x:c r="E75" s="19" t="str"/>
      <x:c r="F75" s="7" t="str">
        <x:f>IF(E75="","",IF(EXACT(D75,E75),1,0))</x:f>
      </x:c>
    </x:row>
    <x:row r="76" ht="48" customHeight="1">
      <x:c r="A76" s="12" t="str">
        <x:v>DP3-B-R1</x:v>
      </x:c>
      <x:c r="B76" s="12" t="str">
        <x:v>U06</x:v>
      </x:c>
      <x:c r="C76" s="12" t="n">
        <x:v>1</x:v>
      </x:c>
      <x:c r="D76" s="12" t="str">
        <x:v>["D1"]</x:v>
      </x:c>
      <x:c r="E76" s="19" t="str"/>
      <x:c r="F76" s="12" t="str">
        <x:f>IF(E76="","",IF(EXACT(D76,E76),1,0))</x:f>
      </x:c>
    </x:row>
    <x:row r="77" ht="48" customHeight="1">
      <x:c r="A77" s="7" t="str">
        <x:v>DP3-B-R1</x:v>
      </x:c>
      <x:c r="B77" s="7" t="str">
        <x:v>U06</x:v>
      </x:c>
      <x:c r="C77" s="7" t="n">
        <x:v>2</x:v>
      </x:c>
      <x:c r="D77" s="7" t="str">
        <x:v>["D2"]</x:v>
      </x:c>
      <x:c r="E77" s="19" t="str"/>
      <x:c r="F77" s="7" t="str">
        <x:f>IF(E77="","",IF(EXACT(D77,E77),1,0))</x:f>
      </x:c>
    </x:row>
    <x:row r="78" ht="48" customHeight="1">
      <x:c r="A78" s="12" t="str">
        <x:v>DP3-B-R1</x:v>
      </x:c>
      <x:c r="B78" s="12" t="str">
        <x:v>U07</x:v>
      </x:c>
      <x:c r="C78" s="12" t="n">
        <x:v>1</x:v>
      </x:c>
      <x:c r="D78" s="12" t="str">
        <x:v>["D2"]</x:v>
      </x:c>
      <x:c r="E78" s="19" t="str"/>
      <x:c r="F78" s="12" t="str">
        <x:f>IF(E78="","",IF(EXACT(D78,E78),1,0))</x:f>
      </x:c>
    </x:row>
    <x:row r="79" ht="48" customHeight="1">
      <x:c r="A79" s="7" t="str">
        <x:v>DP3-B-R1</x:v>
      </x:c>
      <x:c r="B79" s="7" t="str">
        <x:v>U08</x:v>
      </x:c>
      <x:c r="C79" s="7" t="n">
        <x:v>1</x:v>
      </x:c>
      <x:c r="D79" s="7" t="str">
        <x:v>["D1"]</x:v>
      </x:c>
      <x:c r="E79" s="19" t="str"/>
      <x:c r="F79" s="7" t="str">
        <x:f>IF(E79="","",IF(EXACT(D79,E79),1,0))</x:f>
      </x:c>
    </x:row>
    <x:row r="80" ht="48" customHeight="1">
      <x:c r="A80" s="12" t="str">
        <x:v>DP3-B-R1</x:v>
      </x:c>
      <x:c r="B80" s="12" t="str">
        <x:v>U09</x:v>
      </x:c>
      <x:c r="C80" s="12" t="n">
        <x:v>1</x:v>
      </x:c>
      <x:c r="D80" s="12" t="str">
        <x:v>["Q1@v1","Q2@v1"]</x:v>
      </x:c>
      <x:c r="E80" s="19" t="str"/>
      <x:c r="F80" s="12" t="str">
        <x:f>IF(E80="","",IF(EXACT(D80,E80),1,0))</x:f>
      </x:c>
    </x:row>
    <x:row r="81" ht="48" customHeight="1">
      <x:c r="A81" s="7" t="str">
        <x:v>DP3-B-R1</x:v>
      </x:c>
      <x:c r="B81" s="7" t="str">
        <x:v>U10</x:v>
      </x:c>
      <x:c r="C81" s="7" t="n">
        <x:v>1</x:v>
      </x:c>
      <x:c r="D81" s="7" t="str">
        <x:v>["Q1","Q2"]</x:v>
      </x:c>
      <x:c r="E81" s="19" t="str"/>
      <x:c r="F81" s="7" t="str">
        <x:f>IF(E81="","",IF(EXACT(D81,E81),1,0))</x:f>
      </x:c>
    </x:row>
    <x:row r="82" ht="48" customHeight="1">
      <x:c r="A82" s="12" t="str">
        <x:v>DP3-B-R1</x:v>
      </x:c>
      <x:c r="B82" s="12" t="str">
        <x:v>U11</x:v>
      </x:c>
      <x:c r="C82" s="12" t="n">
        <x:v>1</x:v>
      </x:c>
      <x:c r="D82" s="12" t="str">
        <x:v>["Q1"]</x:v>
      </x:c>
      <x:c r="E82" s="19" t="str"/>
      <x:c r="F82" s="12" t="str">
        <x:f>IF(E82="","",IF(EXACT(D82,E82),1,0))</x:f>
      </x:c>
    </x:row>
    <x:row r="83" ht="48" customHeight="1">
      <x:c r="A83" s="7" t="str">
        <x:v>DP3-B-R1</x:v>
      </x:c>
      <x:c r="B83" s="7" t="str">
        <x:v>U11</x:v>
      </x:c>
      <x:c r="C83" s="7" t="n">
        <x:v>2</x:v>
      </x:c>
      <x:c r="D83" s="7" t="str">
        <x:v>["Q2"]</x:v>
      </x:c>
      <x:c r="E83" s="19" t="str"/>
      <x:c r="F83" s="7" t="str">
        <x:f>IF(E83="","",IF(EXACT(D83,E83),1,0))</x:f>
      </x:c>
    </x:row>
    <x:row r="84" ht="48" customHeight="1">
      <x:c r="A84" s="12" t="str">
        <x:v>DP3-B-R1</x:v>
      </x:c>
      <x:c r="B84" s="12" t="str">
        <x:v>U12</x:v>
      </x:c>
      <x:c r="C84" s="12" t="n">
        <x:v>1</x:v>
      </x:c>
      <x:c r="D84" s="12" t="str">
        <x:v>["Q1","Q2"]</x:v>
      </x:c>
      <x:c r="E84" s="19" t="str"/>
      <x:c r="F84" s="12" t="str">
        <x:f>IF(E84="","",IF(EXACT(D84,E84),1,0))</x:f>
      </x:c>
    </x:row>
    <x:row r="85" ht="48" customHeight="1">
      <x:c r="A85" s="7" t="str">
        <x:v>DP3-B-R1</x:v>
      </x:c>
      <x:c r="B85" s="7" t="str">
        <x:v>U13</x:v>
      </x:c>
      <x:c r="C85" s="7" t="n">
        <x:v>1</x:v>
      </x:c>
      <x:c r="D85" s="7" t="str">
        <x:v>["D2"]</x:v>
      </x:c>
      <x:c r="E85" s="19" t="str"/>
      <x:c r="F85" s="7" t="str">
        <x:f>IF(E85="","",IF(EXACT(D85,E85),1,0))</x:f>
      </x:c>
    </x:row>
    <x:row r="86" ht="48" customHeight="1">
      <x:c r="A86" s="12" t="str">
        <x:v>DP3-B-R1</x:v>
      </x:c>
      <x:c r="B86" s="12" t="str">
        <x:v>U13</x:v>
      </x:c>
      <x:c r="C86" s="12" t="n">
        <x:v>2</x:v>
      </x:c>
      <x:c r="D86" s="12" t="str">
        <x:v>["P"]</x:v>
      </x:c>
      <x:c r="E86" s="19" t="str"/>
      <x:c r="F86" s="12" t="str">
        <x:f>IF(E86="","",IF(EXACT(D86,E86),1,0))</x:f>
      </x:c>
    </x:row>
    <x:row r="87" ht="48" customHeight="1">
      <x:c r="A87" s="7" t="str">
        <x:v>DP3-B-R1</x:v>
      </x:c>
      <x:c r="B87" s="7" t="str">
        <x:v>U14</x:v>
      </x:c>
      <x:c r="C87" s="7" t="n">
        <x:v>1</x:v>
      </x:c>
      <x:c r="D87" s="7" t="str">
        <x:v>["D2"]</x:v>
      </x:c>
      <x:c r="E87" s="19" t="str"/>
      <x:c r="F87" s="7" t="str">
        <x:f>IF(E87="","",IF(EXACT(D87,E87),1,0))</x:f>
      </x:c>
    </x:row>
    <x:row r="88" ht="48" customHeight="1">
      <x:c r="A88" s="12" t="str">
        <x:v>DP3-B-R1</x:v>
      </x:c>
      <x:c r="B88" s="12" t="str">
        <x:v>U15</x:v>
      </x:c>
      <x:c r="C88" s="12" t="n">
        <x:v>1</x:v>
      </x:c>
      <x:c r="D88" s="12" t="str">
        <x:v>["D2"]</x:v>
      </x:c>
      <x:c r="E88" s="19" t="str"/>
      <x:c r="F88" s="12" t="str">
        <x:f>IF(E88="","",IF(EXACT(D88,E88),1,0))</x:f>
      </x:c>
    </x:row>
    <x:row r="89" ht="48" customHeight="1">
      <x:c r="A89" s="7" t="str">
        <x:v>DP3-B-R1</x:v>
      </x:c>
      <x:c r="B89" s="7" t="str">
        <x:v>U16</x:v>
      </x:c>
      <x:c r="C89" s="7" t="n">
        <x:v>1</x:v>
      </x:c>
      <x:c r="D89" s="7" t="str">
        <x:v>["F1"]</x:v>
      </x:c>
      <x:c r="E89" s="19" t="str"/>
      <x:c r="F89" s="7" t="str">
        <x:f>IF(E89="","",IF(EXACT(D89,E89),1,0))</x:f>
      </x:c>
    </x:row>
    <x:row r="90" ht="48" customHeight="1">
      <x:c r="A90" s="12" t="str">
        <x:v>DP3-B-R1</x:v>
      </x:c>
      <x:c r="B90" s="12" t="str">
        <x:v>U17</x:v>
      </x:c>
      <x:c r="C90" s="12" t="n">
        <x:v>1</x:v>
      </x:c>
      <x:c r="D90" s="12" t="str">
        <x:v>["Q1"]</x:v>
      </x:c>
      <x:c r="E90" s="19" t="str"/>
      <x:c r="F90" s="12" t="str">
        <x:f>IF(E90="","",IF(EXACT(D90,E90),1,0))</x:f>
      </x:c>
    </x:row>
    <x:row r="91" ht="48" customHeight="1">
      <x:c r="A91" s="7" t="str">
        <x:v>DP3-B-R1</x:v>
      </x:c>
      <x:c r="B91" s="7" t="str">
        <x:v>U18</x:v>
      </x:c>
      <x:c r="C91" s="7" t="n">
        <x:v>1</x:v>
      </x:c>
      <x:c r="D91" s="7" t="str">
        <x:v>["R1"]</x:v>
      </x:c>
      <x:c r="E91" s="19" t="str"/>
      <x:c r="F91" s="7" t="str">
        <x:f>IF(E91="","",IF(EXACT(D91,E91),1,0))</x:f>
      </x:c>
    </x:row>
    <x:row r="92" ht="48" customHeight="1">
      <x:c r="A92" s="12" t="str">
        <x:v>DP3-B-R1</x:v>
      </x:c>
      <x:c r="B92" s="12" t="str">
        <x:v>U18</x:v>
      </x:c>
      <x:c r="C92" s="12" t="n">
        <x:v>2</x:v>
      </x:c>
      <x:c r="D92" s="12" t="str">
        <x:v>["Q1"]</x:v>
      </x:c>
      <x:c r="E92" s="19" t="str"/>
      <x:c r="F92" s="12" t="str">
        <x:f>IF(E92="","",IF(EXACT(D92,E92),1,0))</x:f>
      </x:c>
    </x:row>
    <x:row r="93" ht="48" customHeight="1">
      <x:c r="A93" s="7" t="str">
        <x:v>DP3-B-R1</x:v>
      </x:c>
      <x:c r="B93" s="7" t="str">
        <x:v>U19</x:v>
      </x:c>
      <x:c r="C93" s="7" t="n">
        <x:v>1</x:v>
      </x:c>
      <x:c r="D93" s="7" t="str">
        <x:v>["Q1"]</x:v>
      </x:c>
      <x:c r="E93" s="19" t="str"/>
      <x:c r="F93" s="7" t="str">
        <x:f>IF(E93="","",IF(EXACT(D93,E93),1,0))</x:f>
      </x:c>
    </x:row>
    <x:row r="94" ht="48" customHeight="1">
      <x:c r="A94" s="12" t="str">
        <x:v>DP3-B-R1</x:v>
      </x:c>
      <x:c r="B94" s="12" t="str">
        <x:v>U19</x:v>
      </x:c>
      <x:c r="C94" s="12" t="n">
        <x:v>2</x:v>
      </x:c>
      <x:c r="D94" s="12" t="str">
        <x:v>["R0"]</x:v>
      </x:c>
      <x:c r="E94" s="19" t="str"/>
      <x:c r="F94" s="12" t="str">
        <x:f>IF(E94="","",IF(EXACT(D94,E94),1,0))</x:f>
      </x:c>
    </x:row>
    <x:row r="95" ht="48" customHeight="1">
      <x:c r="A95" s="7" t="str">
        <x:v>DP3-B-R1</x:v>
      </x:c>
      <x:c r="B95" s="7" t="str">
        <x:v>U20</x:v>
      </x:c>
      <x:c r="C95" s="7" t="n">
        <x:v>1</x:v>
      </x:c>
      <x:c r="D95" s="7" t="str">
        <x:v>["R0"]</x:v>
      </x:c>
      <x:c r="E95" s="19" t="str"/>
      <x:c r="F95" s="7" t="str">
        <x:f>IF(E95="","",IF(EXACT(D95,E95),1,0))</x:f>
      </x:c>
    </x:row>
    <x:row r="96" ht="48" customHeight="1">
      <x:c r="A96" s="12" t="str">
        <x:v>DP3-B-R1</x:v>
      </x:c>
      <x:c r="B96" s="12" t="str">
        <x:v>U21</x:v>
      </x:c>
      <x:c r="C96" s="12" t="n">
        <x:v>1</x:v>
      </x:c>
      <x:c r="D96" s="12" t="str">
        <x:v>["Q1","Q2"]</x:v>
      </x:c>
      <x:c r="E96" s="19" t="str"/>
      <x:c r="F96" s="12" t="str">
        <x:f>IF(E96="","",IF(EXACT(D96,E96),1,0))</x:f>
      </x:c>
    </x:row>
    <x:row r="97" ht="48" customHeight="1">
      <x:c r="A97" s="7" t="str">
        <x:v>DP3-B-R1</x:v>
      </x:c>
      <x:c r="B97" s="7" t="str">
        <x:v>U21</x:v>
      </x:c>
      <x:c r="C97" s="7" t="n">
        <x:v>2</x:v>
      </x:c>
      <x:c r="D97" s="7" t="str">
        <x:v>["D2"]</x:v>
      </x:c>
      <x:c r="E97" s="19" t="str"/>
      <x:c r="F97" s="7" t="str">
        <x:f>IF(E97="","",IF(EXACT(D97,E97),1,0))</x:f>
      </x:c>
    </x:row>
    <x:row r="98" ht="48" customHeight="1">
      <x:c r="A98" s="12" t="str">
        <x:v>DP3-B-R1</x:v>
      </x:c>
      <x:c r="B98" s="12" t="str">
        <x:v>U21</x:v>
      </x:c>
      <x:c r="C98" s="12" t="n">
        <x:v>3</x:v>
      </x:c>
      <x:c r="D98" s="12" t="str">
        <x:v>["T1"]</x:v>
      </x:c>
      <x:c r="E98" s="19" t="str"/>
      <x:c r="F98" s="12" t="str">
        <x:f>IF(E98="","",IF(EXACT(D98,E98),1,0))</x:f>
      </x:c>
    </x:row>
    <x:row r="99" ht="48" customHeight="1">
      <x:c r="A99" s="7" t="str">
        <x:v>DP3-B-R1</x:v>
      </x:c>
      <x:c r="B99" s="7" t="str">
        <x:v>U22</x:v>
      </x:c>
      <x:c r="C99" s="7" t="n">
        <x:v>1</x:v>
      </x:c>
      <x:c r="D99" s="7" t="str">
        <x:v>["Q1","Q2"]</x:v>
      </x:c>
      <x:c r="E99" s="19" t="str"/>
      <x:c r="F99" s="7" t="str">
        <x:f>IF(E99="","",IF(EXACT(D99,E99),1,0))</x:f>
      </x:c>
    </x:row>
    <x:row r="100" ht="48" customHeight="1">
      <x:c r="A100" s="12" t="str">
        <x:v>DP3-B-R1</x:v>
      </x:c>
      <x:c r="B100" s="12" t="str">
        <x:v>U22</x:v>
      </x:c>
      <x:c r="C100" s="12" t="n">
        <x:v>2</x:v>
      </x:c>
      <x:c r="D100" s="12" t="str">
        <x:v>["calendar_question"]</x:v>
      </x:c>
      <x:c r="E100" s="19" t="str"/>
      <x:c r="F100" s="12" t="str">
        <x:f>IF(E100="","",IF(EXACT(D100,E100),1,0))</x:f>
      </x:c>
    </x:row>
    <x:row r="101" ht="48" customHeight="1">
      <x:c r="A101" s="7" t="str">
        <x:v>DP3-B-R1</x:v>
      </x:c>
      <x:c r="B101" s="7" t="str">
        <x:v>U23</x:v>
      </x:c>
      <x:c r="C101" s="7" t="n">
        <x:v>1</x:v>
      </x:c>
      <x:c r="D101" s="7" t="str">
        <x:v>["D2"]</x:v>
      </x:c>
      <x:c r="E101" s="19" t="str"/>
      <x:c r="F101" s="7" t="str">
        <x:f>IF(E101="","",IF(EXACT(D101,E101),1,0))</x:f>
      </x:c>
    </x:row>
    <x:row r="102" ht="48" customHeight="1">
      <x:c r="A102" s="12" t="str">
        <x:v>DP3-B-R1</x:v>
      </x:c>
      <x:c r="B102" s="12" t="str">
        <x:v>U23</x:v>
      </x:c>
      <x:c r="C102" s="12" t="n">
        <x:v>2</x:v>
      </x:c>
      <x:c r="D102" s="12" t="str">
        <x:v>["mail_question"]</x:v>
      </x:c>
      <x:c r="E102" s="19" t="str"/>
      <x:c r="F102" s="12" t="str">
        <x:f>IF(E102="","",IF(EXACT(D102,E102),1,0))</x:f>
      </x:c>
    </x:row>
    <x:row r="103" ht="48" customHeight="1">
      <x:c r="A103" s="7" t="str">
        <x:v>DP3-B-R1</x:v>
      </x:c>
      <x:c r="B103" s="7" t="str">
        <x:v>U24</x:v>
      </x:c>
      <x:c r="C103" s="7" t="n">
        <x:v>1</x:v>
      </x:c>
      <x:c r="D103" s="7" t="str">
        <x:v>["Q1","Q2"]</x:v>
      </x:c>
      <x:c r="E103" s="19" t="str"/>
      <x:c r="F103" s="7" t="str">
        <x:f>IF(E103="","",IF(EXACT(D103,E103),1,0))</x:f>
      </x:c>
    </x:row>
    <x:row r="104" ht="48" customHeight="1">
      <x:c r="A104" s="12" t="str">
        <x:v>DP3-B-R1</x:v>
      </x:c>
      <x:c r="B104" s="12" t="str">
        <x:v>U24</x:v>
      </x:c>
      <x:c r="C104" s="12" t="n">
        <x:v>2</x:v>
      </x:c>
      <x:c r="D104" s="12" t="str">
        <x:v>["F1"]</x:v>
      </x:c>
      <x:c r="E104" s="19" t="str"/>
      <x:c r="F104" s="12" t="str">
        <x:f>IF(E104="","",IF(EXACT(D104,E104),1,0))</x:f>
      </x:c>
    </x:row>
    <x:row r="105" ht="48" customHeight="1">
      <x:c r="A105" s="7" t="str">
        <x:v>DP3-B-R2</x:v>
      </x:c>
      <x:c r="B105" s="7" t="str">
        <x:v>U02</x:v>
      </x:c>
      <x:c r="C105" s="7" t="n">
        <x:v>1</x:v>
      </x:c>
      <x:c r="D105" s="7" t="str">
        <x:v>["R1"]</x:v>
      </x:c>
      <x:c r="E105" s="19" t="str"/>
      <x:c r="F105" s="7" t="str">
        <x:f>IF(E105="","",IF(EXACT(D105,E105),1,0))</x:f>
      </x:c>
    </x:row>
    <x:row r="106" ht="48" customHeight="1">
      <x:c r="A106" s="12" t="str">
        <x:v>DP3-B-R2</x:v>
      </x:c>
      <x:c r="B106" s="12" t="str">
        <x:v>U03</x:v>
      </x:c>
      <x:c r="C106" s="12" t="n">
        <x:v>1</x:v>
      </x:c>
      <x:c r="D106" s="12" t="str">
        <x:v>["D1@v1"]</x:v>
      </x:c>
      <x:c r="E106" s="19" t="str"/>
      <x:c r="F106" s="12" t="str">
        <x:f>IF(E106="","",IF(EXACT(D106,E106),1,0))</x:f>
      </x:c>
    </x:row>
    <x:row r="107" ht="48" customHeight="1">
      <x:c r="A107" s="7" t="str">
        <x:v>DP3-B-R2</x:v>
      </x:c>
      <x:c r="B107" s="7" t="str">
        <x:v>U04</x:v>
      </x:c>
      <x:c r="C107" s="7" t="n">
        <x:v>1</x:v>
      </x:c>
      <x:c r="D107" s="7" t="str">
        <x:v>["T1"]</x:v>
      </x:c>
      <x:c r="E107" s="19" t="str"/>
      <x:c r="F107" s="7" t="str">
        <x:f>IF(E107="","",IF(EXACT(D107,E107),1,0))</x:f>
      </x:c>
    </x:row>
    <x:row r="108" ht="48" customHeight="1">
      <x:c r="A108" s="12" t="str">
        <x:v>DP3-B-R2</x:v>
      </x:c>
      <x:c r="B108" s="12" t="str">
        <x:v>U05</x:v>
      </x:c>
      <x:c r="C108" s="12" t="n">
        <x:v>1</x:v>
      </x:c>
      <x:c r="D108" s="12" t="str">
        <x:v>["D1"]</x:v>
      </x:c>
      <x:c r="E108" s="19" t="str"/>
      <x:c r="F108" s="12" t="str">
        <x:f>IF(E108="","",IF(EXACT(D108,E108),1,0))</x:f>
      </x:c>
    </x:row>
    <x:row r="109" ht="48" customHeight="1">
      <x:c r="A109" s="7" t="str">
        <x:v>DP3-B-R2</x:v>
      </x:c>
      <x:c r="B109" s="7" t="str">
        <x:v>U06</x:v>
      </x:c>
      <x:c r="C109" s="7" t="n">
        <x:v>1</x:v>
      </x:c>
      <x:c r="D109" s="7" t="str">
        <x:v>["D1"]</x:v>
      </x:c>
      <x:c r="E109" s="19" t="str"/>
      <x:c r="F109" s="7" t="str">
        <x:f>IF(E109="","",IF(EXACT(D109,E109),1,0))</x:f>
      </x:c>
    </x:row>
    <x:row r="110" ht="48" customHeight="1">
      <x:c r="A110" s="12" t="str">
        <x:v>DP3-B-R2</x:v>
      </x:c>
      <x:c r="B110" s="12" t="str">
        <x:v>U06</x:v>
      </x:c>
      <x:c r="C110" s="12" t="n">
        <x:v>2</x:v>
      </x:c>
      <x:c r="D110" s="12" t="str">
        <x:v>["D2"]</x:v>
      </x:c>
      <x:c r="E110" s="19" t="str"/>
      <x:c r="F110" s="12" t="str">
        <x:f>IF(E110="","",IF(EXACT(D110,E110),1,0))</x:f>
      </x:c>
    </x:row>
    <x:row r="111" ht="48" customHeight="1">
      <x:c r="A111" s="7" t="str">
        <x:v>DP3-B-R2</x:v>
      </x:c>
      <x:c r="B111" s="7" t="str">
        <x:v>U07</x:v>
      </x:c>
      <x:c r="C111" s="7" t="n">
        <x:v>1</x:v>
      </x:c>
      <x:c r="D111" s="7" t="str">
        <x:v>["D2"]</x:v>
      </x:c>
      <x:c r="E111" s="19" t="str"/>
      <x:c r="F111" s="7" t="str">
        <x:f>IF(E111="","",IF(EXACT(D111,E111),1,0))</x:f>
      </x:c>
    </x:row>
    <x:row r="112" ht="48" customHeight="1">
      <x:c r="A112" s="12" t="str">
        <x:v>DP3-B-R2</x:v>
      </x:c>
      <x:c r="B112" s="12" t="str">
        <x:v>U08</x:v>
      </x:c>
      <x:c r="C112" s="12" t="n">
        <x:v>1</x:v>
      </x:c>
      <x:c r="D112" s="12" t="str">
        <x:v>["D1"]</x:v>
      </x:c>
      <x:c r="E112" s="19" t="str"/>
      <x:c r="F112" s="12" t="str">
        <x:f>IF(E112="","",IF(EXACT(D112,E112),1,0))</x:f>
      </x:c>
    </x:row>
    <x:row r="113" ht="48" customHeight="1">
      <x:c r="A113" s="7" t="str">
        <x:v>DP3-B-R2</x:v>
      </x:c>
      <x:c r="B113" s="7" t="str">
        <x:v>U09</x:v>
      </x:c>
      <x:c r="C113" s="7" t="n">
        <x:v>1</x:v>
      </x:c>
      <x:c r="D113" s="7" t="str">
        <x:v>["Q1@v1","Q2@v1"]</x:v>
      </x:c>
      <x:c r="E113" s="19" t="str"/>
      <x:c r="F113" s="7" t="str">
        <x:f>IF(E113="","",IF(EXACT(D113,E113),1,0))</x:f>
      </x:c>
    </x:row>
    <x:row r="114" ht="48" customHeight="1">
      <x:c r="A114" s="12" t="str">
        <x:v>DP3-B-R2</x:v>
      </x:c>
      <x:c r="B114" s="12" t="str">
        <x:v>U10</x:v>
      </x:c>
      <x:c r="C114" s="12" t="n">
        <x:v>1</x:v>
      </x:c>
      <x:c r="D114" s="12" t="str">
        <x:v>["Q1","Q2"]</x:v>
      </x:c>
      <x:c r="E114" s="19" t="str"/>
      <x:c r="F114" s="12" t="str">
        <x:f>IF(E114="","",IF(EXACT(D114,E114),1,0))</x:f>
      </x:c>
    </x:row>
    <x:row r="115" ht="48" customHeight="1">
      <x:c r="A115" s="7" t="str">
        <x:v>DP3-B-R2</x:v>
      </x:c>
      <x:c r="B115" s="7" t="str">
        <x:v>U11</x:v>
      </x:c>
      <x:c r="C115" s="7" t="n">
        <x:v>1</x:v>
      </x:c>
      <x:c r="D115" s="7" t="str">
        <x:v>["Q1"]</x:v>
      </x:c>
      <x:c r="E115" s="19" t="str"/>
      <x:c r="F115" s="7" t="str">
        <x:f>IF(E115="","",IF(EXACT(D115,E115),1,0))</x:f>
      </x:c>
    </x:row>
    <x:row r="116" ht="48" customHeight="1">
      <x:c r="A116" s="12" t="str">
        <x:v>DP3-B-R2</x:v>
      </x:c>
      <x:c r="B116" s="12" t="str">
        <x:v>U11</x:v>
      </x:c>
      <x:c r="C116" s="12" t="n">
        <x:v>2</x:v>
      </x:c>
      <x:c r="D116" s="12" t="str">
        <x:v>["Q2"]</x:v>
      </x:c>
      <x:c r="E116" s="19" t="str"/>
      <x:c r="F116" s="12" t="str">
        <x:f>IF(E116="","",IF(EXACT(D116,E116),1,0))</x:f>
      </x:c>
    </x:row>
    <x:row r="117" ht="48" customHeight="1">
      <x:c r="A117" s="7" t="str">
        <x:v>DP3-B-R2</x:v>
      </x:c>
      <x:c r="B117" s="7" t="str">
        <x:v>U12</x:v>
      </x:c>
      <x:c r="C117" s="7" t="n">
        <x:v>1</x:v>
      </x:c>
      <x:c r="D117" s="7" t="str">
        <x:v>["Q1","Q2"]</x:v>
      </x:c>
      <x:c r="E117" s="19" t="str"/>
      <x:c r="F117" s="7" t="str">
        <x:f>IF(E117="","",IF(EXACT(D117,E117),1,0))</x:f>
      </x:c>
    </x:row>
    <x:row r="118" ht="48" customHeight="1">
      <x:c r="A118" s="12" t="str">
        <x:v>DP3-B-R2</x:v>
      </x:c>
      <x:c r="B118" s="12" t="str">
        <x:v>U13</x:v>
      </x:c>
      <x:c r="C118" s="12" t="n">
        <x:v>1</x:v>
      </x:c>
      <x:c r="D118" s="12" t="str">
        <x:v>["D2"]</x:v>
      </x:c>
      <x:c r="E118" s="19" t="str"/>
      <x:c r="F118" s="12" t="str">
        <x:f>IF(E118="","",IF(EXACT(D118,E118),1,0))</x:f>
      </x:c>
    </x:row>
    <x:row r="119" ht="48" customHeight="1">
      <x:c r="A119" s="7" t="str">
        <x:v>DP3-B-R2</x:v>
      </x:c>
      <x:c r="B119" s="7" t="str">
        <x:v>U13</x:v>
      </x:c>
      <x:c r="C119" s="7" t="n">
        <x:v>2</x:v>
      </x:c>
      <x:c r="D119" s="7" t="str">
        <x:v>["P"]</x:v>
      </x:c>
      <x:c r="E119" s="19" t="str"/>
      <x:c r="F119" s="7" t="str">
        <x:f>IF(E119="","",IF(EXACT(D119,E119),1,0))</x:f>
      </x:c>
    </x:row>
    <x:row r="120" ht="48" customHeight="1">
      <x:c r="A120" s="12" t="str">
        <x:v>DP3-B-R2</x:v>
      </x:c>
      <x:c r="B120" s="12" t="str">
        <x:v>U14</x:v>
      </x:c>
      <x:c r="C120" s="12" t="n">
        <x:v>1</x:v>
      </x:c>
      <x:c r="D120" s="12" t="str">
        <x:v>["D2"]</x:v>
      </x:c>
      <x:c r="E120" s="19" t="str"/>
      <x:c r="F120" s="12" t="str">
        <x:f>IF(E120="","",IF(EXACT(D120,E120),1,0))</x:f>
      </x:c>
    </x:row>
    <x:row r="121" ht="48" customHeight="1">
      <x:c r="A121" s="7" t="str">
        <x:v>DP3-B-R2</x:v>
      </x:c>
      <x:c r="B121" s="7" t="str">
        <x:v>U15</x:v>
      </x:c>
      <x:c r="C121" s="7" t="n">
        <x:v>1</x:v>
      </x:c>
      <x:c r="D121" s="7" t="str">
        <x:v>["D2"]</x:v>
      </x:c>
      <x:c r="E121" s="19" t="str"/>
      <x:c r="F121" s="7" t="str">
        <x:f>IF(E121="","",IF(EXACT(D121,E121),1,0))</x:f>
      </x:c>
    </x:row>
    <x:row r="122" ht="48" customHeight="1">
      <x:c r="A122" s="12" t="str">
        <x:v>DP3-B-R2</x:v>
      </x:c>
      <x:c r="B122" s="12" t="str">
        <x:v>U16</x:v>
      </x:c>
      <x:c r="C122" s="12" t="n">
        <x:v>1</x:v>
      </x:c>
      <x:c r="D122" s="12" t="str">
        <x:v>["F1"]</x:v>
      </x:c>
      <x:c r="E122" s="19" t="str"/>
      <x:c r="F122" s="12" t="str">
        <x:f>IF(E122="","",IF(EXACT(D122,E122),1,0))</x:f>
      </x:c>
    </x:row>
    <x:row r="123" ht="48" customHeight="1">
      <x:c r="A123" s="7" t="str">
        <x:v>DP3-B-R2</x:v>
      </x:c>
      <x:c r="B123" s="7" t="str">
        <x:v>U17</x:v>
      </x:c>
      <x:c r="C123" s="7" t="n">
        <x:v>1</x:v>
      </x:c>
      <x:c r="D123" s="7" t="str">
        <x:v>["Q1"]</x:v>
      </x:c>
      <x:c r="E123" s="19" t="str"/>
      <x:c r="F123" s="7" t="str">
        <x:f>IF(E123="","",IF(EXACT(D123,E123),1,0))</x:f>
      </x:c>
    </x:row>
    <x:row r="124" ht="48" customHeight="1">
      <x:c r="A124" s="12" t="str">
        <x:v>DP3-B-R2</x:v>
      </x:c>
      <x:c r="B124" s="12" t="str">
        <x:v>U18</x:v>
      </x:c>
      <x:c r="C124" s="12" t="n">
        <x:v>1</x:v>
      </x:c>
      <x:c r="D124" s="12" t="str">
        <x:v>["R1"]</x:v>
      </x:c>
      <x:c r="E124" s="19" t="str"/>
      <x:c r="F124" s="12" t="str">
        <x:f>IF(E124="","",IF(EXACT(D124,E124),1,0))</x:f>
      </x:c>
    </x:row>
    <x:row r="125" ht="48" customHeight="1">
      <x:c r="A125" s="7" t="str">
        <x:v>DP3-B-R2</x:v>
      </x:c>
      <x:c r="B125" s="7" t="str">
        <x:v>U18</x:v>
      </x:c>
      <x:c r="C125" s="7" t="n">
        <x:v>2</x:v>
      </x:c>
      <x:c r="D125" s="7" t="str">
        <x:v>["Q1"]</x:v>
      </x:c>
      <x:c r="E125" s="19" t="str"/>
      <x:c r="F125" s="7" t="str">
        <x:f>IF(E125="","",IF(EXACT(D125,E125),1,0))</x:f>
      </x:c>
    </x:row>
    <x:row r="126" ht="48" customHeight="1">
      <x:c r="A126" s="12" t="str">
        <x:v>DP3-B-R2</x:v>
      </x:c>
      <x:c r="B126" s="12" t="str">
        <x:v>U19</x:v>
      </x:c>
      <x:c r="C126" s="12" t="n">
        <x:v>1</x:v>
      </x:c>
      <x:c r="D126" s="12" t="str">
        <x:v>["Q1"]</x:v>
      </x:c>
      <x:c r="E126" s="19" t="str"/>
      <x:c r="F126" s="12" t="str">
        <x:f>IF(E126="","",IF(EXACT(D126,E126),1,0))</x:f>
      </x:c>
    </x:row>
    <x:row r="127" ht="48" customHeight="1">
      <x:c r="A127" s="7" t="str">
        <x:v>DP3-B-R2</x:v>
      </x:c>
      <x:c r="B127" s="7" t="str">
        <x:v>U19</x:v>
      </x:c>
      <x:c r="C127" s="7" t="n">
        <x:v>2</x:v>
      </x:c>
      <x:c r="D127" s="7" t="str">
        <x:v>["R0"]</x:v>
      </x:c>
      <x:c r="E127" s="19" t="str"/>
      <x:c r="F127" s="7" t="str">
        <x:f>IF(E127="","",IF(EXACT(D127,E127),1,0))</x:f>
      </x:c>
    </x:row>
    <x:row r="128" ht="48" customHeight="1">
      <x:c r="A128" s="12" t="str">
        <x:v>DP3-B-R2</x:v>
      </x:c>
      <x:c r="B128" s="12" t="str">
        <x:v>U20</x:v>
      </x:c>
      <x:c r="C128" s="12" t="n">
        <x:v>1</x:v>
      </x:c>
      <x:c r="D128" s="12" t="str">
        <x:v>["R0"]</x:v>
      </x:c>
      <x:c r="E128" s="19" t="str"/>
      <x:c r="F128" s="12" t="str">
        <x:f>IF(E128="","",IF(EXACT(D128,E128),1,0))</x:f>
      </x:c>
    </x:row>
    <x:row r="129" ht="48" customHeight="1">
      <x:c r="A129" s="7" t="str">
        <x:v>DP3-B-R2</x:v>
      </x:c>
      <x:c r="B129" s="7" t="str">
        <x:v>U21</x:v>
      </x:c>
      <x:c r="C129" s="7" t="n">
        <x:v>1</x:v>
      </x:c>
      <x:c r="D129" s="7" t="str">
        <x:v>["Q1","Q2"]</x:v>
      </x:c>
      <x:c r="E129" s="19" t="str"/>
      <x:c r="F129" s="7" t="str">
        <x:f>IF(E129="","",IF(EXACT(D129,E129),1,0))</x:f>
      </x:c>
    </x:row>
    <x:row r="130" ht="48" customHeight="1">
      <x:c r="A130" s="12" t="str">
        <x:v>DP3-B-R2</x:v>
      </x:c>
      <x:c r="B130" s="12" t="str">
        <x:v>U21</x:v>
      </x:c>
      <x:c r="C130" s="12" t="n">
        <x:v>2</x:v>
      </x:c>
      <x:c r="D130" s="12" t="str">
        <x:v>["D2"]</x:v>
      </x:c>
      <x:c r="E130" s="19" t="str"/>
      <x:c r="F130" s="12" t="str">
        <x:f>IF(E130="","",IF(EXACT(D130,E130),1,0))</x:f>
      </x:c>
    </x:row>
    <x:row r="131" ht="48" customHeight="1">
      <x:c r="A131" s="7" t="str">
        <x:v>DP3-B-R2</x:v>
      </x:c>
      <x:c r="B131" s="7" t="str">
        <x:v>U21</x:v>
      </x:c>
      <x:c r="C131" s="7" t="n">
        <x:v>3</x:v>
      </x:c>
      <x:c r="D131" s="7" t="str">
        <x:v>["T1"]</x:v>
      </x:c>
      <x:c r="E131" s="19" t="str"/>
      <x:c r="F131" s="7" t="str">
        <x:f>IF(E131="","",IF(EXACT(D131,E131),1,0))</x:f>
      </x:c>
    </x:row>
    <x:row r="132" ht="48" customHeight="1">
      <x:c r="A132" s="12" t="str">
        <x:v>DP3-B-R2</x:v>
      </x:c>
      <x:c r="B132" s="12" t="str">
        <x:v>U22</x:v>
      </x:c>
      <x:c r="C132" s="12" t="n">
        <x:v>1</x:v>
      </x:c>
      <x:c r="D132" s="12" t="str">
        <x:v>["Q1","Q2"]</x:v>
      </x:c>
      <x:c r="E132" s="19" t="str"/>
      <x:c r="F132" s="12" t="str">
        <x:f>IF(E132="","",IF(EXACT(D132,E132),1,0))</x:f>
      </x:c>
    </x:row>
    <x:row r="133" ht="48" customHeight="1">
      <x:c r="A133" s="7" t="str">
        <x:v>DP3-B-R2</x:v>
      </x:c>
      <x:c r="B133" s="7" t="str">
        <x:v>U22</x:v>
      </x:c>
      <x:c r="C133" s="7" t="n">
        <x:v>2</x:v>
      </x:c>
      <x:c r="D133" s="7" t="str">
        <x:v>["calendar_question"]</x:v>
      </x:c>
      <x:c r="E133" s="19" t="str"/>
      <x:c r="F133" s="7" t="str">
        <x:f>IF(E133="","",IF(EXACT(D133,E133),1,0))</x:f>
      </x:c>
    </x:row>
    <x:row r="134" ht="48" customHeight="1">
      <x:c r="A134" s="12" t="str">
        <x:v>DP3-B-R2</x:v>
      </x:c>
      <x:c r="B134" s="12" t="str">
        <x:v>U23</x:v>
      </x:c>
      <x:c r="C134" s="12" t="n">
        <x:v>1</x:v>
      </x:c>
      <x:c r="D134" s="12" t="str">
        <x:v>["D2"]</x:v>
      </x:c>
      <x:c r="E134" s="19" t="str"/>
      <x:c r="F134" s="12" t="str">
        <x:f>IF(E134="","",IF(EXACT(D134,E134),1,0))</x:f>
      </x:c>
    </x:row>
    <x:row r="135" ht="48" customHeight="1">
      <x:c r="A135" s="7" t="str">
        <x:v>DP3-B-R2</x:v>
      </x:c>
      <x:c r="B135" s="7" t="str">
        <x:v>U23</x:v>
      </x:c>
      <x:c r="C135" s="7" t="n">
        <x:v>2</x:v>
      </x:c>
      <x:c r="D135" s="7" t="str">
        <x:v>["mail_question"]</x:v>
      </x:c>
      <x:c r="E135" s="19" t="str"/>
      <x:c r="F135" s="7" t="str">
        <x:f>IF(E135="","",IF(EXACT(D135,E135),1,0))</x:f>
      </x:c>
    </x:row>
    <x:row r="136" ht="48" customHeight="1">
      <x:c r="A136" s="12" t="str">
        <x:v>DP3-B-R2</x:v>
      </x:c>
      <x:c r="B136" s="12" t="str">
        <x:v>U24</x:v>
      </x:c>
      <x:c r="C136" s="12" t="n">
        <x:v>1</x:v>
      </x:c>
      <x:c r="D136" s="12" t="str">
        <x:v>["Q1","Q2"]</x:v>
      </x:c>
      <x:c r="E136" s="19" t="str"/>
      <x:c r="F136" s="12" t="str">
        <x:f>IF(E136="","",IF(EXACT(D136,E136),1,0))</x:f>
      </x:c>
    </x:row>
    <x:row r="137" ht="48" customHeight="1">
      <x:c r="A137" s="7" t="str">
        <x:v>DP3-B-R2</x:v>
      </x:c>
      <x:c r="B137" s="7" t="str">
        <x:v>U24</x:v>
      </x:c>
      <x:c r="C137" s="7" t="n">
        <x:v>2</x:v>
      </x:c>
      <x:c r="D137" s="7" t="str">
        <x:v>["F1"]</x:v>
      </x:c>
      <x:c r="E137" s="19" t="str"/>
      <x:c r="F137" s="7" t="str">
        <x:f>IF(E137="","",IF(EXACT(D137,E137),1,0))</x:f>
      </x:c>
    </x:row>
    <x:row r="138" ht="48" customHeight="1">
      <x:c r="A138" s="12" t="str">
        <x:v>DP3-B-R3</x:v>
      </x:c>
      <x:c r="B138" s="12" t="str">
        <x:v>U02</x:v>
      </x:c>
      <x:c r="C138" s="12" t="n">
        <x:v>1</x:v>
      </x:c>
      <x:c r="D138" s="12" t="str">
        <x:v>["R1"]</x:v>
      </x:c>
      <x:c r="E138" s="19" t="str"/>
      <x:c r="F138" s="12" t="str">
        <x:f>IF(E138="","",IF(EXACT(D138,E138),1,0))</x:f>
      </x:c>
    </x:row>
    <x:row r="139" ht="48" customHeight="1">
      <x:c r="A139" s="7" t="str">
        <x:v>DP3-B-R3</x:v>
      </x:c>
      <x:c r="B139" s="7" t="str">
        <x:v>U03</x:v>
      </x:c>
      <x:c r="C139" s="7" t="n">
        <x:v>1</x:v>
      </x:c>
      <x:c r="D139" s="7" t="str">
        <x:v>["D1@v1"]</x:v>
      </x:c>
      <x:c r="E139" s="19" t="str"/>
      <x:c r="F139" s="7" t="str">
        <x:f>IF(E139="","",IF(EXACT(D139,E139),1,0))</x:f>
      </x:c>
    </x:row>
    <x:row r="140" ht="48" customHeight="1">
      <x:c r="A140" s="12" t="str">
        <x:v>DP3-B-R3</x:v>
      </x:c>
      <x:c r="B140" s="12" t="str">
        <x:v>U04</x:v>
      </x:c>
      <x:c r="C140" s="12" t="n">
        <x:v>1</x:v>
      </x:c>
      <x:c r="D140" s="12" t="str">
        <x:v>["T1"]</x:v>
      </x:c>
      <x:c r="E140" s="19" t="str"/>
      <x:c r="F140" s="12" t="str">
        <x:f>IF(E140="","",IF(EXACT(D140,E140),1,0))</x:f>
      </x:c>
    </x:row>
    <x:row r="141" ht="48" customHeight="1">
      <x:c r="A141" s="7" t="str">
        <x:v>DP3-B-R3</x:v>
      </x:c>
      <x:c r="B141" s="7" t="str">
        <x:v>U05</x:v>
      </x:c>
      <x:c r="C141" s="7" t="n">
        <x:v>1</x:v>
      </x:c>
      <x:c r="D141" s="7" t="str">
        <x:v>["D1"]</x:v>
      </x:c>
      <x:c r="E141" s="19" t="str"/>
      <x:c r="F141" s="7" t="str">
        <x:f>IF(E141="","",IF(EXACT(D141,E141),1,0))</x:f>
      </x:c>
    </x:row>
    <x:row r="142" ht="48" customHeight="1">
      <x:c r="A142" s="12" t="str">
        <x:v>DP3-B-R3</x:v>
      </x:c>
      <x:c r="B142" s="12" t="str">
        <x:v>U06</x:v>
      </x:c>
      <x:c r="C142" s="12" t="n">
        <x:v>1</x:v>
      </x:c>
      <x:c r="D142" s="12" t="str">
        <x:v>["D1"]</x:v>
      </x:c>
      <x:c r="E142" s="19" t="str"/>
      <x:c r="F142" s="12" t="str">
        <x:f>IF(E142="","",IF(EXACT(D142,E142),1,0))</x:f>
      </x:c>
    </x:row>
    <x:row r="143" ht="48" customHeight="1">
      <x:c r="A143" s="7" t="str">
        <x:v>DP3-B-R3</x:v>
      </x:c>
      <x:c r="B143" s="7" t="str">
        <x:v>U06</x:v>
      </x:c>
      <x:c r="C143" s="7" t="n">
        <x:v>2</x:v>
      </x:c>
      <x:c r="D143" s="7" t="str">
        <x:v>["D2"]</x:v>
      </x:c>
      <x:c r="E143" s="19" t="str"/>
      <x:c r="F143" s="7" t="str">
        <x:f>IF(E143="","",IF(EXACT(D143,E143),1,0))</x:f>
      </x:c>
    </x:row>
    <x:row r="144" ht="48" customHeight="1">
      <x:c r="A144" s="12" t="str">
        <x:v>DP3-B-R3</x:v>
      </x:c>
      <x:c r="B144" s="12" t="str">
        <x:v>U07</x:v>
      </x:c>
      <x:c r="C144" s="12" t="n">
        <x:v>1</x:v>
      </x:c>
      <x:c r="D144" s="12" t="str">
        <x:v>["D2"]</x:v>
      </x:c>
      <x:c r="E144" s="19" t="str"/>
      <x:c r="F144" s="12" t="str">
        <x:f>IF(E144="","",IF(EXACT(D144,E144),1,0))</x:f>
      </x:c>
    </x:row>
    <x:row r="145" ht="48" customHeight="1">
      <x:c r="A145" s="7" t="str">
        <x:v>DP3-B-R3</x:v>
      </x:c>
      <x:c r="B145" s="7" t="str">
        <x:v>U08</x:v>
      </x:c>
      <x:c r="C145" s="7" t="n">
        <x:v>1</x:v>
      </x:c>
      <x:c r="D145" s="7" t="str">
        <x:v>["D1"]</x:v>
      </x:c>
      <x:c r="E145" s="19" t="str"/>
      <x:c r="F145" s="7" t="str">
        <x:f>IF(E145="","",IF(EXACT(D145,E145),1,0))</x:f>
      </x:c>
    </x:row>
    <x:row r="146" ht="48" customHeight="1">
      <x:c r="A146" s="12" t="str">
        <x:v>DP3-B-R3</x:v>
      </x:c>
      <x:c r="B146" s="12" t="str">
        <x:v>U09</x:v>
      </x:c>
      <x:c r="C146" s="12" t="n">
        <x:v>1</x:v>
      </x:c>
      <x:c r="D146" s="12" t="str">
        <x:v>["Q1@v1","Q2@v1"]</x:v>
      </x:c>
      <x:c r="E146" s="19" t="str"/>
      <x:c r="F146" s="12" t="str">
        <x:f>IF(E146="","",IF(EXACT(D146,E146),1,0))</x:f>
      </x:c>
    </x:row>
    <x:row r="147" ht="48" customHeight="1">
      <x:c r="A147" s="7" t="str">
        <x:v>DP3-B-R3</x:v>
      </x:c>
      <x:c r="B147" s="7" t="str">
        <x:v>U10</x:v>
      </x:c>
      <x:c r="C147" s="7" t="n">
        <x:v>1</x:v>
      </x:c>
      <x:c r="D147" s="7" t="str">
        <x:v>["Q1","Q2"]</x:v>
      </x:c>
      <x:c r="E147" s="19" t="str"/>
      <x:c r="F147" s="7" t="str">
        <x:f>IF(E147="","",IF(EXACT(D147,E147),1,0))</x:f>
      </x:c>
    </x:row>
    <x:row r="148" ht="48" customHeight="1">
      <x:c r="A148" s="12" t="str">
        <x:v>DP3-B-R3</x:v>
      </x:c>
      <x:c r="B148" s="12" t="str">
        <x:v>U11</x:v>
      </x:c>
      <x:c r="C148" s="12" t="n">
        <x:v>1</x:v>
      </x:c>
      <x:c r="D148" s="12" t="str">
        <x:v>["Q1"]</x:v>
      </x:c>
      <x:c r="E148" s="19" t="str"/>
      <x:c r="F148" s="12" t="str">
        <x:f>IF(E148="","",IF(EXACT(D148,E148),1,0))</x:f>
      </x:c>
    </x:row>
    <x:row r="149" ht="48" customHeight="1">
      <x:c r="A149" s="7" t="str">
        <x:v>DP3-B-R3</x:v>
      </x:c>
      <x:c r="B149" s="7" t="str">
        <x:v>U11</x:v>
      </x:c>
      <x:c r="C149" s="7" t="n">
        <x:v>2</x:v>
      </x:c>
      <x:c r="D149" s="7" t="str">
        <x:v>["Q2"]</x:v>
      </x:c>
      <x:c r="E149" s="19" t="str"/>
      <x:c r="F149" s="7" t="str">
        <x:f>IF(E149="","",IF(EXACT(D149,E149),1,0))</x:f>
      </x:c>
    </x:row>
    <x:row r="150" ht="48" customHeight="1">
      <x:c r="A150" s="12" t="str">
        <x:v>DP3-B-R3</x:v>
      </x:c>
      <x:c r="B150" s="12" t="str">
        <x:v>U12</x:v>
      </x:c>
      <x:c r="C150" s="12" t="n">
        <x:v>1</x:v>
      </x:c>
      <x:c r="D150" s="12" t="str">
        <x:v>["Q1","Q2"]</x:v>
      </x:c>
      <x:c r="E150" s="19" t="str"/>
      <x:c r="F150" s="12" t="str">
        <x:f>IF(E150="","",IF(EXACT(D150,E150),1,0))</x:f>
      </x:c>
    </x:row>
    <x:row r="151" ht="48" customHeight="1">
      <x:c r="A151" s="7" t="str">
        <x:v>DP3-B-R3</x:v>
      </x:c>
      <x:c r="B151" s="7" t="str">
        <x:v>U13</x:v>
      </x:c>
      <x:c r="C151" s="7" t="n">
        <x:v>1</x:v>
      </x:c>
      <x:c r="D151" s="7" t="str">
        <x:v>["D2"]</x:v>
      </x:c>
      <x:c r="E151" s="19" t="str"/>
      <x:c r="F151" s="7" t="str">
        <x:f>IF(E151="","",IF(EXACT(D151,E151),1,0))</x:f>
      </x:c>
    </x:row>
    <x:row r="152" ht="48" customHeight="1">
      <x:c r="A152" s="12" t="str">
        <x:v>DP3-B-R3</x:v>
      </x:c>
      <x:c r="B152" s="12" t="str">
        <x:v>U13</x:v>
      </x:c>
      <x:c r="C152" s="12" t="n">
        <x:v>2</x:v>
      </x:c>
      <x:c r="D152" s="12" t="str">
        <x:v>["P"]</x:v>
      </x:c>
      <x:c r="E152" s="19" t="str"/>
      <x:c r="F152" s="12" t="str">
        <x:f>IF(E152="","",IF(EXACT(D152,E152),1,0))</x:f>
      </x:c>
    </x:row>
    <x:row r="153" ht="48" customHeight="1">
      <x:c r="A153" s="7" t="str">
        <x:v>DP3-B-R3</x:v>
      </x:c>
      <x:c r="B153" s="7" t="str">
        <x:v>U14</x:v>
      </x:c>
      <x:c r="C153" s="7" t="n">
        <x:v>1</x:v>
      </x:c>
      <x:c r="D153" s="7" t="str">
        <x:v>["D2"]</x:v>
      </x:c>
      <x:c r="E153" s="19" t="str"/>
      <x:c r="F153" s="7" t="str">
        <x:f>IF(E153="","",IF(EXACT(D153,E153),1,0))</x:f>
      </x:c>
    </x:row>
    <x:row r="154" ht="48" customHeight="1">
      <x:c r="A154" s="12" t="str">
        <x:v>DP3-B-R3</x:v>
      </x:c>
      <x:c r="B154" s="12" t="str">
        <x:v>U15</x:v>
      </x:c>
      <x:c r="C154" s="12" t="n">
        <x:v>1</x:v>
      </x:c>
      <x:c r="D154" s="12" t="str">
        <x:v>["D2"]</x:v>
      </x:c>
      <x:c r="E154" s="19" t="str"/>
      <x:c r="F154" s="12" t="str">
        <x:f>IF(E154="","",IF(EXACT(D154,E154),1,0))</x:f>
      </x:c>
    </x:row>
    <x:row r="155" ht="48" customHeight="1">
      <x:c r="A155" s="7" t="str">
        <x:v>DP3-B-R3</x:v>
      </x:c>
      <x:c r="B155" s="7" t="str">
        <x:v>U16</x:v>
      </x:c>
      <x:c r="C155" s="7" t="n">
        <x:v>1</x:v>
      </x:c>
      <x:c r="D155" s="7" t="str">
        <x:v>["F1"]</x:v>
      </x:c>
      <x:c r="E155" s="19" t="str"/>
      <x:c r="F155" s="7" t="str">
        <x:f>IF(E155="","",IF(EXACT(D155,E155),1,0))</x:f>
      </x:c>
    </x:row>
    <x:row r="156" ht="48" customHeight="1">
      <x:c r="A156" s="12" t="str">
        <x:v>DP3-B-R3</x:v>
      </x:c>
      <x:c r="B156" s="12" t="str">
        <x:v>U17</x:v>
      </x:c>
      <x:c r="C156" s="12" t="n">
        <x:v>1</x:v>
      </x:c>
      <x:c r="D156" s="12" t="str">
        <x:v>["Q1"]</x:v>
      </x:c>
      <x:c r="E156" s="19" t="str"/>
      <x:c r="F156" s="12" t="str">
        <x:f>IF(E156="","",IF(EXACT(D156,E156),1,0))</x:f>
      </x:c>
    </x:row>
    <x:row r="157" ht="48" customHeight="1">
      <x:c r="A157" s="7" t="str">
        <x:v>DP3-B-R3</x:v>
      </x:c>
      <x:c r="B157" s="7" t="str">
        <x:v>U18</x:v>
      </x:c>
      <x:c r="C157" s="7" t="n">
        <x:v>1</x:v>
      </x:c>
      <x:c r="D157" s="7" t="str">
        <x:v>["R1"]</x:v>
      </x:c>
      <x:c r="E157" s="19" t="str"/>
      <x:c r="F157" s="7" t="str">
        <x:f>IF(E157="","",IF(EXACT(D157,E157),1,0))</x:f>
      </x:c>
    </x:row>
    <x:row r="158" ht="48" customHeight="1">
      <x:c r="A158" s="12" t="str">
        <x:v>DP3-B-R3</x:v>
      </x:c>
      <x:c r="B158" s="12" t="str">
        <x:v>U18</x:v>
      </x:c>
      <x:c r="C158" s="12" t="n">
        <x:v>2</x:v>
      </x:c>
      <x:c r="D158" s="12" t="str">
        <x:v>["Q1"]</x:v>
      </x:c>
      <x:c r="E158" s="19" t="str"/>
      <x:c r="F158" s="12" t="str">
        <x:f>IF(E158="","",IF(EXACT(D158,E158),1,0))</x:f>
      </x:c>
    </x:row>
    <x:row r="159" ht="48" customHeight="1">
      <x:c r="A159" s="7" t="str">
        <x:v>DP3-B-R3</x:v>
      </x:c>
      <x:c r="B159" s="7" t="str">
        <x:v>U19</x:v>
      </x:c>
      <x:c r="C159" s="7" t="n">
        <x:v>1</x:v>
      </x:c>
      <x:c r="D159" s="7" t="str">
        <x:v>["Q1"]</x:v>
      </x:c>
      <x:c r="E159" s="19" t="str"/>
      <x:c r="F159" s="7" t="str">
        <x:f>IF(E159="","",IF(EXACT(D159,E159),1,0))</x:f>
      </x:c>
    </x:row>
    <x:row r="160" ht="48" customHeight="1">
      <x:c r="A160" s="12" t="str">
        <x:v>DP3-B-R3</x:v>
      </x:c>
      <x:c r="B160" s="12" t="str">
        <x:v>U19</x:v>
      </x:c>
      <x:c r="C160" s="12" t="n">
        <x:v>2</x:v>
      </x:c>
      <x:c r="D160" s="12" t="str">
        <x:v>["R0"]</x:v>
      </x:c>
      <x:c r="E160" s="19" t="str"/>
      <x:c r="F160" s="12" t="str">
        <x:f>IF(E160="","",IF(EXACT(D160,E160),1,0))</x:f>
      </x:c>
    </x:row>
    <x:row r="161" ht="48" customHeight="1">
      <x:c r="A161" s="7" t="str">
        <x:v>DP3-B-R3</x:v>
      </x:c>
      <x:c r="B161" s="7" t="str">
        <x:v>U20</x:v>
      </x:c>
      <x:c r="C161" s="7" t="n">
        <x:v>1</x:v>
      </x:c>
      <x:c r="D161" s="7" t="str">
        <x:v>["R0"]</x:v>
      </x:c>
      <x:c r="E161" s="19" t="str"/>
      <x:c r="F161" s="7" t="str">
        <x:f>IF(E161="","",IF(EXACT(D161,E161),1,0))</x:f>
      </x:c>
    </x:row>
    <x:row r="162" ht="48" customHeight="1">
      <x:c r="A162" s="12" t="str">
        <x:v>DP3-B-R3</x:v>
      </x:c>
      <x:c r="B162" s="12" t="str">
        <x:v>U21</x:v>
      </x:c>
      <x:c r="C162" s="12" t="n">
        <x:v>1</x:v>
      </x:c>
      <x:c r="D162" s="12" t="str">
        <x:v>["Q1","Q2"]</x:v>
      </x:c>
      <x:c r="E162" s="19" t="str"/>
      <x:c r="F162" s="12" t="str">
        <x:f>IF(E162="","",IF(EXACT(D162,E162),1,0))</x:f>
      </x:c>
    </x:row>
    <x:row r="163" ht="48" customHeight="1">
      <x:c r="A163" s="7" t="str">
        <x:v>DP3-B-R3</x:v>
      </x:c>
      <x:c r="B163" s="7" t="str">
        <x:v>U21</x:v>
      </x:c>
      <x:c r="C163" s="7" t="n">
        <x:v>2</x:v>
      </x:c>
      <x:c r="D163" s="7" t="str">
        <x:v>["D2"]</x:v>
      </x:c>
      <x:c r="E163" s="19" t="str"/>
      <x:c r="F163" s="7" t="str">
        <x:f>IF(E163="","",IF(EXACT(D163,E163),1,0))</x:f>
      </x:c>
    </x:row>
    <x:row r="164" ht="48" customHeight="1">
      <x:c r="A164" s="12" t="str">
        <x:v>DP3-B-R3</x:v>
      </x:c>
      <x:c r="B164" s="12" t="str">
        <x:v>U21</x:v>
      </x:c>
      <x:c r="C164" s="12" t="n">
        <x:v>3</x:v>
      </x:c>
      <x:c r="D164" s="12" t="str">
        <x:v>["T1"]</x:v>
      </x:c>
      <x:c r="E164" s="19" t="str"/>
      <x:c r="F164" s="12" t="str">
        <x:f>IF(E164="","",IF(EXACT(D164,E164),1,0))</x:f>
      </x:c>
    </x:row>
    <x:row r="165" ht="48" customHeight="1">
      <x:c r="A165" s="7" t="str">
        <x:v>DP3-B-R3</x:v>
      </x:c>
      <x:c r="B165" s="7" t="str">
        <x:v>U22</x:v>
      </x:c>
      <x:c r="C165" s="7" t="n">
        <x:v>1</x:v>
      </x:c>
      <x:c r="D165" s="7" t="str">
        <x:v>["Q1","Q2"]</x:v>
      </x:c>
      <x:c r="E165" s="19" t="str"/>
      <x:c r="F165" s="7" t="str">
        <x:f>IF(E165="","",IF(EXACT(D165,E165),1,0))</x:f>
      </x:c>
    </x:row>
    <x:row r="166" ht="48" customHeight="1">
      <x:c r="A166" s="12" t="str">
        <x:v>DP3-B-R3</x:v>
      </x:c>
      <x:c r="B166" s="12" t="str">
        <x:v>U22</x:v>
      </x:c>
      <x:c r="C166" s="12" t="n">
        <x:v>2</x:v>
      </x:c>
      <x:c r="D166" s="12" t="str">
        <x:v>["calendar_question"]</x:v>
      </x:c>
      <x:c r="E166" s="19" t="str"/>
      <x:c r="F166" s="12" t="str">
        <x:f>IF(E166="","",IF(EXACT(D166,E166),1,0))</x:f>
      </x:c>
    </x:row>
    <x:row r="167" ht="48" customHeight="1">
      <x:c r="A167" s="7" t="str">
        <x:v>DP3-B-R3</x:v>
      </x:c>
      <x:c r="B167" s="7" t="str">
        <x:v>U23</x:v>
      </x:c>
      <x:c r="C167" s="7" t="n">
        <x:v>1</x:v>
      </x:c>
      <x:c r="D167" s="7" t="str">
        <x:v>["D2"]</x:v>
      </x:c>
      <x:c r="E167" s="19" t="str"/>
      <x:c r="F167" s="7" t="str">
        <x:f>IF(E167="","",IF(EXACT(D167,E167),1,0))</x:f>
      </x:c>
    </x:row>
    <x:row r="168" ht="48" customHeight="1">
      <x:c r="A168" s="12" t="str">
        <x:v>DP3-B-R3</x:v>
      </x:c>
      <x:c r="B168" s="12" t="str">
        <x:v>U23</x:v>
      </x:c>
      <x:c r="C168" s="12" t="n">
        <x:v>2</x:v>
      </x:c>
      <x:c r="D168" s="12" t="str">
        <x:v>["mail_question"]</x:v>
      </x:c>
      <x:c r="E168" s="19" t="str"/>
      <x:c r="F168" s="12" t="str">
        <x:f>IF(E168="","",IF(EXACT(D168,E168),1,0))</x:f>
      </x:c>
    </x:row>
    <x:row r="169" ht="48" customHeight="1">
      <x:c r="A169" s="7" t="str">
        <x:v>DP3-B-R3</x:v>
      </x:c>
      <x:c r="B169" s="7" t="str">
        <x:v>U24</x:v>
      </x:c>
      <x:c r="C169" s="7" t="n">
        <x:v>1</x:v>
      </x:c>
      <x:c r="D169" s="7" t="str">
        <x:v>["Q1","Q2"]</x:v>
      </x:c>
      <x:c r="E169" s="19" t="str"/>
      <x:c r="F169" s="7" t="str">
        <x:f>IF(E169="","",IF(EXACT(D169,E169),1,0))</x:f>
      </x:c>
    </x:row>
    <x:row r="170" ht="48" customHeight="1">
      <x:c r="A170" s="12" t="str">
        <x:v>DP3-B-R3</x:v>
      </x:c>
      <x:c r="B170" s="12" t="str">
        <x:v>U24</x:v>
      </x:c>
      <x:c r="C170" s="12" t="n">
        <x:v>2</x:v>
      </x:c>
      <x:c r="D170" s="12" t="str">
        <x:v>["F1"]</x:v>
      </x:c>
      <x:c r="E170" s="19" t="str"/>
      <x:c r="F170" s="12" t="str">
        <x:f>IF(E170="","",IF(EXACT(D170,E170),1,0))</x:f>
      </x:c>
    </x:row>
    <x:row r="171" ht="48" customHeight="1">
      <x:c r="A171" s="7" t="str">
        <x:v>DP5-B</x:v>
      </x:c>
      <x:c r="B171" s="7" t="str">
        <x:v>U02</x:v>
      </x:c>
      <x:c r="C171" s="7" t="n">
        <x:v>1</x:v>
      </x:c>
      <x:c r="D171" s="7" t="str">
        <x:v>["R1"]</x:v>
      </x:c>
      <x:c r="E171" s="19" t="str"/>
      <x:c r="F171" s="7" t="str">
        <x:f>IF(E171="","",IF(EXACT(D171,E171),1,0))</x:f>
      </x:c>
    </x:row>
    <x:row r="172" ht="48" customHeight="1">
      <x:c r="A172" s="12" t="str">
        <x:v>DP5-B</x:v>
      </x:c>
      <x:c r="B172" s="12" t="str">
        <x:v>U03</x:v>
      </x:c>
      <x:c r="C172" s="12" t="n">
        <x:v>1</x:v>
      </x:c>
      <x:c r="D172" s="12" t="str">
        <x:v>["D1@v1"]</x:v>
      </x:c>
      <x:c r="E172" s="19" t="str"/>
      <x:c r="F172" s="12" t="str">
        <x:f>IF(E172="","",IF(EXACT(D172,E172),1,0))</x:f>
      </x:c>
    </x:row>
    <x:row r="173" ht="48" customHeight="1">
      <x:c r="A173" s="7" t="str">
        <x:v>DP5-B</x:v>
      </x:c>
      <x:c r="B173" s="7" t="str">
        <x:v>U04</x:v>
      </x:c>
      <x:c r="C173" s="7" t="n">
        <x:v>1</x:v>
      </x:c>
      <x:c r="D173" s="7" t="str">
        <x:v>["T1"]</x:v>
      </x:c>
      <x:c r="E173" s="19" t="str"/>
      <x:c r="F173" s="7" t="str">
        <x:f>IF(E173="","",IF(EXACT(D173,E173),1,0))</x:f>
      </x:c>
    </x:row>
    <x:row r="174" ht="48" customHeight="1">
      <x:c r="A174" s="12" t="str">
        <x:v>DP5-B</x:v>
      </x:c>
      <x:c r="B174" s="12" t="str">
        <x:v>U05</x:v>
      </x:c>
      <x:c r="C174" s="12" t="n">
        <x:v>1</x:v>
      </x:c>
      <x:c r="D174" s="12" t="str">
        <x:v>["D1"]</x:v>
      </x:c>
      <x:c r="E174" s="19" t="str"/>
      <x:c r="F174" s="12" t="str">
        <x:f>IF(E174="","",IF(EXACT(D174,E174),1,0))</x:f>
      </x:c>
    </x:row>
    <x:row r="175" ht="48" customHeight="1">
      <x:c r="A175" s="7" t="str">
        <x:v>DP5-B</x:v>
      </x:c>
      <x:c r="B175" s="7" t="str">
        <x:v>U06</x:v>
      </x:c>
      <x:c r="C175" s="7" t="n">
        <x:v>1</x:v>
      </x:c>
      <x:c r="D175" s="7" t="str">
        <x:v>["D1"]</x:v>
      </x:c>
      <x:c r="E175" s="19" t="str"/>
      <x:c r="F175" s="7" t="str">
        <x:f>IF(E175="","",IF(EXACT(D175,E175),1,0))</x:f>
      </x:c>
    </x:row>
    <x:row r="176" ht="48" customHeight="1">
      <x:c r="A176" s="12" t="str">
        <x:v>DP5-B</x:v>
      </x:c>
      <x:c r="B176" s="12" t="str">
        <x:v>U06</x:v>
      </x:c>
      <x:c r="C176" s="12" t="n">
        <x:v>2</x:v>
      </x:c>
      <x:c r="D176" s="12" t="str">
        <x:v>["D2"]</x:v>
      </x:c>
      <x:c r="E176" s="19" t="str"/>
      <x:c r="F176" s="12" t="str">
        <x:f>IF(E176="","",IF(EXACT(D176,E176),1,0))</x:f>
      </x:c>
    </x:row>
    <x:row r="177" ht="48" customHeight="1">
      <x:c r="A177" s="7" t="str">
        <x:v>DP5-B</x:v>
      </x:c>
      <x:c r="B177" s="7" t="str">
        <x:v>U07</x:v>
      </x:c>
      <x:c r="C177" s="7" t="n">
        <x:v>1</x:v>
      </x:c>
      <x:c r="D177" s="7" t="str">
        <x:v>["D2"]</x:v>
      </x:c>
      <x:c r="E177" s="19" t="str"/>
      <x:c r="F177" s="7" t="str">
        <x:f>IF(E177="","",IF(EXACT(D177,E177),1,0))</x:f>
      </x:c>
    </x:row>
    <x:row r="178" ht="48" customHeight="1">
      <x:c r="A178" s="12" t="str">
        <x:v>DP5-B</x:v>
      </x:c>
      <x:c r="B178" s="12" t="str">
        <x:v>U08</x:v>
      </x:c>
      <x:c r="C178" s="12" t="n">
        <x:v>1</x:v>
      </x:c>
      <x:c r="D178" s="12" t="str">
        <x:v>["D1"]</x:v>
      </x:c>
      <x:c r="E178" s="19" t="str"/>
      <x:c r="F178" s="12" t="str">
        <x:f>IF(E178="","",IF(EXACT(D178,E178),1,0))</x:f>
      </x:c>
    </x:row>
    <x:row r="179" ht="48" customHeight="1">
      <x:c r="A179" s="7" t="str">
        <x:v>DP5-B</x:v>
      </x:c>
      <x:c r="B179" s="7" t="str">
        <x:v>U09</x:v>
      </x:c>
      <x:c r="C179" s="7" t="n">
        <x:v>1</x:v>
      </x:c>
      <x:c r="D179" s="7" t="str">
        <x:v>["Q1@v1","Q2@v1"]</x:v>
      </x:c>
      <x:c r="E179" s="19" t="str"/>
      <x:c r="F179" s="7" t="str">
        <x:f>IF(E179="","",IF(EXACT(D179,E179),1,0))</x:f>
      </x:c>
    </x:row>
    <x:row r="180" ht="48" customHeight="1">
      <x:c r="A180" s="12" t="str">
        <x:v>DP5-B</x:v>
      </x:c>
      <x:c r="B180" s="12" t="str">
        <x:v>U10</x:v>
      </x:c>
      <x:c r="C180" s="12" t="n">
        <x:v>1</x:v>
      </x:c>
      <x:c r="D180" s="12" t="str">
        <x:v>["Q1","Q2"]</x:v>
      </x:c>
      <x:c r="E180" s="19" t="str"/>
      <x:c r="F180" s="12" t="str">
        <x:f>IF(E180="","",IF(EXACT(D180,E180),1,0))</x:f>
      </x:c>
    </x:row>
    <x:row r="181" ht="48" customHeight="1">
      <x:c r="A181" s="7" t="str">
        <x:v>DP5-B</x:v>
      </x:c>
      <x:c r="B181" s="7" t="str">
        <x:v>U11</x:v>
      </x:c>
      <x:c r="C181" s="7" t="n">
        <x:v>1</x:v>
      </x:c>
      <x:c r="D181" s="7" t="str">
        <x:v>["Q1"]</x:v>
      </x:c>
      <x:c r="E181" s="19" t="str"/>
      <x:c r="F181" s="7" t="str">
        <x:f>IF(E181="","",IF(EXACT(D181,E181),1,0))</x:f>
      </x:c>
    </x:row>
    <x:row r="182" ht="48" customHeight="1">
      <x:c r="A182" s="12" t="str">
        <x:v>DP5-B</x:v>
      </x:c>
      <x:c r="B182" s="12" t="str">
        <x:v>U11</x:v>
      </x:c>
      <x:c r="C182" s="12" t="n">
        <x:v>2</x:v>
      </x:c>
      <x:c r="D182" s="12" t="str">
        <x:v>["Q2"]</x:v>
      </x:c>
      <x:c r="E182" s="19" t="str"/>
      <x:c r="F182" s="12" t="str">
        <x:f>IF(E182="","",IF(EXACT(D182,E182),1,0))</x:f>
      </x:c>
    </x:row>
    <x:row r="183" ht="48" customHeight="1">
      <x:c r="A183" s="7" t="str">
        <x:v>DP5-B</x:v>
      </x:c>
      <x:c r="B183" s="7" t="str">
        <x:v>U12</x:v>
      </x:c>
      <x:c r="C183" s="7" t="n">
        <x:v>1</x:v>
      </x:c>
      <x:c r="D183" s="7" t="str">
        <x:v>["Q1","Q2"]</x:v>
      </x:c>
      <x:c r="E183" s="19" t="str"/>
      <x:c r="F183" s="7" t="str">
        <x:f>IF(E183="","",IF(EXACT(D183,E183),1,0))</x:f>
      </x:c>
    </x:row>
    <x:row r="184" ht="48" customHeight="1">
      <x:c r="A184" s="12" t="str">
        <x:v>DP5-B</x:v>
      </x:c>
      <x:c r="B184" s="12" t="str">
        <x:v>U13</x:v>
      </x:c>
      <x:c r="C184" s="12" t="n">
        <x:v>1</x:v>
      </x:c>
      <x:c r="D184" s="12" t="str">
        <x:v>["D2"]</x:v>
      </x:c>
      <x:c r="E184" s="19" t="str"/>
      <x:c r="F184" s="12" t="str">
        <x:f>IF(E184="","",IF(EXACT(D184,E184),1,0))</x:f>
      </x:c>
    </x:row>
    <x:row r="185" ht="48" customHeight="1">
      <x:c r="A185" s="7" t="str">
        <x:v>DP5-B</x:v>
      </x:c>
      <x:c r="B185" s="7" t="str">
        <x:v>U13</x:v>
      </x:c>
      <x:c r="C185" s="7" t="n">
        <x:v>2</x:v>
      </x:c>
      <x:c r="D185" s="7" t="str">
        <x:v>["P"]</x:v>
      </x:c>
      <x:c r="E185" s="19" t="str"/>
      <x:c r="F185" s="7" t="str">
        <x:f>IF(E185="","",IF(EXACT(D185,E185),1,0))</x:f>
      </x:c>
    </x:row>
    <x:row r="186" ht="48" customHeight="1">
      <x:c r="A186" s="12" t="str">
        <x:v>DP5-B</x:v>
      </x:c>
      <x:c r="B186" s="12" t="str">
        <x:v>U14</x:v>
      </x:c>
      <x:c r="C186" s="12" t="n">
        <x:v>1</x:v>
      </x:c>
      <x:c r="D186" s="12" t="str">
        <x:v>["D2"]</x:v>
      </x:c>
      <x:c r="E186" s="19" t="str"/>
      <x:c r="F186" s="12" t="str">
        <x:f>IF(E186="","",IF(EXACT(D186,E186),1,0))</x:f>
      </x:c>
    </x:row>
    <x:row r="187" ht="48" customHeight="1">
      <x:c r="A187" s="7" t="str">
        <x:v>DP5-B</x:v>
      </x:c>
      <x:c r="B187" s="7" t="str">
        <x:v>U15</x:v>
      </x:c>
      <x:c r="C187" s="7" t="n">
        <x:v>1</x:v>
      </x:c>
      <x:c r="D187" s="7" t="str">
        <x:v>["D2"]</x:v>
      </x:c>
      <x:c r="E187" s="19" t="str"/>
      <x:c r="F187" s="7" t="str">
        <x:f>IF(E187="","",IF(EXACT(D187,E187),1,0))</x:f>
      </x:c>
    </x:row>
    <x:row r="188" ht="48" customHeight="1">
      <x:c r="A188" s="12" t="str">
        <x:v>DP5-B</x:v>
      </x:c>
      <x:c r="B188" s="12" t="str">
        <x:v>U16</x:v>
      </x:c>
      <x:c r="C188" s="12" t="n">
        <x:v>1</x:v>
      </x:c>
      <x:c r="D188" s="12" t="str">
        <x:v>["F1"]</x:v>
      </x:c>
      <x:c r="E188" s="19" t="str"/>
      <x:c r="F188" s="12" t="str">
        <x:f>IF(E188="","",IF(EXACT(D188,E188),1,0))</x:f>
      </x:c>
    </x:row>
    <x:row r="189" ht="48" customHeight="1">
      <x:c r="A189" s="7" t="str">
        <x:v>DP5-B</x:v>
      </x:c>
      <x:c r="B189" s="7" t="str">
        <x:v>U17</x:v>
      </x:c>
      <x:c r="C189" s="7" t="n">
        <x:v>1</x:v>
      </x:c>
      <x:c r="D189" s="7" t="str">
        <x:v>["Q1"]</x:v>
      </x:c>
      <x:c r="E189" s="19" t="str"/>
      <x:c r="F189" s="7" t="str">
        <x:f>IF(E189="","",IF(EXACT(D189,E189),1,0))</x:f>
      </x:c>
    </x:row>
    <x:row r="190" ht="48" customHeight="1">
      <x:c r="A190" s="12" t="str">
        <x:v>DP5-B</x:v>
      </x:c>
      <x:c r="B190" s="12" t="str">
        <x:v>U18</x:v>
      </x:c>
      <x:c r="C190" s="12" t="n">
        <x:v>1</x:v>
      </x:c>
      <x:c r="D190" s="12" t="str">
        <x:v>["R1"]</x:v>
      </x:c>
      <x:c r="E190" s="19" t="str"/>
      <x:c r="F190" s="12" t="str">
        <x:f>IF(E190="","",IF(EXACT(D190,E190),1,0))</x:f>
      </x:c>
    </x:row>
    <x:row r="191" ht="48" customHeight="1">
      <x:c r="A191" s="7" t="str">
        <x:v>DP5-B</x:v>
      </x:c>
      <x:c r="B191" s="7" t="str">
        <x:v>U18</x:v>
      </x:c>
      <x:c r="C191" s="7" t="n">
        <x:v>2</x:v>
      </x:c>
      <x:c r="D191" s="7" t="str">
        <x:v>["Q1"]</x:v>
      </x:c>
      <x:c r="E191" s="19" t="str"/>
      <x:c r="F191" s="7" t="str">
        <x:f>IF(E191="","",IF(EXACT(D191,E191),1,0))</x:f>
      </x:c>
    </x:row>
    <x:row r="192" ht="48" customHeight="1">
      <x:c r="A192" s="12" t="str">
        <x:v>DP5-B</x:v>
      </x:c>
      <x:c r="B192" s="12" t="str">
        <x:v>U19</x:v>
      </x:c>
      <x:c r="C192" s="12" t="n">
        <x:v>1</x:v>
      </x:c>
      <x:c r="D192" s="12" t="str">
        <x:v>["Q1"]</x:v>
      </x:c>
      <x:c r="E192" s="19" t="str"/>
      <x:c r="F192" s="12" t="str">
        <x:f>IF(E192="","",IF(EXACT(D192,E192),1,0))</x:f>
      </x:c>
    </x:row>
    <x:row r="193" ht="48" customHeight="1">
      <x:c r="A193" s="7" t="str">
        <x:v>DP5-B</x:v>
      </x:c>
      <x:c r="B193" s="7" t="str">
        <x:v>U19</x:v>
      </x:c>
      <x:c r="C193" s="7" t="n">
        <x:v>2</x:v>
      </x:c>
      <x:c r="D193" s="7" t="str">
        <x:v>["R0"]</x:v>
      </x:c>
      <x:c r="E193" s="19" t="str"/>
      <x:c r="F193" s="7" t="str">
        <x:f>IF(E193="","",IF(EXACT(D193,E193),1,0))</x:f>
      </x:c>
    </x:row>
    <x:row r="194" ht="48" customHeight="1">
      <x:c r="A194" s="12" t="str">
        <x:v>DP5-B</x:v>
      </x:c>
      <x:c r="B194" s="12" t="str">
        <x:v>U20</x:v>
      </x:c>
      <x:c r="C194" s="12" t="n">
        <x:v>1</x:v>
      </x:c>
      <x:c r="D194" s="12" t="str">
        <x:v>["R0"]</x:v>
      </x:c>
      <x:c r="E194" s="19" t="str"/>
      <x:c r="F194" s="12" t="str">
        <x:f>IF(E194="","",IF(EXACT(D194,E194),1,0))</x:f>
      </x:c>
    </x:row>
    <x:row r="195" ht="48" customHeight="1">
      <x:c r="A195" s="7" t="str">
        <x:v>DP5-B</x:v>
      </x:c>
      <x:c r="B195" s="7" t="str">
        <x:v>U21</x:v>
      </x:c>
      <x:c r="C195" s="7" t="n">
        <x:v>1</x:v>
      </x:c>
      <x:c r="D195" s="7" t="str">
        <x:v>["Q1","Q2"]</x:v>
      </x:c>
      <x:c r="E195" s="19" t="str"/>
      <x:c r="F195" s="7" t="str">
        <x:f>IF(E195="","",IF(EXACT(D195,E195),1,0))</x:f>
      </x:c>
    </x:row>
    <x:row r="196" ht="48" customHeight="1">
      <x:c r="A196" s="12" t="str">
        <x:v>DP5-B</x:v>
      </x:c>
      <x:c r="B196" s="12" t="str">
        <x:v>U21</x:v>
      </x:c>
      <x:c r="C196" s="12" t="n">
        <x:v>2</x:v>
      </x:c>
      <x:c r="D196" s="12" t="str">
        <x:v>["D2"]</x:v>
      </x:c>
      <x:c r="E196" s="19" t="str"/>
      <x:c r="F196" s="12" t="str">
        <x:f>IF(E196="","",IF(EXACT(D196,E196),1,0))</x:f>
      </x:c>
    </x:row>
    <x:row r="197" ht="48" customHeight="1">
      <x:c r="A197" s="7" t="str">
        <x:v>DP5-B</x:v>
      </x:c>
      <x:c r="B197" s="7" t="str">
        <x:v>U21</x:v>
      </x:c>
      <x:c r="C197" s="7" t="n">
        <x:v>3</x:v>
      </x:c>
      <x:c r="D197" s="7" t="str">
        <x:v>["T1"]</x:v>
      </x:c>
      <x:c r="E197" s="19" t="str"/>
      <x:c r="F197" s="7" t="str">
        <x:f>IF(E197="","",IF(EXACT(D197,E197),1,0))</x:f>
      </x:c>
    </x:row>
    <x:row r="198" ht="48" customHeight="1">
      <x:c r="A198" s="12" t="str">
        <x:v>DP5-B</x:v>
      </x:c>
      <x:c r="B198" s="12" t="str">
        <x:v>U22</x:v>
      </x:c>
      <x:c r="C198" s="12" t="n">
        <x:v>1</x:v>
      </x:c>
      <x:c r="D198" s="12" t="str">
        <x:v>["Q1","Q2"]</x:v>
      </x:c>
      <x:c r="E198" s="19" t="str"/>
      <x:c r="F198" s="12" t="str">
        <x:f>IF(E198="","",IF(EXACT(D198,E198),1,0))</x:f>
      </x:c>
    </x:row>
    <x:row r="199" ht="48" customHeight="1">
      <x:c r="A199" s="7" t="str">
        <x:v>DP5-B</x:v>
      </x:c>
      <x:c r="B199" s="7" t="str">
        <x:v>U22</x:v>
      </x:c>
      <x:c r="C199" s="7" t="n">
        <x:v>2</x:v>
      </x:c>
      <x:c r="D199" s="7" t="str">
        <x:v>["calendar_question"]</x:v>
      </x:c>
      <x:c r="E199" s="19" t="str"/>
      <x:c r="F199" s="7" t="str">
        <x:f>IF(E199="","",IF(EXACT(D199,E199),1,0))</x:f>
      </x:c>
    </x:row>
    <x:row r="200" ht="48" customHeight="1">
      <x:c r="A200" s="12" t="str">
        <x:v>DP5-B</x:v>
      </x:c>
      <x:c r="B200" s="12" t="str">
        <x:v>U23</x:v>
      </x:c>
      <x:c r="C200" s="12" t="n">
        <x:v>1</x:v>
      </x:c>
      <x:c r="D200" s="12" t="str">
        <x:v>["D2"]</x:v>
      </x:c>
      <x:c r="E200" s="19" t="str"/>
      <x:c r="F200" s="12" t="str">
        <x:f>IF(E200="","",IF(EXACT(D200,E200),1,0))</x:f>
      </x:c>
    </x:row>
    <x:row r="201" ht="48" customHeight="1">
      <x:c r="A201" s="7" t="str">
        <x:v>DP5-B</x:v>
      </x:c>
      <x:c r="B201" s="7" t="str">
        <x:v>U23</x:v>
      </x:c>
      <x:c r="C201" s="7" t="n">
        <x:v>2</x:v>
      </x:c>
      <x:c r="D201" s="7" t="str">
        <x:v>["mail_question"]</x:v>
      </x:c>
      <x:c r="E201" s="19" t="str"/>
      <x:c r="F201" s="7" t="str">
        <x:f>IF(E201="","",IF(EXACT(D201,E201),1,0))</x:f>
      </x:c>
    </x:row>
    <x:row r="202" ht="48" customHeight="1">
      <x:c r="A202" s="12" t="str">
        <x:v>DP5-B</x:v>
      </x:c>
      <x:c r="B202" s="12" t="str">
        <x:v>U24</x:v>
      </x:c>
      <x:c r="C202" s="12" t="n">
        <x:v>1</x:v>
      </x:c>
      <x:c r="D202" s="12" t="str">
        <x:v>["Q1","Q2"]</x:v>
      </x:c>
      <x:c r="E202" s="19" t="str"/>
      <x:c r="F202" s="12" t="str">
        <x:f>IF(E202="","",IF(EXACT(D202,E202),1,0))</x:f>
      </x:c>
    </x:row>
    <x:row r="203" ht="48" customHeight="1">
      <x:c r="A203" s="7" t="str">
        <x:v>DP5-B</x:v>
      </x:c>
      <x:c r="B203" s="7" t="str">
        <x:v>U24</x:v>
      </x:c>
      <x:c r="C203" s="7" t="n">
        <x:v>2</x:v>
      </x:c>
      <x:c r="D203" s="7" t="str">
        <x:v>["F1"]</x:v>
      </x:c>
      <x:c r="E203" s="19" t="str"/>
      <x:c r="F203" s="7" t="str">
        <x:f>IF(E203="","",IF(EXACT(D203,E203),1,0))</x:f>
      </x:c>
    </x:row>
    <x:row r="204" ht="48" customHeight="1">
      <x:c r="A204" s="12" t="str">
        <x:v>DP44-B</x:v>
      </x:c>
      <x:c r="B204" s="12" t="str">
        <x:v>U02</x:v>
      </x:c>
      <x:c r="C204" s="12" t="n">
        <x:v>1</x:v>
      </x:c>
      <x:c r="D204" s="12" t="str">
        <x:v>["R1"]</x:v>
      </x:c>
      <x:c r="E204" s="19" t="str"/>
      <x:c r="F204" s="12" t="str">
        <x:f>IF(E204="","",IF(EXACT(D204,E204),1,0))</x:f>
      </x:c>
    </x:row>
    <x:row r="205" ht="48" customHeight="1">
      <x:c r="A205" s="7" t="str">
        <x:v>DP44-B</x:v>
      </x:c>
      <x:c r="B205" s="7" t="str">
        <x:v>U03</x:v>
      </x:c>
      <x:c r="C205" s="7" t="n">
        <x:v>1</x:v>
      </x:c>
      <x:c r="D205" s="7" t="str">
        <x:v>["D1@v1"]</x:v>
      </x:c>
      <x:c r="E205" s="19" t="str"/>
      <x:c r="F205" s="7" t="str">
        <x:f>IF(E205="","",IF(EXACT(D205,E205),1,0))</x:f>
      </x:c>
    </x:row>
    <x:row r="206" ht="48" customHeight="1">
      <x:c r="A206" s="12" t="str">
        <x:v>DP44-B</x:v>
      </x:c>
      <x:c r="B206" s="12" t="str">
        <x:v>U04</x:v>
      </x:c>
      <x:c r="C206" s="12" t="n">
        <x:v>1</x:v>
      </x:c>
      <x:c r="D206" s="12" t="str">
        <x:v>["T1"]</x:v>
      </x:c>
      <x:c r="E206" s="19" t="str"/>
      <x:c r="F206" s="12" t="str">
        <x:f>IF(E206="","",IF(EXACT(D206,E206),1,0))</x:f>
      </x:c>
    </x:row>
    <x:row r="207" ht="48" customHeight="1">
      <x:c r="A207" s="7" t="str">
        <x:v>DP44-B</x:v>
      </x:c>
      <x:c r="B207" s="7" t="str">
        <x:v>U05</x:v>
      </x:c>
      <x:c r="C207" s="7" t="n">
        <x:v>1</x:v>
      </x:c>
      <x:c r="D207" s="7" t="str">
        <x:v>["D1"]</x:v>
      </x:c>
      <x:c r="E207" s="19" t="str"/>
      <x:c r="F207" s="7" t="str">
        <x:f>IF(E207="","",IF(EXACT(D207,E207),1,0))</x:f>
      </x:c>
    </x:row>
    <x:row r="208" ht="48" customHeight="1">
      <x:c r="A208" s="12" t="str">
        <x:v>DP44-B</x:v>
      </x:c>
      <x:c r="B208" s="12" t="str">
        <x:v>U06</x:v>
      </x:c>
      <x:c r="C208" s="12" t="n">
        <x:v>1</x:v>
      </x:c>
      <x:c r="D208" s="12" t="str">
        <x:v>["D1"]</x:v>
      </x:c>
      <x:c r="E208" s="19" t="str"/>
      <x:c r="F208" s="12" t="str">
        <x:f>IF(E208="","",IF(EXACT(D208,E208),1,0))</x:f>
      </x:c>
    </x:row>
    <x:row r="209" ht="48" customHeight="1">
      <x:c r="A209" s="7" t="str">
        <x:v>DP44-B</x:v>
      </x:c>
      <x:c r="B209" s="7" t="str">
        <x:v>U06</x:v>
      </x:c>
      <x:c r="C209" s="7" t="n">
        <x:v>2</x:v>
      </x:c>
      <x:c r="D209" s="7" t="str">
        <x:v>["D2"]</x:v>
      </x:c>
      <x:c r="E209" s="19" t="str"/>
      <x:c r="F209" s="7" t="str">
        <x:f>IF(E209="","",IF(EXACT(D209,E209),1,0))</x:f>
      </x:c>
    </x:row>
    <x:row r="210" ht="48" customHeight="1">
      <x:c r="A210" s="12" t="str">
        <x:v>DP44-B</x:v>
      </x:c>
      <x:c r="B210" s="12" t="str">
        <x:v>U07</x:v>
      </x:c>
      <x:c r="C210" s="12" t="n">
        <x:v>1</x:v>
      </x:c>
      <x:c r="D210" s="12" t="str">
        <x:v>["D2"]</x:v>
      </x:c>
      <x:c r="E210" s="19" t="str"/>
      <x:c r="F210" s="12" t="str">
        <x:f>IF(E210="","",IF(EXACT(D210,E210),1,0))</x:f>
      </x:c>
    </x:row>
    <x:row r="211" ht="48" customHeight="1">
      <x:c r="A211" s="7" t="str">
        <x:v>DP44-B</x:v>
      </x:c>
      <x:c r="B211" s="7" t="str">
        <x:v>U08</x:v>
      </x:c>
      <x:c r="C211" s="7" t="n">
        <x:v>1</x:v>
      </x:c>
      <x:c r="D211" s="7" t="str">
        <x:v>["D1"]</x:v>
      </x:c>
      <x:c r="E211" s="19" t="str"/>
      <x:c r="F211" s="7" t="str">
        <x:f>IF(E211="","",IF(EXACT(D211,E211),1,0))</x:f>
      </x:c>
    </x:row>
    <x:row r="212" ht="48" customHeight="1">
      <x:c r="A212" s="12" t="str">
        <x:v>DP44-B</x:v>
      </x:c>
      <x:c r="B212" s="12" t="str">
        <x:v>U09</x:v>
      </x:c>
      <x:c r="C212" s="12" t="n">
        <x:v>1</x:v>
      </x:c>
      <x:c r="D212" s="12" t="str">
        <x:v>["Q1@v1","Q2@v1"]</x:v>
      </x:c>
      <x:c r="E212" s="19" t="str"/>
      <x:c r="F212" s="12" t="str">
        <x:f>IF(E212="","",IF(EXACT(D212,E212),1,0))</x:f>
      </x:c>
    </x:row>
    <x:row r="213" ht="48" customHeight="1">
      <x:c r="A213" s="7" t="str">
        <x:v>DP44-B</x:v>
      </x:c>
      <x:c r="B213" s="7" t="str">
        <x:v>U10</x:v>
      </x:c>
      <x:c r="C213" s="7" t="n">
        <x:v>1</x:v>
      </x:c>
      <x:c r="D213" s="7" t="str">
        <x:v>["Q1","Q2"]</x:v>
      </x:c>
      <x:c r="E213" s="19" t="str"/>
      <x:c r="F213" s="7" t="str">
        <x:f>IF(E213="","",IF(EXACT(D213,E213),1,0))</x:f>
      </x:c>
    </x:row>
    <x:row r="214" ht="48" customHeight="1">
      <x:c r="A214" s="12" t="str">
        <x:v>DP44-B</x:v>
      </x:c>
      <x:c r="B214" s="12" t="str">
        <x:v>U11</x:v>
      </x:c>
      <x:c r="C214" s="12" t="n">
        <x:v>1</x:v>
      </x:c>
      <x:c r="D214" s="12" t="str">
        <x:v>["Q1"]</x:v>
      </x:c>
      <x:c r="E214" s="19" t="str"/>
      <x:c r="F214" s="12" t="str">
        <x:f>IF(E214="","",IF(EXACT(D214,E214),1,0))</x:f>
      </x:c>
    </x:row>
    <x:row r="215" ht="48" customHeight="1">
      <x:c r="A215" s="7" t="str">
        <x:v>DP44-B</x:v>
      </x:c>
      <x:c r="B215" s="7" t="str">
        <x:v>U11</x:v>
      </x:c>
      <x:c r="C215" s="7" t="n">
        <x:v>2</x:v>
      </x:c>
      <x:c r="D215" s="7" t="str">
        <x:v>["Q2"]</x:v>
      </x:c>
      <x:c r="E215" s="19" t="str"/>
      <x:c r="F215" s="7" t="str">
        <x:f>IF(E215="","",IF(EXACT(D215,E215),1,0))</x:f>
      </x:c>
    </x:row>
    <x:row r="216" ht="48" customHeight="1">
      <x:c r="A216" s="12" t="str">
        <x:v>DP44-B</x:v>
      </x:c>
      <x:c r="B216" s="12" t="str">
        <x:v>U12</x:v>
      </x:c>
      <x:c r="C216" s="12" t="n">
        <x:v>1</x:v>
      </x:c>
      <x:c r="D216" s="12" t="str">
        <x:v>["Q1","Q2"]</x:v>
      </x:c>
      <x:c r="E216" s="19" t="str"/>
      <x:c r="F216" s="12" t="str">
        <x:f>IF(E216="","",IF(EXACT(D216,E216),1,0))</x:f>
      </x:c>
    </x:row>
    <x:row r="217" ht="48" customHeight="1">
      <x:c r="A217" s="7" t="str">
        <x:v>DP44-B</x:v>
      </x:c>
      <x:c r="B217" s="7" t="str">
        <x:v>U13</x:v>
      </x:c>
      <x:c r="C217" s="7" t="n">
        <x:v>1</x:v>
      </x:c>
      <x:c r="D217" s="7" t="str">
        <x:v>["D2"]</x:v>
      </x:c>
      <x:c r="E217" s="19" t="str"/>
      <x:c r="F217" s="7" t="str">
        <x:f>IF(E217="","",IF(EXACT(D217,E217),1,0))</x:f>
      </x:c>
    </x:row>
    <x:row r="218" ht="48" customHeight="1">
      <x:c r="A218" s="12" t="str">
        <x:v>DP44-B</x:v>
      </x:c>
      <x:c r="B218" s="12" t="str">
        <x:v>U13</x:v>
      </x:c>
      <x:c r="C218" s="12" t="n">
        <x:v>2</x:v>
      </x:c>
      <x:c r="D218" s="12" t="str">
        <x:v>["P"]</x:v>
      </x:c>
      <x:c r="E218" s="19" t="str"/>
      <x:c r="F218" s="12" t="str">
        <x:f>IF(E218="","",IF(EXACT(D218,E218),1,0))</x:f>
      </x:c>
    </x:row>
    <x:row r="219" ht="48" customHeight="1">
      <x:c r="A219" s="7" t="str">
        <x:v>DP44-B</x:v>
      </x:c>
      <x:c r="B219" s="7" t="str">
        <x:v>U14</x:v>
      </x:c>
      <x:c r="C219" s="7" t="n">
        <x:v>1</x:v>
      </x:c>
      <x:c r="D219" s="7" t="str">
        <x:v>["D2"]</x:v>
      </x:c>
      <x:c r="E219" s="19" t="str"/>
      <x:c r="F219" s="7" t="str">
        <x:f>IF(E219="","",IF(EXACT(D219,E219),1,0))</x:f>
      </x:c>
    </x:row>
    <x:row r="220" ht="48" customHeight="1">
      <x:c r="A220" s="12" t="str">
        <x:v>DP44-B</x:v>
      </x:c>
      <x:c r="B220" s="12" t="str">
        <x:v>U15</x:v>
      </x:c>
      <x:c r="C220" s="12" t="n">
        <x:v>1</x:v>
      </x:c>
      <x:c r="D220" s="12" t="str">
        <x:v>["D2"]</x:v>
      </x:c>
      <x:c r="E220" s="19" t="str"/>
      <x:c r="F220" s="12" t="str">
        <x:f>IF(E220="","",IF(EXACT(D220,E220),1,0))</x:f>
      </x:c>
    </x:row>
    <x:row r="221" ht="48" customHeight="1">
      <x:c r="A221" s="7" t="str">
        <x:v>DP44-B</x:v>
      </x:c>
      <x:c r="B221" s="7" t="str">
        <x:v>U16</x:v>
      </x:c>
      <x:c r="C221" s="7" t="n">
        <x:v>1</x:v>
      </x:c>
      <x:c r="D221" s="7" t="str">
        <x:v>["F1"]</x:v>
      </x:c>
      <x:c r="E221" s="19" t="str"/>
      <x:c r="F221" s="7" t="str">
        <x:f>IF(E221="","",IF(EXACT(D221,E221),1,0))</x:f>
      </x:c>
    </x:row>
    <x:row r="222" ht="48" customHeight="1">
      <x:c r="A222" s="12" t="str">
        <x:v>DP44-B</x:v>
      </x:c>
      <x:c r="B222" s="12" t="str">
        <x:v>U17</x:v>
      </x:c>
      <x:c r="C222" s="12" t="n">
        <x:v>1</x:v>
      </x:c>
      <x:c r="D222" s="12" t="str">
        <x:v>["Q1"]</x:v>
      </x:c>
      <x:c r="E222" s="19" t="str"/>
      <x:c r="F222" s="12" t="str">
        <x:f>IF(E222="","",IF(EXACT(D222,E222),1,0))</x:f>
      </x:c>
    </x:row>
    <x:row r="223" ht="48" customHeight="1">
      <x:c r="A223" s="7" t="str">
        <x:v>DP44-B</x:v>
      </x:c>
      <x:c r="B223" s="7" t="str">
        <x:v>U18</x:v>
      </x:c>
      <x:c r="C223" s="7" t="n">
        <x:v>1</x:v>
      </x:c>
      <x:c r="D223" s="7" t="str">
        <x:v>["R1"]</x:v>
      </x:c>
      <x:c r="E223" s="19" t="str"/>
      <x:c r="F223" s="7" t="str">
        <x:f>IF(E223="","",IF(EXACT(D223,E223),1,0))</x:f>
      </x:c>
    </x:row>
    <x:row r="224" ht="48" customHeight="1">
      <x:c r="A224" s="12" t="str">
        <x:v>DP44-B</x:v>
      </x:c>
      <x:c r="B224" s="12" t="str">
        <x:v>U18</x:v>
      </x:c>
      <x:c r="C224" s="12" t="n">
        <x:v>2</x:v>
      </x:c>
      <x:c r="D224" s="12" t="str">
        <x:v>["Q1"]</x:v>
      </x:c>
      <x:c r="E224" s="19" t="str"/>
      <x:c r="F224" s="12" t="str">
        <x:f>IF(E224="","",IF(EXACT(D224,E224),1,0))</x:f>
      </x:c>
    </x:row>
    <x:row r="225" ht="48" customHeight="1">
      <x:c r="A225" s="7" t="str">
        <x:v>DP44-B</x:v>
      </x:c>
      <x:c r="B225" s="7" t="str">
        <x:v>U19</x:v>
      </x:c>
      <x:c r="C225" s="7" t="n">
        <x:v>1</x:v>
      </x:c>
      <x:c r="D225" s="7" t="str">
        <x:v>["Q1"]</x:v>
      </x:c>
      <x:c r="E225" s="19" t="str"/>
      <x:c r="F225" s="7" t="str">
        <x:f>IF(E225="","",IF(EXACT(D225,E225),1,0))</x:f>
      </x:c>
    </x:row>
    <x:row r="226" ht="48" customHeight="1">
      <x:c r="A226" s="12" t="str">
        <x:v>DP44-B</x:v>
      </x:c>
      <x:c r="B226" s="12" t="str">
        <x:v>U19</x:v>
      </x:c>
      <x:c r="C226" s="12" t="n">
        <x:v>2</x:v>
      </x:c>
      <x:c r="D226" s="12" t="str">
        <x:v>["R0"]</x:v>
      </x:c>
      <x:c r="E226" s="19" t="str"/>
      <x:c r="F226" s="12" t="str">
        <x:f>IF(E226="","",IF(EXACT(D226,E226),1,0))</x:f>
      </x:c>
    </x:row>
    <x:row r="227" ht="48" customHeight="1">
      <x:c r="A227" s="7" t="str">
        <x:v>DP44-B</x:v>
      </x:c>
      <x:c r="B227" s="7" t="str">
        <x:v>U20</x:v>
      </x:c>
      <x:c r="C227" s="7" t="n">
        <x:v>1</x:v>
      </x:c>
      <x:c r="D227" s="7" t="str">
        <x:v>["R0"]</x:v>
      </x:c>
      <x:c r="E227" s="19" t="str"/>
      <x:c r="F227" s="7" t="str">
        <x:f>IF(E227="","",IF(EXACT(D227,E227),1,0))</x:f>
      </x:c>
    </x:row>
    <x:row r="228" ht="48" customHeight="1">
      <x:c r="A228" s="12" t="str">
        <x:v>DP44-B</x:v>
      </x:c>
      <x:c r="B228" s="12" t="str">
        <x:v>U21</x:v>
      </x:c>
      <x:c r="C228" s="12" t="n">
        <x:v>1</x:v>
      </x:c>
      <x:c r="D228" s="12" t="str">
        <x:v>["Q1","Q2"]</x:v>
      </x:c>
      <x:c r="E228" s="19" t="str"/>
      <x:c r="F228" s="12" t="str">
        <x:f>IF(E228="","",IF(EXACT(D228,E228),1,0))</x:f>
      </x:c>
    </x:row>
    <x:row r="229" ht="48" customHeight="1">
      <x:c r="A229" s="7" t="str">
        <x:v>DP44-B</x:v>
      </x:c>
      <x:c r="B229" s="7" t="str">
        <x:v>U21</x:v>
      </x:c>
      <x:c r="C229" s="7" t="n">
        <x:v>2</x:v>
      </x:c>
      <x:c r="D229" s="7" t="str">
        <x:v>["D2"]</x:v>
      </x:c>
      <x:c r="E229" s="19" t="str"/>
      <x:c r="F229" s="7" t="str">
        <x:f>IF(E229="","",IF(EXACT(D229,E229),1,0))</x:f>
      </x:c>
    </x:row>
    <x:row r="230" ht="48" customHeight="1">
      <x:c r="A230" s="12" t="str">
        <x:v>DP44-B</x:v>
      </x:c>
      <x:c r="B230" s="12" t="str">
        <x:v>U21</x:v>
      </x:c>
      <x:c r="C230" s="12" t="n">
        <x:v>3</x:v>
      </x:c>
      <x:c r="D230" s="12" t="str">
        <x:v>["T1"]</x:v>
      </x:c>
      <x:c r="E230" s="19" t="str"/>
      <x:c r="F230" s="12" t="str">
        <x:f>IF(E230="","",IF(EXACT(D230,E230),1,0))</x:f>
      </x:c>
    </x:row>
    <x:row r="231" ht="48" customHeight="1">
      <x:c r="A231" s="7" t="str">
        <x:v>DP44-B</x:v>
      </x:c>
      <x:c r="B231" s="7" t="str">
        <x:v>U22</x:v>
      </x:c>
      <x:c r="C231" s="7" t="n">
        <x:v>1</x:v>
      </x:c>
      <x:c r="D231" s="7" t="str">
        <x:v>["Q1","Q2"]</x:v>
      </x:c>
      <x:c r="E231" s="19" t="str"/>
      <x:c r="F231" s="7" t="str">
        <x:f>IF(E231="","",IF(EXACT(D231,E231),1,0))</x:f>
      </x:c>
    </x:row>
    <x:row r="232" ht="48" customHeight="1">
      <x:c r="A232" s="12" t="str">
        <x:v>DP44-B</x:v>
      </x:c>
      <x:c r="B232" s="12" t="str">
        <x:v>U22</x:v>
      </x:c>
      <x:c r="C232" s="12" t="n">
        <x:v>2</x:v>
      </x:c>
      <x:c r="D232" s="12" t="str">
        <x:v>["calendar_question"]</x:v>
      </x:c>
      <x:c r="E232" s="19" t="str"/>
      <x:c r="F232" s="12" t="str">
        <x:f>IF(E232="","",IF(EXACT(D232,E232),1,0))</x:f>
      </x:c>
    </x:row>
    <x:row r="233" ht="48" customHeight="1">
      <x:c r="A233" s="7" t="str">
        <x:v>DP44-B</x:v>
      </x:c>
      <x:c r="B233" s="7" t="str">
        <x:v>U23</x:v>
      </x:c>
      <x:c r="C233" s="7" t="n">
        <x:v>1</x:v>
      </x:c>
      <x:c r="D233" s="7" t="str">
        <x:v>["D2"]</x:v>
      </x:c>
      <x:c r="E233" s="19" t="str"/>
      <x:c r="F233" s="7" t="str">
        <x:f>IF(E233="","",IF(EXACT(D233,E233),1,0))</x:f>
      </x:c>
    </x:row>
    <x:row r="234" ht="48" customHeight="1">
      <x:c r="A234" s="12" t="str">
        <x:v>DP44-B</x:v>
      </x:c>
      <x:c r="B234" s="12" t="str">
        <x:v>U23</x:v>
      </x:c>
      <x:c r="C234" s="12" t="n">
        <x:v>2</x:v>
      </x:c>
      <x:c r="D234" s="12" t="str">
        <x:v>["mail_question"]</x:v>
      </x:c>
      <x:c r="E234" s="19" t="str"/>
      <x:c r="F234" s="12" t="str">
        <x:f>IF(E234="","",IF(EXACT(D234,E234),1,0))</x:f>
      </x:c>
    </x:row>
    <x:row r="235" ht="48" customHeight="1">
      <x:c r="A235" s="7" t="str">
        <x:v>DP44-B</x:v>
      </x:c>
      <x:c r="B235" s="7" t="str">
        <x:v>U24</x:v>
      </x:c>
      <x:c r="C235" s="7" t="n">
        <x:v>1</x:v>
      </x:c>
      <x:c r="D235" s="7" t="str">
        <x:v>["Q1","Q2"]</x:v>
      </x:c>
      <x:c r="E235" s="19" t="str"/>
      <x:c r="F235" s="7" t="str">
        <x:f>IF(E235="","",IF(EXACT(D235,E235),1,0))</x:f>
      </x:c>
    </x:row>
    <x:row r="236" ht="48" customHeight="1">
      <x:c r="A236" s="12" t="str">
        <x:v>DP44-B</x:v>
      </x:c>
      <x:c r="B236" s="12" t="str">
        <x:v>U24</x:v>
      </x:c>
      <x:c r="C236" s="12" t="n">
        <x:v>2</x:v>
      </x:c>
      <x:c r="D236" s="12" t="str">
        <x:v>["F1"]</x:v>
      </x:c>
      <x:c r="E236" s="19" t="str"/>
      <x:c r="F236" s="12" t="str">
        <x:f>IF(E236="","",IF(EXACT(D236,E236),1,0))</x:f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68" hidden="0" customWidth="1"/>
    <x:col min="4" max="4" width="68" hidden="0" customWidth="1"/>
    <x:col min="5" max="5" width="15" hidden="0" customWidth="1"/>
  </x:cols>
  <x:sheetData>
    <x:row r="1" ht="38" customHeight="1">
      <x:c r="A1" s="6" t="str">
        <x:v>QA07 공통 정답과 최초 채택 의미</x:v>
      </x:c>
      <x:c r="B1" s="6"/>
      <x:c r="C1" s="6"/>
      <x:c r="D1" s="6"/>
      <x:c r="E1" s="6"/>
    </x:row>
    <x:row r="2" ht="23" customHeight="1">
      <x:c r="A2" s="8" t="str">
        <x:v>검증된 최초 의미를 입력한다. 필수 의미 전체의 완전 일치. targets는 집합, conditions.order는 순서를 보존한다. 정답을 후보 출력으로 복사해 실측값을 만들지 않는다.</x:v>
      </x:c>
      <x:c r="B2" s="8"/>
      <x:c r="C2" s="8"/>
      <x:c r="D2" s="8"/>
      <x:c r="E2" s="8"/>
    </x:row>
    <x:row r="3" ht="23" customHeight="1">
      <x:c r="A3" s="8"/>
      <x:c r="B3" s="8"/>
      <x:c r="C3" s="8"/>
      <x:c r="D3" s="8"/>
      <x:c r="E3" s="8"/>
    </x:row>
    <x:row r="4">
      <x:c r="A4" s="3"/>
      <x:c r="B4" s="3"/>
      <x:c r="C4" s="3"/>
      <x:c r="D4" s="3"/>
      <x:c r="E4" s="3"/>
    </x:row>
    <x:row r="5" ht="38" customHeight="1">
      <x:c r="A5" s="11" t="str">
        <x:v>구성</x:v>
      </x:c>
      <x:c r="B5" s="11" t="str">
        <x:v>사례</x:v>
      </x:c>
      <x:c r="C5" s="11" t="str">
        <x:v>정답 canonical meaning</x:v>
      </x:c>
      <x:c r="D5" s="11" t="str">
        <x:v>관측 출력 canonical meaning</x:v>
      </x:c>
      <x:c r="E5" s="11" t="str">
        <x:v>전체 일치 1/0</x:v>
      </x:c>
    </x:row>
    <x:row r="6" ht="82" customHeight="1">
      <x:c r="A6" s="12" t="str">
        <x:v>BASE</x:v>
      </x:c>
      <x:c r="B6" s="12" t="str">
        <x:v>U01</x:v>
      </x:c>
      <x:c r="C6" s="12" t="str">
        <x:v>{"action":"explain","conditions":{"length":"brief"},"request_relation":"new","targets":["TCP","UDP"]}</x:v>
      </x:c>
      <x:c r="D6" s="19"/>
      <x:c r="E6" s="12" t="str">
        <x:f>IF(D6="","",IF(EXACT(C6,D6),1,0))</x:f>
      </x:c>
    </x:row>
    <x:row r="7" ht="82" customHeight="1">
      <x:c r="A7" s="7" t="str">
        <x:v>BASE</x:v>
      </x:c>
      <x:c r="B7" s="7" t="str">
        <x:v>U02</x:v>
      </x:c>
      <x:c r="C7" s="7" t="str">
        <x:v>{"action":"summarize","conditions":{"length":"one_sentence"},"request_relation":"follow_up","targets":["R1"]}</x:v>
      </x:c>
      <x:c r="D7" s="19"/>
      <x:c r="E7" s="7" t="str">
        <x:f>IF(D7="","",IF(EXACT(C7,D7),1,0))</x:f>
      </x:c>
    </x:row>
    <x:row r="8" ht="82" customHeight="1">
      <x:c r="A8" s="12" t="str">
        <x:v>BASE</x:v>
      </x:c>
      <x:c r="B8" s="12" t="str">
        <x:v>U03</x:v>
      </x:c>
      <x:c r="C8" s="12" t="str">
        <x:v>{"action":"explain","conditions":{"section":"conclusion"},"request_relation":"new","targets":["D1@v1"]}</x:v>
      </x:c>
      <x:c r="D8" s="19"/>
      <x:c r="E8" s="12" t="str">
        <x:f>IF(D8="","",IF(EXACT(C8,D8),1,0))</x:f>
      </x:c>
    </x:row>
    <x:row r="9" ht="82" customHeight="1">
      <x:c r="A9" s="7" t="str">
        <x:v>BASE</x:v>
      </x:c>
      <x:c r="B9" s="7" t="str">
        <x:v>U04</x:v>
      </x:c>
      <x:c r="C9" s="7" t="str">
        <x:v>{"action":"explain","conditions":{"keep_task":"T1"},"request_relation":"independent","targets":["TCP"]}</x:v>
      </x:c>
      <x:c r="D9" s="19"/>
      <x:c r="E9" s="7" t="str">
        <x:f>IF(D9="","",IF(EXACT(C9,D9),1,0))</x:f>
      </x:c>
    </x:row>
    <x:row r="10" ht="82" customHeight="1">
      <x:c r="A10" s="12" t="str">
        <x:v>BASE</x:v>
      </x:c>
      <x:c r="B10" s="12" t="str">
        <x:v>U05</x:v>
      </x:c>
      <x:c r="C10" s="12" t="str">
        <x:v>{"action":"explain","conditions":{"keep_comparison":"D1"},"request_relation":"independent","targets":["TCP","UDP"]}</x:v>
      </x:c>
      <x:c r="D10" s="19"/>
      <x:c r="E10" s="12" t="str">
        <x:f>IF(D10="","",IF(EXACT(C10,D10),1,0))</x:f>
      </x:c>
    </x:row>
    <x:row r="11" ht="82" customHeight="1">
      <x:c r="A11" s="7" t="str">
        <x:v>BASE</x:v>
      </x:c>
      <x:c r="B11" s="7" t="str">
        <x:v>U06</x:v>
      </x:c>
      <x:c r="C11" s="7" t="str">
        <x:v>{"action":"explain","conditions":{"keep_analysis":"D1","section":"conclusion"},"request_relation":"independent","targets":["D2"]}</x:v>
      </x:c>
      <x:c r="D11" s="19"/>
      <x:c r="E11" s="7" t="str">
        <x:f>IF(D11="","",IF(EXACT(C11,D11),1,0))</x:f>
      </x:c>
    </x:row>
    <x:row r="12" ht="82" customHeight="1">
      <x:c r="A12" s="12" t="str">
        <x:v>BASE</x:v>
      </x:c>
      <x:c r="B12" s="12" t="str">
        <x:v>U07</x:v>
      </x:c>
      <x:c r="C12" s="12" t="str">
        <x:v>{"action":"explain","conditions":{"keep_existing_tasks":true},"request_relation":"independent","targets":["D2"]}</x:v>
      </x:c>
      <x:c r="D12" s="19"/>
      <x:c r="E12" s="12" t="str">
        <x:f>IF(D12="","",IF(EXACT(C12,D12),1,0))</x:f>
      </x:c>
    </x:row>
    <x:row r="13" ht="82" customHeight="1">
      <x:c r="A13" s="7" t="str">
        <x:v>BASE</x:v>
      </x:c>
      <x:c r="B13" s="7" t="str">
        <x:v>U08</x:v>
      </x:c>
      <x:c r="C13" s="7" t="str">
        <x:v>{"action":"revise","conditions":{"scope":"cost_only","use_current_read":true},"request_relation":"revise_T1","targets":["D1"]}</x:v>
      </x:c>
      <x:c r="D13" s="19"/>
      <x:c r="E13" s="7" t="str">
        <x:f>IF(D13="","",IF(EXACT(C13,D13),1,0))</x:f>
      </x:c>
    </x:row>
    <x:row r="14" ht="82" customHeight="1">
      <x:c r="A14" s="12" t="str">
        <x:v>BASE</x:v>
      </x:c>
      <x:c r="B14" s="12" t="str">
        <x:v>U09</x:v>
      </x:c>
      <x:c r="C14" s="12" t="str">
        <x:v>{"action":"compare","conditions":{},"request_relation":"new","targets":["Q1@v1","Q2@v1"]}</x:v>
      </x:c>
      <x:c r="D14" s="19"/>
      <x:c r="E14" s="12" t="str">
        <x:f>IF(D14="","",IF(EXACT(C14,D14),1,0))</x:f>
      </x:c>
    </x:row>
    <x:row r="15" ht="82" customHeight="1">
      <x:c r="A15" s="7" t="str">
        <x:v>BASE</x:v>
      </x:c>
      <x:c r="B15" s="7" t="str">
        <x:v>U10</x:v>
      </x:c>
      <x:c r="C15" s="7" t="str">
        <x:v>{"action":"compare","conditions":{"exclude_outside_circle":true},"request_relation":"new","targets":["Q1","Q2"]}</x:v>
      </x:c>
      <x:c r="D15" s="19"/>
      <x:c r="E15" s="7" t="str">
        <x:f>IF(D15="","",IF(EXACT(C15,D15),1,0))</x:f>
      </x:c>
    </x:row>
    <x:row r="16" ht="82" customHeight="1">
      <x:c r="A16" s="12" t="str">
        <x:v>BASE</x:v>
      </x:c>
      <x:c r="B16" s="12" t="str">
        <x:v>U11</x:v>
      </x:c>
      <x:c r="C16" s="12" t="str">
        <x:v>{"action":"compare","conditions":{"use_two_pointing_times":true},"request_relation":"new","targets":["Q1","Q2"]}</x:v>
      </x:c>
      <x:c r="D16" s="19"/>
      <x:c r="E16" s="12" t="str">
        <x:f>IF(D16="","",IF(EXACT(C16,D16),1,0))</x:f>
      </x:c>
    </x:row>
    <x:row r="17" ht="82" customHeight="1">
      <x:c r="A17" s="7" t="str">
        <x:v>BASE</x:v>
      </x:c>
      <x:c r="B17" s="7" t="str">
        <x:v>U12</x:v>
      </x:c>
      <x:c r="C17" s="7" t="str">
        <x:v>{"action":"compare","conditions":{"scope":"delivery_date_only"},"request_relation":"follow_up","targets":["Q1","Q2"]}</x:v>
      </x:c>
      <x:c r="D17" s="19"/>
      <x:c r="E17" s="7" t="str">
        <x:f>IF(D17="","",IF(EXACT(C17,D17),1,0))</x:f>
      </x:c>
    </x:row>
    <x:row r="18" ht="82" customHeight="1">
      <x:c r="A18" s="12" t="str">
        <x:v>BASE</x:v>
      </x:c>
      <x:c r="B18" s="12" t="str">
        <x:v>U13</x:v>
      </x:c>
      <x:c r="C18" s="12" t="str">
        <x:v>{"action":"delegate_presentation","conditions":{"author_of":"D2"},"request_relation":"new","targets":["P"]}</x:v>
      </x:c>
      <x:c r="D18" s="19"/>
      <x:c r="E18" s="12" t="str">
        <x:f>IF(D18="","",IF(EXACT(C18,D18),1,0))</x:f>
      </x:c>
    </x:row>
    <x:row r="19" ht="82" customHeight="1">
      <x:c r="A19" s="7" t="str">
        <x:v>BASE</x:v>
      </x:c>
      <x:c r="B19" s="7" t="str">
        <x:v>U14</x:v>
      </x:c>
      <x:c r="C19" s="7" t="str">
        <x:v>{"action":"organize_research","conditions":{"audience":"external_customer","format_source":"D2"},"request_relation":"new","targets":["current_research"]}</x:v>
      </x:c>
      <x:c r="D19" s="19"/>
      <x:c r="E19" s="7" t="str">
        <x:f>IF(D19="","",IF(EXACT(C19,D19),1,0))</x:f>
      </x:c>
    </x:row>
    <x:row r="20" ht="82" customHeight="1">
      <x:c r="A20" s="12" t="str">
        <x:v>BASE</x:v>
      </x:c>
      <x:c r="B20" s="12" t="str">
        <x:v>U15</x:v>
      </x:c>
      <x:c r="C20" s="12" t="str">
        <x:v>{"action":"apply_format","conditions":{"format_source":"D2","reuse_confirmed_fact":true},"request_relation":"new","targets":["current_material"]}</x:v>
      </x:c>
      <x:c r="D20" s="19"/>
      <x:c r="E20" s="12" t="str">
        <x:f>IF(D20="","",IF(EXACT(C20,D20),1,0))</x:f>
      </x:c>
    </x:row>
    <x:row r="21" ht="82" customHeight="1">
      <x:c r="A21" s="7" t="str">
        <x:v>BASE</x:v>
      </x:c>
      <x:c r="B21" s="7" t="str">
        <x:v>U16</x:v>
      </x:c>
      <x:c r="C21" s="7" t="str">
        <x:v>{"action":"revise","conditions":{"apply_D2_preference":false,"audience":"internal_meeting","feedback":"latest_F1"},"request_relation":"revise_T1","targets":["T1"]}</x:v>
      </x:c>
      <x:c r="D21" s="19"/>
      <x:c r="E21" s="7" t="str">
        <x:f>IF(D21="","",IF(EXACT(C21,D21),1,0))</x:f>
      </x:c>
    </x:row>
    <x:row r="22" ht="82" customHeight="1">
      <x:c r="A22" s="12" t="str">
        <x:v>BASE</x:v>
      </x:c>
      <x:c r="B22" s="12" t="str">
        <x:v>U17</x:v>
      </x:c>
      <x:c r="C22" s="12" t="str">
        <x:v>{"action":"read","conditions":{"priority":"first"},"request_relation":"new_delivery","targets":["Q1"]}</x:v>
      </x:c>
      <x:c r="D22" s="19"/>
      <x:c r="E22" s="12" t="str">
        <x:f>IF(D22="","",IF(EXACT(C22,D22),1,0))</x:f>
      </x:c>
    </x:row>
    <x:row r="23" ht="82" customHeight="1">
      <x:c r="A23" s="7" t="str">
        <x:v>BASE</x:v>
      </x:c>
      <x:c r="B23" s="7" t="str">
        <x:v>U18</x:v>
      </x:c>
      <x:c r="C23" s="7" t="str">
        <x:v>{"action":"read","conditions":{"cancel_report_task":false,"withdraw_audio":"R1"},"request_relation":"new_delivery","targets":["Q1"]}</x:v>
      </x:c>
      <x:c r="D23" s="19"/>
      <x:c r="E23" s="7" t="str">
        <x:f>IF(D23="","",IF(EXACT(C23,D23),1,0))</x:f>
      </x:c>
    </x:row>
    <x:row r="24" ht="82" customHeight="1">
      <x:c r="A24" s="12" t="str">
        <x:v>BASE</x:v>
      </x:c>
      <x:c r="B24" s="12" t="str">
        <x:v>U19</x:v>
      </x:c>
      <x:c r="C24" s="12" t="str">
        <x:v>{"action":"read_then_resume","conditions":{"order":["Q1","R0"],"reuse_valid_audio":true},"request_relation":"new_delivery","targets":["Q1","R0"]}</x:v>
      </x:c>
      <x:c r="D24" s="19"/>
      <x:c r="E24" s="12" t="str">
        <x:f>IF(D24="","",IF(EXACT(C24,D24),1,0))</x:f>
      </x:c>
    </x:row>
    <x:row r="25" ht="82" customHeight="1">
      <x:c r="A25" s="7" t="str">
        <x:v>BASE</x:v>
      </x:c>
      <x:c r="B25" s="7" t="str">
        <x:v>U20</x:v>
      </x:c>
      <x:c r="C25" s="7" t="str">
        <x:v>{"action":"resume","conditions":{"from_actual_stop":true},"request_relation":"new_delivery","targets":["R0"]}</x:v>
      </x:c>
      <x:c r="D25" s="19"/>
      <x:c r="E25" s="7" t="str">
        <x:f>IF(D25="","",IF(EXACT(C25,D25),1,0))</x:f>
      </x:c>
    </x:row>
    <x:row r="26" ht="82" customHeight="1">
      <x:c r="A26" s="12" t="str">
        <x:v>BASE</x:v>
      </x:c>
      <x:c r="B26" s="12" t="str">
        <x:v>U21</x:v>
      </x:c>
      <x:c r="C26" s="12" t="str">
        <x:v>{"action":"compare","conditions":{"format_source":"D2","keep_task":"T1"},"request_relation":"independent","targets":["Q1","Q2"]}</x:v>
      </x:c>
      <x:c r="D26" s="19"/>
      <x:c r="E26" s="12" t="str">
        <x:f>IF(D26="","",IF(EXACT(C26,D26),1,0))</x:f>
      </x:c>
    </x:row>
    <x:row r="27" ht="82" customHeight="1">
      <x:c r="A27" s="7" t="str">
        <x:v>BASE</x:v>
      </x:c>
      <x:c r="B27" s="7" t="str">
        <x:v>U22</x:v>
      </x:c>
      <x:c r="C27" s="7" t="str">
        <x:v>{"action":"compare_and_read","conditions":{"read_first":"calendar_question"},"request_relation":"new","targets":["Q1","Q2","calendar_question"]}</x:v>
      </x:c>
      <x:c r="D27" s="19"/>
      <x:c r="E27" s="7" t="str">
        <x:f>IF(D27="","",IF(EXACT(C27,D27),1,0))</x:f>
      </x:c>
    </x:row>
    <x:row r="28" ht="82" customHeight="1">
      <x:c r="A28" s="12" t="str">
        <x:v>BASE</x:v>
      </x:c>
      <x:c r="B28" s="12" t="str">
        <x:v>U23</x:v>
      </x:c>
      <x:c r="C28" s="12" t="str">
        <x:v>{"action":"create_and_read","conditions":{"format_source":"D2","read_first":"mail_question"},"request_relation":"new","targets":["mail_question","new_material"]}</x:v>
      </x:c>
      <x:c r="D28" s="19"/>
      <x:c r="E28" s="12" t="str">
        <x:f>IF(D28="","",IF(EXACT(C28,D28),1,0))</x:f>
      </x:c>
    </x:row>
    <x:row r="29" ht="82" customHeight="1">
      <x:c r="A29" s="7" t="str">
        <x:v>BASE</x:v>
      </x:c>
      <x:c r="B29" s="7" t="str">
        <x:v>U24</x:v>
      </x:c>
      <x:c r="C29" s="7" t="str">
        <x:v>{"action":"compare","conditions":{"feedback":"latest_F1","use_two_pointing_times":true},"request_relation":"revise_T1","targets":["Q1","Q2"]}</x:v>
      </x:c>
      <x:c r="D29" s="19"/>
      <x:c r="E29" s="7" t="str">
        <x:f>IF(D29="","",IF(EXACT(C29,D29),1,0))</x:f>
      </x:c>
    </x:row>
    <x:row r="30" ht="82" customHeight="1">
      <x:c r="A30" s="12" t="str">
        <x:v>DP2-B</x:v>
      </x:c>
      <x:c r="B30" s="12" t="str">
        <x:v>U01</x:v>
      </x:c>
      <x:c r="C30" s="12" t="str">
        <x:v>{"action":"explain","conditions":{"length":"brief"},"request_relation":"new","targets":["TCP","UDP"]}</x:v>
      </x:c>
      <x:c r="D30" s="19" t="str"/>
      <x:c r="E30" s="12" t="str">
        <x:f>IF(D30="","",IF(EXACT(C30,D30),1,0))</x:f>
      </x:c>
    </x:row>
    <x:row r="31" ht="82" customHeight="1">
      <x:c r="A31" s="7" t="str">
        <x:v>DP2-B</x:v>
      </x:c>
      <x:c r="B31" s="7" t="str">
        <x:v>U02</x:v>
      </x:c>
      <x:c r="C31" s="7" t="str">
        <x:v>{"action":"summarize","conditions":{"length":"one_sentence"},"request_relation":"follow_up","targets":["R1"]}</x:v>
      </x:c>
      <x:c r="D31" s="19" t="str"/>
      <x:c r="E31" s="7" t="str">
        <x:f>IF(D31="","",IF(EXACT(C31,D31),1,0))</x:f>
      </x:c>
    </x:row>
    <x:row r="32" ht="82" customHeight="1">
      <x:c r="A32" s="12" t="str">
        <x:v>DP2-B</x:v>
      </x:c>
      <x:c r="B32" s="12" t="str">
        <x:v>U03</x:v>
      </x:c>
      <x:c r="C32" s="12" t="str">
        <x:v>{"action":"explain","conditions":{"section":"conclusion"},"request_relation":"new","targets":["D1@v1"]}</x:v>
      </x:c>
      <x:c r="D32" s="19" t="str"/>
      <x:c r="E32" s="12" t="str">
        <x:f>IF(D32="","",IF(EXACT(C32,D32),1,0))</x:f>
      </x:c>
    </x:row>
    <x:row r="33" ht="82" customHeight="1">
      <x:c r="A33" s="7" t="str">
        <x:v>DP2-B</x:v>
      </x:c>
      <x:c r="B33" s="7" t="str">
        <x:v>U04</x:v>
      </x:c>
      <x:c r="C33" s="7" t="str">
        <x:v>{"action":"explain","conditions":{"keep_task":"T1"},"request_relation":"independent","targets":["TCP"]}</x:v>
      </x:c>
      <x:c r="D33" s="19" t="str"/>
      <x:c r="E33" s="7" t="str">
        <x:f>IF(D33="","",IF(EXACT(C33,D33),1,0))</x:f>
      </x:c>
    </x:row>
    <x:row r="34" ht="82" customHeight="1">
      <x:c r="A34" s="12" t="str">
        <x:v>DP2-B</x:v>
      </x:c>
      <x:c r="B34" s="12" t="str">
        <x:v>U05</x:v>
      </x:c>
      <x:c r="C34" s="12" t="str">
        <x:v>{"action":"explain","conditions":{"keep_comparison":"D1"},"request_relation":"independent","targets":["TCP","UDP"]}</x:v>
      </x:c>
      <x:c r="D34" s="19" t="str"/>
      <x:c r="E34" s="12" t="str">
        <x:f>IF(D34="","",IF(EXACT(C34,D34),1,0))</x:f>
      </x:c>
    </x:row>
    <x:row r="35" ht="82" customHeight="1">
      <x:c r="A35" s="7" t="str">
        <x:v>DP2-B</x:v>
      </x:c>
      <x:c r="B35" s="7" t="str">
        <x:v>U06</x:v>
      </x:c>
      <x:c r="C35" s="7" t="str">
        <x:v>{"action":"explain","conditions":{"keep_analysis":"D1","section":"conclusion"},"request_relation":"independent","targets":["D2"]}</x:v>
      </x:c>
      <x:c r="D35" s="19" t="str"/>
      <x:c r="E35" s="7" t="str">
        <x:f>IF(D35="","",IF(EXACT(C35,D35),1,0))</x:f>
      </x:c>
    </x:row>
    <x:row r="36" ht="82" customHeight="1">
      <x:c r="A36" s="12" t="str">
        <x:v>DP2-B</x:v>
      </x:c>
      <x:c r="B36" s="12" t="str">
        <x:v>U07</x:v>
      </x:c>
      <x:c r="C36" s="12" t="str">
        <x:v>{"action":"explain","conditions":{"keep_existing_tasks":true},"request_relation":"independent","targets":["D2"]}</x:v>
      </x:c>
      <x:c r="D36" s="19" t="str"/>
      <x:c r="E36" s="12" t="str">
        <x:f>IF(D36="","",IF(EXACT(C36,D36),1,0))</x:f>
      </x:c>
    </x:row>
    <x:row r="37" ht="82" customHeight="1">
      <x:c r="A37" s="7" t="str">
        <x:v>DP2-B</x:v>
      </x:c>
      <x:c r="B37" s="7" t="str">
        <x:v>U08</x:v>
      </x:c>
      <x:c r="C37" s="7" t="str">
        <x:v>{"action":"revise","conditions":{"scope":"cost_only","use_current_read":true},"request_relation":"revise_T1","targets":["D1"]}</x:v>
      </x:c>
      <x:c r="D37" s="19" t="str"/>
      <x:c r="E37" s="7" t="str">
        <x:f>IF(D37="","",IF(EXACT(C37,D37),1,0))</x:f>
      </x:c>
    </x:row>
    <x:row r="38" ht="82" customHeight="1">
      <x:c r="A38" s="12" t="str">
        <x:v>DP2-B</x:v>
      </x:c>
      <x:c r="B38" s="12" t="str">
        <x:v>U09</x:v>
      </x:c>
      <x:c r="C38" s="12" t="str">
        <x:v>{"action":"compare","conditions":{},"request_relation":"new","targets":["Q1@v1","Q2@v1"]}</x:v>
      </x:c>
      <x:c r="D38" s="19" t="str"/>
      <x:c r="E38" s="12" t="str">
        <x:f>IF(D38="","",IF(EXACT(C38,D38),1,0))</x:f>
      </x:c>
    </x:row>
    <x:row r="39" ht="82" customHeight="1">
      <x:c r="A39" s="7" t="str">
        <x:v>DP2-B</x:v>
      </x:c>
      <x:c r="B39" s="7" t="str">
        <x:v>U10</x:v>
      </x:c>
      <x:c r="C39" s="7" t="str">
        <x:v>{"action":"compare","conditions":{"exclude_outside_circle":true},"request_relation":"new","targets":["Q1","Q2"]}</x:v>
      </x:c>
      <x:c r="D39" s="19" t="str"/>
      <x:c r="E39" s="7" t="str">
        <x:f>IF(D39="","",IF(EXACT(C39,D39),1,0))</x:f>
      </x:c>
    </x:row>
    <x:row r="40" ht="82" customHeight="1">
      <x:c r="A40" s="12" t="str">
        <x:v>DP2-B</x:v>
      </x:c>
      <x:c r="B40" s="12" t="str">
        <x:v>U11</x:v>
      </x:c>
      <x:c r="C40" s="12" t="str">
        <x:v>{"action":"compare","conditions":{"use_two_pointing_times":true},"request_relation":"new","targets":["Q1","Q2"]}</x:v>
      </x:c>
      <x:c r="D40" s="19" t="str"/>
      <x:c r="E40" s="12" t="str">
        <x:f>IF(D40="","",IF(EXACT(C40,D40),1,0))</x:f>
      </x:c>
    </x:row>
    <x:row r="41" ht="82" customHeight="1">
      <x:c r="A41" s="7" t="str">
        <x:v>DP2-B</x:v>
      </x:c>
      <x:c r="B41" s="7" t="str">
        <x:v>U12</x:v>
      </x:c>
      <x:c r="C41" s="7" t="str">
        <x:v>{"action":"compare","conditions":{"scope":"delivery_date_only"},"request_relation":"follow_up","targets":["Q1","Q2"]}</x:v>
      </x:c>
      <x:c r="D41" s="19" t="str"/>
      <x:c r="E41" s="7" t="str">
        <x:f>IF(D41="","",IF(EXACT(C41,D41),1,0))</x:f>
      </x:c>
    </x:row>
    <x:row r="42" ht="82" customHeight="1">
      <x:c r="A42" s="12" t="str">
        <x:v>DP2-B</x:v>
      </x:c>
      <x:c r="B42" s="12" t="str">
        <x:v>U13</x:v>
      </x:c>
      <x:c r="C42" s="12" t="str">
        <x:v>{"action":"delegate_presentation","conditions":{"author_of":"D2"},"request_relation":"new","targets":["P"]}</x:v>
      </x:c>
      <x:c r="D42" s="19" t="str"/>
      <x:c r="E42" s="12" t="str">
        <x:f>IF(D42="","",IF(EXACT(C42,D42),1,0))</x:f>
      </x:c>
    </x:row>
    <x:row r="43" ht="82" customHeight="1">
      <x:c r="A43" s="7" t="str">
        <x:v>DP2-B</x:v>
      </x:c>
      <x:c r="B43" s="7" t="str">
        <x:v>U14</x:v>
      </x:c>
      <x:c r="C43" s="7" t="str">
        <x:v>{"action":"organize_research","conditions":{"audience":"external_customer","format_source":"D2"},"request_relation":"new","targets":["current_research"]}</x:v>
      </x:c>
      <x:c r="D43" s="19" t="str"/>
      <x:c r="E43" s="7" t="str">
        <x:f>IF(D43="","",IF(EXACT(C43,D43),1,0))</x:f>
      </x:c>
    </x:row>
    <x:row r="44" ht="82" customHeight="1">
      <x:c r="A44" s="12" t="str">
        <x:v>DP2-B</x:v>
      </x:c>
      <x:c r="B44" s="12" t="str">
        <x:v>U15</x:v>
      </x:c>
      <x:c r="C44" s="12" t="str">
        <x:v>{"action":"apply_format","conditions":{"format_source":"D2","reuse_confirmed_fact":true},"request_relation":"new","targets":["current_material"]}</x:v>
      </x:c>
      <x:c r="D44" s="19" t="str"/>
      <x:c r="E44" s="12" t="str">
        <x:f>IF(D44="","",IF(EXACT(C44,D44),1,0))</x:f>
      </x:c>
    </x:row>
    <x:row r="45" ht="82" customHeight="1">
      <x:c r="A45" s="7" t="str">
        <x:v>DP2-B</x:v>
      </x:c>
      <x:c r="B45" s="7" t="str">
        <x:v>U16</x:v>
      </x:c>
      <x:c r="C45" s="7" t="str">
        <x:v>{"action":"revise","conditions":{"apply_D2_preference":false,"audience":"internal_meeting","feedback":"latest_F1"},"request_relation":"revise_T1","targets":["T1"]}</x:v>
      </x:c>
      <x:c r="D45" s="19" t="str"/>
      <x:c r="E45" s="7" t="str">
        <x:f>IF(D45="","",IF(EXACT(C45,D45),1,0))</x:f>
      </x:c>
    </x:row>
    <x:row r="46" ht="82" customHeight="1">
      <x:c r="A46" s="12" t="str">
        <x:v>DP2-B</x:v>
      </x:c>
      <x:c r="B46" s="12" t="str">
        <x:v>U17</x:v>
      </x:c>
      <x:c r="C46" s="12" t="str">
        <x:v>{"action":"read","conditions":{"priority":"first"},"request_relation":"new_delivery","targets":["Q1"]}</x:v>
      </x:c>
      <x:c r="D46" s="19" t="str"/>
      <x:c r="E46" s="12" t="str">
        <x:f>IF(D46="","",IF(EXACT(C46,D46),1,0))</x:f>
      </x:c>
    </x:row>
    <x:row r="47" ht="82" customHeight="1">
      <x:c r="A47" s="7" t="str">
        <x:v>DP2-B</x:v>
      </x:c>
      <x:c r="B47" s="7" t="str">
        <x:v>U18</x:v>
      </x:c>
      <x:c r="C47" s="7" t="str">
        <x:v>{"action":"read","conditions":{"cancel_report_task":false,"withdraw_audio":"R1"},"request_relation":"new_delivery","targets":["Q1"]}</x:v>
      </x:c>
      <x:c r="D47" s="19" t="str"/>
      <x:c r="E47" s="7" t="str">
        <x:f>IF(D47="","",IF(EXACT(C47,D47),1,0))</x:f>
      </x:c>
    </x:row>
    <x:row r="48" ht="82" customHeight="1">
      <x:c r="A48" s="12" t="str">
        <x:v>DP2-B</x:v>
      </x:c>
      <x:c r="B48" s="12" t="str">
        <x:v>U19</x:v>
      </x:c>
      <x:c r="C48" s="12" t="str">
        <x:v>{"action":"read_then_resume","conditions":{"order":["Q1","R0"],"reuse_valid_audio":true},"request_relation":"new_delivery","targets":["Q1","R0"]}</x:v>
      </x:c>
      <x:c r="D48" s="19" t="str"/>
      <x:c r="E48" s="12" t="str">
        <x:f>IF(D48="","",IF(EXACT(C48,D48),1,0))</x:f>
      </x:c>
    </x:row>
    <x:row r="49" ht="82" customHeight="1">
      <x:c r="A49" s="7" t="str">
        <x:v>DP2-B</x:v>
      </x:c>
      <x:c r="B49" s="7" t="str">
        <x:v>U20</x:v>
      </x:c>
      <x:c r="C49" s="7" t="str">
        <x:v>{"action":"resume","conditions":{"from_actual_stop":true},"request_relation":"new_delivery","targets":["R0"]}</x:v>
      </x:c>
      <x:c r="D49" s="19" t="str"/>
      <x:c r="E49" s="7" t="str">
        <x:f>IF(D49="","",IF(EXACT(C49,D49),1,0))</x:f>
      </x:c>
    </x:row>
    <x:row r="50" ht="82" customHeight="1">
      <x:c r="A50" s="12" t="str">
        <x:v>DP2-B</x:v>
      </x:c>
      <x:c r="B50" s="12" t="str">
        <x:v>U21</x:v>
      </x:c>
      <x:c r="C50" s="12" t="str">
        <x:v>{"action":"compare","conditions":{"format_source":"D2","keep_task":"T1"},"request_relation":"independent","targets":["Q1","Q2"]}</x:v>
      </x:c>
      <x:c r="D50" s="19" t="str"/>
      <x:c r="E50" s="12" t="str">
        <x:f>IF(D50="","",IF(EXACT(C50,D50),1,0))</x:f>
      </x:c>
    </x:row>
    <x:row r="51" ht="82" customHeight="1">
      <x:c r="A51" s="7" t="str">
        <x:v>DP2-B</x:v>
      </x:c>
      <x:c r="B51" s="7" t="str">
        <x:v>U22</x:v>
      </x:c>
      <x:c r="C51" s="7" t="str">
        <x:v>{"action":"compare_and_read","conditions":{"read_first":"calendar_question"},"request_relation":"new","targets":["Q1","Q2","calendar_question"]}</x:v>
      </x:c>
      <x:c r="D51" s="19" t="str"/>
      <x:c r="E51" s="7" t="str">
        <x:f>IF(D51="","",IF(EXACT(C51,D51),1,0))</x:f>
      </x:c>
    </x:row>
    <x:row r="52" ht="82" customHeight="1">
      <x:c r="A52" s="12" t="str">
        <x:v>DP2-B</x:v>
      </x:c>
      <x:c r="B52" s="12" t="str">
        <x:v>U23</x:v>
      </x:c>
      <x:c r="C52" s="12" t="str">
        <x:v>{"action":"create_and_read","conditions":{"format_source":"D2","read_first":"mail_question"},"request_relation":"new","targets":["mail_question","new_material"]}</x:v>
      </x:c>
      <x:c r="D52" s="19" t="str"/>
      <x:c r="E52" s="12" t="str">
        <x:f>IF(D52="","",IF(EXACT(C52,D52),1,0))</x:f>
      </x:c>
    </x:row>
    <x:row r="53" ht="82" customHeight="1">
      <x:c r="A53" s="7" t="str">
        <x:v>DP2-B</x:v>
      </x:c>
      <x:c r="B53" s="7" t="str">
        <x:v>U24</x:v>
      </x:c>
      <x:c r="C53" s="7" t="str">
        <x:v>{"action":"compare","conditions":{"feedback":"latest_F1","use_two_pointing_times":true},"request_relation":"revise_T1","targets":["Q1","Q2"]}</x:v>
      </x:c>
      <x:c r="D53" s="19" t="str"/>
      <x:c r="E53" s="7" t="str">
        <x:f>IF(D53="","",IF(EXACT(C53,D53),1,0))</x:f>
      </x:c>
    </x:row>
    <x:row r="54" ht="82" customHeight="1">
      <x:c r="A54" s="12" t="str">
        <x:v>DP3-B-R1</x:v>
      </x:c>
      <x:c r="B54" s="12" t="str">
        <x:v>U01</x:v>
      </x:c>
      <x:c r="C54" s="12" t="str">
        <x:v>{"action":"explain","conditions":{"length":"brief"},"request_relation":"new","targets":["TCP","UDP"]}</x:v>
      </x:c>
      <x:c r="D54" s="19" t="str"/>
      <x:c r="E54" s="12" t="str">
        <x:f>IF(D54="","",IF(EXACT(C54,D54),1,0))</x:f>
      </x:c>
    </x:row>
    <x:row r="55" ht="82" customHeight="1">
      <x:c r="A55" s="7" t="str">
        <x:v>DP3-B-R1</x:v>
      </x:c>
      <x:c r="B55" s="7" t="str">
        <x:v>U02</x:v>
      </x:c>
      <x:c r="C55" s="7" t="str">
        <x:v>{"action":"summarize","conditions":{"length":"one_sentence"},"request_relation":"follow_up","targets":["R1"]}</x:v>
      </x:c>
      <x:c r="D55" s="19" t="str"/>
      <x:c r="E55" s="7" t="str">
        <x:f>IF(D55="","",IF(EXACT(C55,D55),1,0))</x:f>
      </x:c>
    </x:row>
    <x:row r="56" ht="82" customHeight="1">
      <x:c r="A56" s="12" t="str">
        <x:v>DP3-B-R1</x:v>
      </x:c>
      <x:c r="B56" s="12" t="str">
        <x:v>U03</x:v>
      </x:c>
      <x:c r="C56" s="12" t="str">
        <x:v>{"action":"explain","conditions":{"section":"conclusion"},"request_relation":"new","targets":["D1@v1"]}</x:v>
      </x:c>
      <x:c r="D56" s="19" t="str"/>
      <x:c r="E56" s="12" t="str">
        <x:f>IF(D56="","",IF(EXACT(C56,D56),1,0))</x:f>
      </x:c>
    </x:row>
    <x:row r="57" ht="82" customHeight="1">
      <x:c r="A57" s="7" t="str">
        <x:v>DP3-B-R1</x:v>
      </x:c>
      <x:c r="B57" s="7" t="str">
        <x:v>U04</x:v>
      </x:c>
      <x:c r="C57" s="7" t="str">
        <x:v>{"action":"explain","conditions":{"keep_task":"T1"},"request_relation":"independent","targets":["TCP"]}</x:v>
      </x:c>
      <x:c r="D57" s="19" t="str"/>
      <x:c r="E57" s="7" t="str">
        <x:f>IF(D57="","",IF(EXACT(C57,D57),1,0))</x:f>
      </x:c>
    </x:row>
    <x:row r="58" ht="82" customHeight="1">
      <x:c r="A58" s="12" t="str">
        <x:v>DP3-B-R1</x:v>
      </x:c>
      <x:c r="B58" s="12" t="str">
        <x:v>U05</x:v>
      </x:c>
      <x:c r="C58" s="12" t="str">
        <x:v>{"action":"explain","conditions":{"keep_comparison":"D1"},"request_relation":"independent","targets":["TCP","UDP"]}</x:v>
      </x:c>
      <x:c r="D58" s="19" t="str"/>
      <x:c r="E58" s="12" t="str">
        <x:f>IF(D58="","",IF(EXACT(C58,D58),1,0))</x:f>
      </x:c>
    </x:row>
    <x:row r="59" ht="82" customHeight="1">
      <x:c r="A59" s="7" t="str">
        <x:v>DP3-B-R1</x:v>
      </x:c>
      <x:c r="B59" s="7" t="str">
        <x:v>U06</x:v>
      </x:c>
      <x:c r="C59" s="7" t="str">
        <x:v>{"action":"explain","conditions":{"keep_analysis":"D1","section":"conclusion"},"request_relation":"independent","targets":["D2"]}</x:v>
      </x:c>
      <x:c r="D59" s="19" t="str"/>
      <x:c r="E59" s="7" t="str">
        <x:f>IF(D59="","",IF(EXACT(C59,D59),1,0))</x:f>
      </x:c>
    </x:row>
    <x:row r="60" ht="82" customHeight="1">
      <x:c r="A60" s="12" t="str">
        <x:v>DP3-B-R1</x:v>
      </x:c>
      <x:c r="B60" s="12" t="str">
        <x:v>U07</x:v>
      </x:c>
      <x:c r="C60" s="12" t="str">
        <x:v>{"action":"explain","conditions":{"keep_existing_tasks":true},"request_relation":"independent","targets":["D2"]}</x:v>
      </x:c>
      <x:c r="D60" s="19" t="str"/>
      <x:c r="E60" s="12" t="str">
        <x:f>IF(D60="","",IF(EXACT(C60,D60),1,0))</x:f>
      </x:c>
    </x:row>
    <x:row r="61" ht="82" customHeight="1">
      <x:c r="A61" s="7" t="str">
        <x:v>DP3-B-R1</x:v>
      </x:c>
      <x:c r="B61" s="7" t="str">
        <x:v>U08</x:v>
      </x:c>
      <x:c r="C61" s="7" t="str">
        <x:v>{"action":"revise","conditions":{"scope":"cost_only","use_current_read":true},"request_relation":"revise_T1","targets":["D1"]}</x:v>
      </x:c>
      <x:c r="D61" s="19" t="str"/>
      <x:c r="E61" s="7" t="str">
        <x:f>IF(D61="","",IF(EXACT(C61,D61),1,0))</x:f>
      </x:c>
    </x:row>
    <x:row r="62" ht="82" customHeight="1">
      <x:c r="A62" s="12" t="str">
        <x:v>DP3-B-R1</x:v>
      </x:c>
      <x:c r="B62" s="12" t="str">
        <x:v>U09</x:v>
      </x:c>
      <x:c r="C62" s="12" t="str">
        <x:v>{"action":"compare","conditions":{},"request_relation":"new","targets":["Q1@v1","Q2@v1"]}</x:v>
      </x:c>
      <x:c r="D62" s="19" t="str"/>
      <x:c r="E62" s="12" t="str">
        <x:f>IF(D62="","",IF(EXACT(C62,D62),1,0))</x:f>
      </x:c>
    </x:row>
    <x:row r="63" ht="82" customHeight="1">
      <x:c r="A63" s="7" t="str">
        <x:v>DP3-B-R1</x:v>
      </x:c>
      <x:c r="B63" s="7" t="str">
        <x:v>U10</x:v>
      </x:c>
      <x:c r="C63" s="7" t="str">
        <x:v>{"action":"compare","conditions":{"exclude_outside_circle":true},"request_relation":"new","targets":["Q1","Q2"]}</x:v>
      </x:c>
      <x:c r="D63" s="19" t="str"/>
      <x:c r="E63" s="7" t="str">
        <x:f>IF(D63="","",IF(EXACT(C63,D63),1,0))</x:f>
      </x:c>
    </x:row>
    <x:row r="64" ht="82" customHeight="1">
      <x:c r="A64" s="12" t="str">
        <x:v>DP3-B-R1</x:v>
      </x:c>
      <x:c r="B64" s="12" t="str">
        <x:v>U11</x:v>
      </x:c>
      <x:c r="C64" s="12" t="str">
        <x:v>{"action":"compare","conditions":{"use_two_pointing_times":true},"request_relation":"new","targets":["Q1","Q2"]}</x:v>
      </x:c>
      <x:c r="D64" s="19" t="str"/>
      <x:c r="E64" s="12" t="str">
        <x:f>IF(D64="","",IF(EXACT(C64,D64),1,0))</x:f>
      </x:c>
    </x:row>
    <x:row r="65" ht="82" customHeight="1">
      <x:c r="A65" s="7" t="str">
        <x:v>DP3-B-R1</x:v>
      </x:c>
      <x:c r="B65" s="7" t="str">
        <x:v>U12</x:v>
      </x:c>
      <x:c r="C65" s="7" t="str">
        <x:v>{"action":"compare","conditions":{"scope":"delivery_date_only"},"request_relation":"follow_up","targets":["Q1","Q2"]}</x:v>
      </x:c>
      <x:c r="D65" s="19" t="str"/>
      <x:c r="E65" s="7" t="str">
        <x:f>IF(D65="","",IF(EXACT(C65,D65),1,0))</x:f>
      </x:c>
    </x:row>
    <x:row r="66" ht="82" customHeight="1">
      <x:c r="A66" s="12" t="str">
        <x:v>DP3-B-R1</x:v>
      </x:c>
      <x:c r="B66" s="12" t="str">
        <x:v>U13</x:v>
      </x:c>
      <x:c r="C66" s="12" t="str">
        <x:v>{"action":"delegate_presentation","conditions":{"author_of":"D2"},"request_relation":"new","targets":["P"]}</x:v>
      </x:c>
      <x:c r="D66" s="19" t="str"/>
      <x:c r="E66" s="12" t="str">
        <x:f>IF(D66="","",IF(EXACT(C66,D66),1,0))</x:f>
      </x:c>
    </x:row>
    <x:row r="67" ht="82" customHeight="1">
      <x:c r="A67" s="7" t="str">
        <x:v>DP3-B-R1</x:v>
      </x:c>
      <x:c r="B67" s="7" t="str">
        <x:v>U14</x:v>
      </x:c>
      <x:c r="C67" s="7" t="str">
        <x:v>{"action":"organize_research","conditions":{"audience":"external_customer","format_source":"D2"},"request_relation":"new","targets":["current_research"]}</x:v>
      </x:c>
      <x:c r="D67" s="19" t="str"/>
      <x:c r="E67" s="7" t="str">
        <x:f>IF(D67="","",IF(EXACT(C67,D67),1,0))</x:f>
      </x:c>
    </x:row>
    <x:row r="68" ht="82" customHeight="1">
      <x:c r="A68" s="12" t="str">
        <x:v>DP3-B-R1</x:v>
      </x:c>
      <x:c r="B68" s="12" t="str">
        <x:v>U15</x:v>
      </x:c>
      <x:c r="C68" s="12" t="str">
        <x:v>{"action":"apply_format","conditions":{"format_source":"D2","reuse_confirmed_fact":true},"request_relation":"new","targets":["current_material"]}</x:v>
      </x:c>
      <x:c r="D68" s="19" t="str"/>
      <x:c r="E68" s="12" t="str">
        <x:f>IF(D68="","",IF(EXACT(C68,D68),1,0))</x:f>
      </x:c>
    </x:row>
    <x:row r="69" ht="82" customHeight="1">
      <x:c r="A69" s="7" t="str">
        <x:v>DP3-B-R1</x:v>
      </x:c>
      <x:c r="B69" s="7" t="str">
        <x:v>U16</x:v>
      </x:c>
      <x:c r="C69" s="7" t="str">
        <x:v>{"action":"revise","conditions":{"apply_D2_preference":false,"audience":"internal_meeting","feedback":"latest_F1"},"request_relation":"revise_T1","targets":["T1"]}</x:v>
      </x:c>
      <x:c r="D69" s="19" t="str"/>
      <x:c r="E69" s="7" t="str">
        <x:f>IF(D69="","",IF(EXACT(C69,D69),1,0))</x:f>
      </x:c>
    </x:row>
    <x:row r="70" ht="82" customHeight="1">
      <x:c r="A70" s="12" t="str">
        <x:v>DP3-B-R1</x:v>
      </x:c>
      <x:c r="B70" s="12" t="str">
        <x:v>U17</x:v>
      </x:c>
      <x:c r="C70" s="12" t="str">
        <x:v>{"action":"read","conditions":{"priority":"first"},"request_relation":"new_delivery","targets":["Q1"]}</x:v>
      </x:c>
      <x:c r="D70" s="19" t="str"/>
      <x:c r="E70" s="12" t="str">
        <x:f>IF(D70="","",IF(EXACT(C70,D70),1,0))</x:f>
      </x:c>
    </x:row>
    <x:row r="71" ht="82" customHeight="1">
      <x:c r="A71" s="7" t="str">
        <x:v>DP3-B-R1</x:v>
      </x:c>
      <x:c r="B71" s="7" t="str">
        <x:v>U18</x:v>
      </x:c>
      <x:c r="C71" s="7" t="str">
        <x:v>{"action":"read","conditions":{"cancel_report_task":false,"withdraw_audio":"R1"},"request_relation":"new_delivery","targets":["Q1"]}</x:v>
      </x:c>
      <x:c r="D71" s="19" t="str"/>
      <x:c r="E71" s="7" t="str">
        <x:f>IF(D71="","",IF(EXACT(C71,D71),1,0))</x:f>
      </x:c>
    </x:row>
    <x:row r="72" ht="82" customHeight="1">
      <x:c r="A72" s="12" t="str">
        <x:v>DP3-B-R1</x:v>
      </x:c>
      <x:c r="B72" s="12" t="str">
        <x:v>U19</x:v>
      </x:c>
      <x:c r="C72" s="12" t="str">
        <x:v>{"action":"read_then_resume","conditions":{"order":["Q1","R0"],"reuse_valid_audio":true},"request_relation":"new_delivery","targets":["Q1","R0"]}</x:v>
      </x:c>
      <x:c r="D72" s="19" t="str"/>
      <x:c r="E72" s="12" t="str">
        <x:f>IF(D72="","",IF(EXACT(C72,D72),1,0))</x:f>
      </x:c>
    </x:row>
    <x:row r="73" ht="82" customHeight="1">
      <x:c r="A73" s="7" t="str">
        <x:v>DP3-B-R1</x:v>
      </x:c>
      <x:c r="B73" s="7" t="str">
        <x:v>U20</x:v>
      </x:c>
      <x:c r="C73" s="7" t="str">
        <x:v>{"action":"resume","conditions":{"from_actual_stop":true},"request_relation":"new_delivery","targets":["R0"]}</x:v>
      </x:c>
      <x:c r="D73" s="19" t="str"/>
      <x:c r="E73" s="7" t="str">
        <x:f>IF(D73="","",IF(EXACT(C73,D73),1,0))</x:f>
      </x:c>
    </x:row>
    <x:row r="74" ht="82" customHeight="1">
      <x:c r="A74" s="12" t="str">
        <x:v>DP3-B-R1</x:v>
      </x:c>
      <x:c r="B74" s="12" t="str">
        <x:v>U21</x:v>
      </x:c>
      <x:c r="C74" s="12" t="str">
        <x:v>{"action":"compare","conditions":{"format_source":"D2","keep_task":"T1"},"request_relation":"independent","targets":["Q1","Q2"]}</x:v>
      </x:c>
      <x:c r="D74" s="19" t="str"/>
      <x:c r="E74" s="12" t="str">
        <x:f>IF(D74="","",IF(EXACT(C74,D74),1,0))</x:f>
      </x:c>
    </x:row>
    <x:row r="75" ht="82" customHeight="1">
      <x:c r="A75" s="7" t="str">
        <x:v>DP3-B-R1</x:v>
      </x:c>
      <x:c r="B75" s="7" t="str">
        <x:v>U22</x:v>
      </x:c>
      <x:c r="C75" s="7" t="str">
        <x:v>{"action":"compare_and_read","conditions":{"read_first":"calendar_question"},"request_relation":"new","targets":["Q1","Q2","calendar_question"]}</x:v>
      </x:c>
      <x:c r="D75" s="19" t="str"/>
      <x:c r="E75" s="7" t="str">
        <x:f>IF(D75="","",IF(EXACT(C75,D75),1,0))</x:f>
      </x:c>
    </x:row>
    <x:row r="76" ht="82" customHeight="1">
      <x:c r="A76" s="12" t="str">
        <x:v>DP3-B-R1</x:v>
      </x:c>
      <x:c r="B76" s="12" t="str">
        <x:v>U23</x:v>
      </x:c>
      <x:c r="C76" s="12" t="str">
        <x:v>{"action":"create_and_read","conditions":{"format_source":"D2","read_first":"mail_question"},"request_relation":"new","targets":["mail_question","new_material"]}</x:v>
      </x:c>
      <x:c r="D76" s="19" t="str"/>
      <x:c r="E76" s="12" t="str">
        <x:f>IF(D76="","",IF(EXACT(C76,D76),1,0))</x:f>
      </x:c>
    </x:row>
    <x:row r="77" ht="82" customHeight="1">
      <x:c r="A77" s="7" t="str">
        <x:v>DP3-B-R1</x:v>
      </x:c>
      <x:c r="B77" s="7" t="str">
        <x:v>U24</x:v>
      </x:c>
      <x:c r="C77" s="7" t="str">
        <x:v>{"action":"compare","conditions":{"feedback":"latest_F1","use_two_pointing_times":true},"request_relation":"revise_T1","targets":["Q1","Q2"]}</x:v>
      </x:c>
      <x:c r="D77" s="19" t="str"/>
      <x:c r="E77" s="7" t="str">
        <x:f>IF(D77="","",IF(EXACT(C77,D77),1,0))</x:f>
      </x:c>
    </x:row>
    <x:row r="78" ht="82" customHeight="1">
      <x:c r="A78" s="12" t="str">
        <x:v>DP3-B-R2</x:v>
      </x:c>
      <x:c r="B78" s="12" t="str">
        <x:v>U01</x:v>
      </x:c>
      <x:c r="C78" s="12" t="str">
        <x:v>{"action":"explain","conditions":{"length":"brief"},"request_relation":"new","targets":["TCP","UDP"]}</x:v>
      </x:c>
      <x:c r="D78" s="19" t="str"/>
      <x:c r="E78" s="12" t="str">
        <x:f>IF(D78="","",IF(EXACT(C78,D78),1,0))</x:f>
      </x:c>
    </x:row>
    <x:row r="79" ht="82" customHeight="1">
      <x:c r="A79" s="7" t="str">
        <x:v>DP3-B-R2</x:v>
      </x:c>
      <x:c r="B79" s="7" t="str">
        <x:v>U02</x:v>
      </x:c>
      <x:c r="C79" s="7" t="str">
        <x:v>{"action":"summarize","conditions":{"length":"one_sentence"},"request_relation":"follow_up","targets":["R1"]}</x:v>
      </x:c>
      <x:c r="D79" s="19" t="str"/>
      <x:c r="E79" s="7" t="str">
        <x:f>IF(D79="","",IF(EXACT(C79,D79),1,0))</x:f>
      </x:c>
    </x:row>
    <x:row r="80" ht="82" customHeight="1">
      <x:c r="A80" s="12" t="str">
        <x:v>DP3-B-R2</x:v>
      </x:c>
      <x:c r="B80" s="12" t="str">
        <x:v>U03</x:v>
      </x:c>
      <x:c r="C80" s="12" t="str">
        <x:v>{"action":"explain","conditions":{"section":"conclusion"},"request_relation":"new","targets":["D1@v1"]}</x:v>
      </x:c>
      <x:c r="D80" s="19" t="str"/>
      <x:c r="E80" s="12" t="str">
        <x:f>IF(D80="","",IF(EXACT(C80,D80),1,0))</x:f>
      </x:c>
    </x:row>
    <x:row r="81" ht="82" customHeight="1">
      <x:c r="A81" s="7" t="str">
        <x:v>DP3-B-R2</x:v>
      </x:c>
      <x:c r="B81" s="7" t="str">
        <x:v>U04</x:v>
      </x:c>
      <x:c r="C81" s="7" t="str">
        <x:v>{"action":"explain","conditions":{"keep_task":"T1"},"request_relation":"independent","targets":["TCP"]}</x:v>
      </x:c>
      <x:c r="D81" s="19" t="str"/>
      <x:c r="E81" s="7" t="str">
        <x:f>IF(D81="","",IF(EXACT(C81,D81),1,0))</x:f>
      </x:c>
    </x:row>
    <x:row r="82" ht="82" customHeight="1">
      <x:c r="A82" s="12" t="str">
        <x:v>DP3-B-R2</x:v>
      </x:c>
      <x:c r="B82" s="12" t="str">
        <x:v>U05</x:v>
      </x:c>
      <x:c r="C82" s="12" t="str">
        <x:v>{"action":"explain","conditions":{"keep_comparison":"D1"},"request_relation":"independent","targets":["TCP","UDP"]}</x:v>
      </x:c>
      <x:c r="D82" s="19" t="str"/>
      <x:c r="E82" s="12" t="str">
        <x:f>IF(D82="","",IF(EXACT(C82,D82),1,0))</x:f>
      </x:c>
    </x:row>
    <x:row r="83" ht="82" customHeight="1">
      <x:c r="A83" s="7" t="str">
        <x:v>DP3-B-R2</x:v>
      </x:c>
      <x:c r="B83" s="7" t="str">
        <x:v>U06</x:v>
      </x:c>
      <x:c r="C83" s="7" t="str">
        <x:v>{"action":"explain","conditions":{"keep_analysis":"D1","section":"conclusion"},"request_relation":"independent","targets":["D2"]}</x:v>
      </x:c>
      <x:c r="D83" s="19" t="str"/>
      <x:c r="E83" s="7" t="str">
        <x:f>IF(D83="","",IF(EXACT(C83,D83),1,0))</x:f>
      </x:c>
    </x:row>
    <x:row r="84" ht="82" customHeight="1">
      <x:c r="A84" s="12" t="str">
        <x:v>DP3-B-R2</x:v>
      </x:c>
      <x:c r="B84" s="12" t="str">
        <x:v>U07</x:v>
      </x:c>
      <x:c r="C84" s="12" t="str">
        <x:v>{"action":"explain","conditions":{"keep_existing_tasks":true},"request_relation":"independent","targets":["D2"]}</x:v>
      </x:c>
      <x:c r="D84" s="19" t="str"/>
      <x:c r="E84" s="12" t="str">
        <x:f>IF(D84="","",IF(EXACT(C84,D84),1,0))</x:f>
      </x:c>
    </x:row>
    <x:row r="85" ht="82" customHeight="1">
      <x:c r="A85" s="7" t="str">
        <x:v>DP3-B-R2</x:v>
      </x:c>
      <x:c r="B85" s="7" t="str">
        <x:v>U08</x:v>
      </x:c>
      <x:c r="C85" s="7" t="str">
        <x:v>{"action":"revise","conditions":{"scope":"cost_only","use_current_read":true},"request_relation":"revise_T1","targets":["D1"]}</x:v>
      </x:c>
      <x:c r="D85" s="19" t="str"/>
      <x:c r="E85" s="7" t="str">
        <x:f>IF(D85="","",IF(EXACT(C85,D85),1,0))</x:f>
      </x:c>
    </x:row>
    <x:row r="86" ht="82" customHeight="1">
      <x:c r="A86" s="12" t="str">
        <x:v>DP3-B-R2</x:v>
      </x:c>
      <x:c r="B86" s="12" t="str">
        <x:v>U09</x:v>
      </x:c>
      <x:c r="C86" s="12" t="str">
        <x:v>{"action":"compare","conditions":{},"request_relation":"new","targets":["Q1@v1","Q2@v1"]}</x:v>
      </x:c>
      <x:c r="D86" s="19" t="str"/>
      <x:c r="E86" s="12" t="str">
        <x:f>IF(D86="","",IF(EXACT(C86,D86),1,0))</x:f>
      </x:c>
    </x:row>
    <x:row r="87" ht="82" customHeight="1">
      <x:c r="A87" s="7" t="str">
        <x:v>DP3-B-R2</x:v>
      </x:c>
      <x:c r="B87" s="7" t="str">
        <x:v>U10</x:v>
      </x:c>
      <x:c r="C87" s="7" t="str">
        <x:v>{"action":"compare","conditions":{"exclude_outside_circle":true},"request_relation":"new","targets":["Q1","Q2"]}</x:v>
      </x:c>
      <x:c r="D87" s="19" t="str"/>
      <x:c r="E87" s="7" t="str">
        <x:f>IF(D87="","",IF(EXACT(C87,D87),1,0))</x:f>
      </x:c>
    </x:row>
    <x:row r="88" ht="82" customHeight="1">
      <x:c r="A88" s="12" t="str">
        <x:v>DP3-B-R2</x:v>
      </x:c>
      <x:c r="B88" s="12" t="str">
        <x:v>U11</x:v>
      </x:c>
      <x:c r="C88" s="12" t="str">
        <x:v>{"action":"compare","conditions":{"use_two_pointing_times":true},"request_relation":"new","targets":["Q1","Q2"]}</x:v>
      </x:c>
      <x:c r="D88" s="19" t="str"/>
      <x:c r="E88" s="12" t="str">
        <x:f>IF(D88="","",IF(EXACT(C88,D88),1,0))</x:f>
      </x:c>
    </x:row>
    <x:row r="89" ht="82" customHeight="1">
      <x:c r="A89" s="7" t="str">
        <x:v>DP3-B-R2</x:v>
      </x:c>
      <x:c r="B89" s="7" t="str">
        <x:v>U12</x:v>
      </x:c>
      <x:c r="C89" s="7" t="str">
        <x:v>{"action":"compare","conditions":{"scope":"delivery_date_only"},"request_relation":"follow_up","targets":["Q1","Q2"]}</x:v>
      </x:c>
      <x:c r="D89" s="19" t="str"/>
      <x:c r="E89" s="7" t="str">
        <x:f>IF(D89="","",IF(EXACT(C89,D89),1,0))</x:f>
      </x:c>
    </x:row>
    <x:row r="90" ht="82" customHeight="1">
      <x:c r="A90" s="12" t="str">
        <x:v>DP3-B-R2</x:v>
      </x:c>
      <x:c r="B90" s="12" t="str">
        <x:v>U13</x:v>
      </x:c>
      <x:c r="C90" s="12" t="str">
        <x:v>{"action":"delegate_presentation","conditions":{"author_of":"D2"},"request_relation":"new","targets":["P"]}</x:v>
      </x:c>
      <x:c r="D90" s="19" t="str"/>
      <x:c r="E90" s="12" t="str">
        <x:f>IF(D90="","",IF(EXACT(C90,D90),1,0))</x:f>
      </x:c>
    </x:row>
    <x:row r="91" ht="82" customHeight="1">
      <x:c r="A91" s="7" t="str">
        <x:v>DP3-B-R2</x:v>
      </x:c>
      <x:c r="B91" s="7" t="str">
        <x:v>U14</x:v>
      </x:c>
      <x:c r="C91" s="7" t="str">
        <x:v>{"action":"organize_research","conditions":{"audience":"external_customer","format_source":"D2"},"request_relation":"new","targets":["current_research"]}</x:v>
      </x:c>
      <x:c r="D91" s="19" t="str"/>
      <x:c r="E91" s="7" t="str">
        <x:f>IF(D91="","",IF(EXACT(C91,D91),1,0))</x:f>
      </x:c>
    </x:row>
    <x:row r="92" ht="82" customHeight="1">
      <x:c r="A92" s="12" t="str">
        <x:v>DP3-B-R2</x:v>
      </x:c>
      <x:c r="B92" s="12" t="str">
        <x:v>U15</x:v>
      </x:c>
      <x:c r="C92" s="12" t="str">
        <x:v>{"action":"apply_format","conditions":{"format_source":"D2","reuse_confirmed_fact":true},"request_relation":"new","targets":["current_material"]}</x:v>
      </x:c>
      <x:c r="D92" s="19" t="str"/>
      <x:c r="E92" s="12" t="str">
        <x:f>IF(D92="","",IF(EXACT(C92,D92),1,0))</x:f>
      </x:c>
    </x:row>
    <x:row r="93" ht="82" customHeight="1">
      <x:c r="A93" s="7" t="str">
        <x:v>DP3-B-R2</x:v>
      </x:c>
      <x:c r="B93" s="7" t="str">
        <x:v>U16</x:v>
      </x:c>
      <x:c r="C93" s="7" t="str">
        <x:v>{"action":"revise","conditions":{"apply_D2_preference":false,"audience":"internal_meeting","feedback":"latest_F1"},"request_relation":"revise_T1","targets":["T1"]}</x:v>
      </x:c>
      <x:c r="D93" s="19" t="str"/>
      <x:c r="E93" s="7" t="str">
        <x:f>IF(D93="","",IF(EXACT(C93,D93),1,0))</x:f>
      </x:c>
    </x:row>
    <x:row r="94" ht="82" customHeight="1">
      <x:c r="A94" s="12" t="str">
        <x:v>DP3-B-R2</x:v>
      </x:c>
      <x:c r="B94" s="12" t="str">
        <x:v>U17</x:v>
      </x:c>
      <x:c r="C94" s="12" t="str">
        <x:v>{"action":"read","conditions":{"priority":"first"},"request_relation":"new_delivery","targets":["Q1"]}</x:v>
      </x:c>
      <x:c r="D94" s="19" t="str"/>
      <x:c r="E94" s="12" t="str">
        <x:f>IF(D94="","",IF(EXACT(C94,D94),1,0))</x:f>
      </x:c>
    </x:row>
    <x:row r="95" ht="82" customHeight="1">
      <x:c r="A95" s="7" t="str">
        <x:v>DP3-B-R2</x:v>
      </x:c>
      <x:c r="B95" s="7" t="str">
        <x:v>U18</x:v>
      </x:c>
      <x:c r="C95" s="7" t="str">
        <x:v>{"action":"read","conditions":{"cancel_report_task":false,"withdraw_audio":"R1"},"request_relation":"new_delivery","targets":["Q1"]}</x:v>
      </x:c>
      <x:c r="D95" s="19" t="str"/>
      <x:c r="E95" s="7" t="str">
        <x:f>IF(D95="","",IF(EXACT(C95,D95),1,0))</x:f>
      </x:c>
    </x:row>
    <x:row r="96" ht="82" customHeight="1">
      <x:c r="A96" s="12" t="str">
        <x:v>DP3-B-R2</x:v>
      </x:c>
      <x:c r="B96" s="12" t="str">
        <x:v>U19</x:v>
      </x:c>
      <x:c r="C96" s="12" t="str">
        <x:v>{"action":"read_then_resume","conditions":{"order":["Q1","R0"],"reuse_valid_audio":true},"request_relation":"new_delivery","targets":["Q1","R0"]}</x:v>
      </x:c>
      <x:c r="D96" s="19" t="str"/>
      <x:c r="E96" s="12" t="str">
        <x:f>IF(D96="","",IF(EXACT(C96,D96),1,0))</x:f>
      </x:c>
    </x:row>
    <x:row r="97" ht="82" customHeight="1">
      <x:c r="A97" s="7" t="str">
        <x:v>DP3-B-R2</x:v>
      </x:c>
      <x:c r="B97" s="7" t="str">
        <x:v>U20</x:v>
      </x:c>
      <x:c r="C97" s="7" t="str">
        <x:v>{"action":"resume","conditions":{"from_actual_stop":true},"request_relation":"new_delivery","targets":["R0"]}</x:v>
      </x:c>
      <x:c r="D97" s="19" t="str"/>
      <x:c r="E97" s="7" t="str">
        <x:f>IF(D97="","",IF(EXACT(C97,D97),1,0))</x:f>
      </x:c>
    </x:row>
    <x:row r="98" ht="82" customHeight="1">
      <x:c r="A98" s="12" t="str">
        <x:v>DP3-B-R2</x:v>
      </x:c>
      <x:c r="B98" s="12" t="str">
        <x:v>U21</x:v>
      </x:c>
      <x:c r="C98" s="12" t="str">
        <x:v>{"action":"compare","conditions":{"format_source":"D2","keep_task":"T1"},"request_relation":"independent","targets":["Q1","Q2"]}</x:v>
      </x:c>
      <x:c r="D98" s="19" t="str"/>
      <x:c r="E98" s="12" t="str">
        <x:f>IF(D98="","",IF(EXACT(C98,D98),1,0))</x:f>
      </x:c>
    </x:row>
    <x:row r="99" ht="82" customHeight="1">
      <x:c r="A99" s="7" t="str">
        <x:v>DP3-B-R2</x:v>
      </x:c>
      <x:c r="B99" s="7" t="str">
        <x:v>U22</x:v>
      </x:c>
      <x:c r="C99" s="7" t="str">
        <x:v>{"action":"compare_and_read","conditions":{"read_first":"calendar_question"},"request_relation":"new","targets":["Q1","Q2","calendar_question"]}</x:v>
      </x:c>
      <x:c r="D99" s="19" t="str"/>
      <x:c r="E99" s="7" t="str">
        <x:f>IF(D99="","",IF(EXACT(C99,D99),1,0))</x:f>
      </x:c>
    </x:row>
    <x:row r="100" ht="82" customHeight="1">
      <x:c r="A100" s="12" t="str">
        <x:v>DP3-B-R2</x:v>
      </x:c>
      <x:c r="B100" s="12" t="str">
        <x:v>U23</x:v>
      </x:c>
      <x:c r="C100" s="12" t="str">
        <x:v>{"action":"create_and_read","conditions":{"format_source":"D2","read_first":"mail_question"},"request_relation":"new","targets":["mail_question","new_material"]}</x:v>
      </x:c>
      <x:c r="D100" s="19" t="str"/>
      <x:c r="E100" s="12" t="str">
        <x:f>IF(D100="","",IF(EXACT(C100,D100),1,0))</x:f>
      </x:c>
    </x:row>
    <x:row r="101" ht="82" customHeight="1">
      <x:c r="A101" s="7" t="str">
        <x:v>DP3-B-R2</x:v>
      </x:c>
      <x:c r="B101" s="7" t="str">
        <x:v>U24</x:v>
      </x:c>
      <x:c r="C101" s="7" t="str">
        <x:v>{"action":"compare","conditions":{"feedback":"latest_F1","use_two_pointing_times":true},"request_relation":"revise_T1","targets":["Q1","Q2"]}</x:v>
      </x:c>
      <x:c r="D101" s="19" t="str"/>
      <x:c r="E101" s="7" t="str">
        <x:f>IF(D101="","",IF(EXACT(C101,D101),1,0))</x:f>
      </x:c>
    </x:row>
    <x:row r="102" ht="82" customHeight="1">
      <x:c r="A102" s="12" t="str">
        <x:v>DP3-B-R3</x:v>
      </x:c>
      <x:c r="B102" s="12" t="str">
        <x:v>U01</x:v>
      </x:c>
      <x:c r="C102" s="12" t="str">
        <x:v>{"action":"explain","conditions":{"length":"brief"},"request_relation":"new","targets":["TCP","UDP"]}</x:v>
      </x:c>
      <x:c r="D102" s="19" t="str"/>
      <x:c r="E102" s="12" t="str">
        <x:f>IF(D102="","",IF(EXACT(C102,D102),1,0))</x:f>
      </x:c>
    </x:row>
    <x:row r="103" ht="82" customHeight="1">
      <x:c r="A103" s="7" t="str">
        <x:v>DP3-B-R3</x:v>
      </x:c>
      <x:c r="B103" s="7" t="str">
        <x:v>U02</x:v>
      </x:c>
      <x:c r="C103" s="7" t="str">
        <x:v>{"action":"summarize","conditions":{"length":"one_sentence"},"request_relation":"follow_up","targets":["R1"]}</x:v>
      </x:c>
      <x:c r="D103" s="19" t="str"/>
      <x:c r="E103" s="7" t="str">
        <x:f>IF(D103="","",IF(EXACT(C103,D103),1,0))</x:f>
      </x:c>
    </x:row>
    <x:row r="104" ht="82" customHeight="1">
      <x:c r="A104" s="12" t="str">
        <x:v>DP3-B-R3</x:v>
      </x:c>
      <x:c r="B104" s="12" t="str">
        <x:v>U03</x:v>
      </x:c>
      <x:c r="C104" s="12" t="str">
        <x:v>{"action":"explain","conditions":{"section":"conclusion"},"request_relation":"new","targets":["D1@v1"]}</x:v>
      </x:c>
      <x:c r="D104" s="19" t="str"/>
      <x:c r="E104" s="12" t="str">
        <x:f>IF(D104="","",IF(EXACT(C104,D104),1,0))</x:f>
      </x:c>
    </x:row>
    <x:row r="105" ht="82" customHeight="1">
      <x:c r="A105" s="7" t="str">
        <x:v>DP3-B-R3</x:v>
      </x:c>
      <x:c r="B105" s="7" t="str">
        <x:v>U04</x:v>
      </x:c>
      <x:c r="C105" s="7" t="str">
        <x:v>{"action":"explain","conditions":{"keep_task":"T1"},"request_relation":"independent","targets":["TCP"]}</x:v>
      </x:c>
      <x:c r="D105" s="19" t="str"/>
      <x:c r="E105" s="7" t="str">
        <x:f>IF(D105="","",IF(EXACT(C105,D105),1,0))</x:f>
      </x:c>
    </x:row>
    <x:row r="106" ht="82" customHeight="1">
      <x:c r="A106" s="12" t="str">
        <x:v>DP3-B-R3</x:v>
      </x:c>
      <x:c r="B106" s="12" t="str">
        <x:v>U05</x:v>
      </x:c>
      <x:c r="C106" s="12" t="str">
        <x:v>{"action":"explain","conditions":{"keep_comparison":"D1"},"request_relation":"independent","targets":["TCP","UDP"]}</x:v>
      </x:c>
      <x:c r="D106" s="19" t="str"/>
      <x:c r="E106" s="12" t="str">
        <x:f>IF(D106="","",IF(EXACT(C106,D106),1,0))</x:f>
      </x:c>
    </x:row>
    <x:row r="107" ht="82" customHeight="1">
      <x:c r="A107" s="7" t="str">
        <x:v>DP3-B-R3</x:v>
      </x:c>
      <x:c r="B107" s="7" t="str">
        <x:v>U06</x:v>
      </x:c>
      <x:c r="C107" s="7" t="str">
        <x:v>{"action":"explain","conditions":{"keep_analysis":"D1","section":"conclusion"},"request_relation":"independent","targets":["D2"]}</x:v>
      </x:c>
      <x:c r="D107" s="19" t="str"/>
      <x:c r="E107" s="7" t="str">
        <x:f>IF(D107="","",IF(EXACT(C107,D107),1,0))</x:f>
      </x:c>
    </x:row>
    <x:row r="108" ht="82" customHeight="1">
      <x:c r="A108" s="12" t="str">
        <x:v>DP3-B-R3</x:v>
      </x:c>
      <x:c r="B108" s="12" t="str">
        <x:v>U07</x:v>
      </x:c>
      <x:c r="C108" s="12" t="str">
        <x:v>{"action":"explain","conditions":{"keep_existing_tasks":true},"request_relation":"independent","targets":["D2"]}</x:v>
      </x:c>
      <x:c r="D108" s="19" t="str"/>
      <x:c r="E108" s="12" t="str">
        <x:f>IF(D108="","",IF(EXACT(C108,D108),1,0))</x:f>
      </x:c>
    </x:row>
    <x:row r="109" ht="82" customHeight="1">
      <x:c r="A109" s="7" t="str">
        <x:v>DP3-B-R3</x:v>
      </x:c>
      <x:c r="B109" s="7" t="str">
        <x:v>U08</x:v>
      </x:c>
      <x:c r="C109" s="7" t="str">
        <x:v>{"action":"revise","conditions":{"scope":"cost_only","use_current_read":true},"request_relation":"revise_T1","targets":["D1"]}</x:v>
      </x:c>
      <x:c r="D109" s="19" t="str"/>
      <x:c r="E109" s="7" t="str">
        <x:f>IF(D109="","",IF(EXACT(C109,D109),1,0))</x:f>
      </x:c>
    </x:row>
    <x:row r="110" ht="82" customHeight="1">
      <x:c r="A110" s="12" t="str">
        <x:v>DP3-B-R3</x:v>
      </x:c>
      <x:c r="B110" s="12" t="str">
        <x:v>U09</x:v>
      </x:c>
      <x:c r="C110" s="12" t="str">
        <x:v>{"action":"compare","conditions":{},"request_relation":"new","targets":["Q1@v1","Q2@v1"]}</x:v>
      </x:c>
      <x:c r="D110" s="19" t="str"/>
      <x:c r="E110" s="12" t="str">
        <x:f>IF(D110="","",IF(EXACT(C110,D110),1,0))</x:f>
      </x:c>
    </x:row>
    <x:row r="111" ht="82" customHeight="1">
      <x:c r="A111" s="7" t="str">
        <x:v>DP3-B-R3</x:v>
      </x:c>
      <x:c r="B111" s="7" t="str">
        <x:v>U10</x:v>
      </x:c>
      <x:c r="C111" s="7" t="str">
        <x:v>{"action":"compare","conditions":{"exclude_outside_circle":true},"request_relation":"new","targets":["Q1","Q2"]}</x:v>
      </x:c>
      <x:c r="D111" s="19" t="str"/>
      <x:c r="E111" s="7" t="str">
        <x:f>IF(D111="","",IF(EXACT(C111,D111),1,0))</x:f>
      </x:c>
    </x:row>
    <x:row r="112" ht="82" customHeight="1">
      <x:c r="A112" s="12" t="str">
        <x:v>DP3-B-R3</x:v>
      </x:c>
      <x:c r="B112" s="12" t="str">
        <x:v>U11</x:v>
      </x:c>
      <x:c r="C112" s="12" t="str">
        <x:v>{"action":"compare","conditions":{"use_two_pointing_times":true},"request_relation":"new","targets":["Q1","Q2"]}</x:v>
      </x:c>
      <x:c r="D112" s="19" t="str"/>
      <x:c r="E112" s="12" t="str">
        <x:f>IF(D112="","",IF(EXACT(C112,D112),1,0))</x:f>
      </x:c>
    </x:row>
    <x:row r="113" ht="82" customHeight="1">
      <x:c r="A113" s="7" t="str">
        <x:v>DP3-B-R3</x:v>
      </x:c>
      <x:c r="B113" s="7" t="str">
        <x:v>U12</x:v>
      </x:c>
      <x:c r="C113" s="7" t="str">
        <x:v>{"action":"compare","conditions":{"scope":"delivery_date_only"},"request_relation":"follow_up","targets":["Q1","Q2"]}</x:v>
      </x:c>
      <x:c r="D113" s="19" t="str"/>
      <x:c r="E113" s="7" t="str">
        <x:f>IF(D113="","",IF(EXACT(C113,D113),1,0))</x:f>
      </x:c>
    </x:row>
    <x:row r="114" ht="82" customHeight="1">
      <x:c r="A114" s="12" t="str">
        <x:v>DP3-B-R3</x:v>
      </x:c>
      <x:c r="B114" s="12" t="str">
        <x:v>U13</x:v>
      </x:c>
      <x:c r="C114" s="12" t="str">
        <x:v>{"action":"delegate_presentation","conditions":{"author_of":"D2"},"request_relation":"new","targets":["P"]}</x:v>
      </x:c>
      <x:c r="D114" s="19" t="str"/>
      <x:c r="E114" s="12" t="str">
        <x:f>IF(D114="","",IF(EXACT(C114,D114),1,0))</x:f>
      </x:c>
    </x:row>
    <x:row r="115" ht="82" customHeight="1">
      <x:c r="A115" s="7" t="str">
        <x:v>DP3-B-R3</x:v>
      </x:c>
      <x:c r="B115" s="7" t="str">
        <x:v>U14</x:v>
      </x:c>
      <x:c r="C115" s="7" t="str">
        <x:v>{"action":"organize_research","conditions":{"audience":"external_customer","format_source":"D2"},"request_relation":"new","targets":["current_research"]}</x:v>
      </x:c>
      <x:c r="D115" s="19" t="str"/>
      <x:c r="E115" s="7" t="str">
        <x:f>IF(D115="","",IF(EXACT(C115,D115),1,0))</x:f>
      </x:c>
    </x:row>
    <x:row r="116" ht="82" customHeight="1">
      <x:c r="A116" s="12" t="str">
        <x:v>DP3-B-R3</x:v>
      </x:c>
      <x:c r="B116" s="12" t="str">
        <x:v>U15</x:v>
      </x:c>
      <x:c r="C116" s="12" t="str">
        <x:v>{"action":"apply_format","conditions":{"format_source":"D2","reuse_confirmed_fact":true},"request_relation":"new","targets":["current_material"]}</x:v>
      </x:c>
      <x:c r="D116" s="19" t="str"/>
      <x:c r="E116" s="12" t="str">
        <x:f>IF(D116="","",IF(EXACT(C116,D116),1,0))</x:f>
      </x:c>
    </x:row>
    <x:row r="117" ht="82" customHeight="1">
      <x:c r="A117" s="7" t="str">
        <x:v>DP3-B-R3</x:v>
      </x:c>
      <x:c r="B117" s="7" t="str">
        <x:v>U16</x:v>
      </x:c>
      <x:c r="C117" s="7" t="str">
        <x:v>{"action":"revise","conditions":{"apply_D2_preference":false,"audience":"internal_meeting","feedback":"latest_F1"},"request_relation":"revise_T1","targets":["T1"]}</x:v>
      </x:c>
      <x:c r="D117" s="19" t="str"/>
      <x:c r="E117" s="7" t="str">
        <x:f>IF(D117="","",IF(EXACT(C117,D117),1,0))</x:f>
      </x:c>
    </x:row>
    <x:row r="118" ht="82" customHeight="1">
      <x:c r="A118" s="12" t="str">
        <x:v>DP3-B-R3</x:v>
      </x:c>
      <x:c r="B118" s="12" t="str">
        <x:v>U17</x:v>
      </x:c>
      <x:c r="C118" s="12" t="str">
        <x:v>{"action":"read","conditions":{"priority":"first"},"request_relation":"new_delivery","targets":["Q1"]}</x:v>
      </x:c>
      <x:c r="D118" s="19" t="str"/>
      <x:c r="E118" s="12" t="str">
        <x:f>IF(D118="","",IF(EXACT(C118,D118),1,0))</x:f>
      </x:c>
    </x:row>
    <x:row r="119" ht="82" customHeight="1">
      <x:c r="A119" s="7" t="str">
        <x:v>DP3-B-R3</x:v>
      </x:c>
      <x:c r="B119" s="7" t="str">
        <x:v>U18</x:v>
      </x:c>
      <x:c r="C119" s="7" t="str">
        <x:v>{"action":"read","conditions":{"cancel_report_task":false,"withdraw_audio":"R1"},"request_relation":"new_delivery","targets":["Q1"]}</x:v>
      </x:c>
      <x:c r="D119" s="19" t="str"/>
      <x:c r="E119" s="7" t="str">
        <x:f>IF(D119="","",IF(EXACT(C119,D119),1,0))</x:f>
      </x:c>
    </x:row>
    <x:row r="120" ht="82" customHeight="1">
      <x:c r="A120" s="12" t="str">
        <x:v>DP3-B-R3</x:v>
      </x:c>
      <x:c r="B120" s="12" t="str">
        <x:v>U19</x:v>
      </x:c>
      <x:c r="C120" s="12" t="str">
        <x:v>{"action":"read_then_resume","conditions":{"order":["Q1","R0"],"reuse_valid_audio":true},"request_relation":"new_delivery","targets":["Q1","R0"]}</x:v>
      </x:c>
      <x:c r="D120" s="19" t="str"/>
      <x:c r="E120" s="12" t="str">
        <x:f>IF(D120="","",IF(EXACT(C120,D120),1,0))</x:f>
      </x:c>
    </x:row>
    <x:row r="121" ht="82" customHeight="1">
      <x:c r="A121" s="7" t="str">
        <x:v>DP3-B-R3</x:v>
      </x:c>
      <x:c r="B121" s="7" t="str">
        <x:v>U20</x:v>
      </x:c>
      <x:c r="C121" s="7" t="str">
        <x:v>{"action":"resume","conditions":{"from_actual_stop":true},"request_relation":"new_delivery","targets":["R0"]}</x:v>
      </x:c>
      <x:c r="D121" s="19" t="str"/>
      <x:c r="E121" s="7" t="str">
        <x:f>IF(D121="","",IF(EXACT(C121,D121),1,0))</x:f>
      </x:c>
    </x:row>
    <x:row r="122" ht="82" customHeight="1">
      <x:c r="A122" s="12" t="str">
        <x:v>DP3-B-R3</x:v>
      </x:c>
      <x:c r="B122" s="12" t="str">
        <x:v>U21</x:v>
      </x:c>
      <x:c r="C122" s="12" t="str">
        <x:v>{"action":"compare","conditions":{"format_source":"D2","keep_task":"T1"},"request_relation":"independent","targets":["Q1","Q2"]}</x:v>
      </x:c>
      <x:c r="D122" s="19" t="str"/>
      <x:c r="E122" s="12" t="str">
        <x:f>IF(D122="","",IF(EXACT(C122,D122),1,0))</x:f>
      </x:c>
    </x:row>
    <x:row r="123" ht="82" customHeight="1">
      <x:c r="A123" s="7" t="str">
        <x:v>DP3-B-R3</x:v>
      </x:c>
      <x:c r="B123" s="7" t="str">
        <x:v>U22</x:v>
      </x:c>
      <x:c r="C123" s="7" t="str">
        <x:v>{"action":"compare_and_read","conditions":{"read_first":"calendar_question"},"request_relation":"new","targets":["Q1","Q2","calendar_question"]}</x:v>
      </x:c>
      <x:c r="D123" s="19" t="str"/>
      <x:c r="E123" s="7" t="str">
        <x:f>IF(D123="","",IF(EXACT(C123,D123),1,0))</x:f>
      </x:c>
    </x:row>
    <x:row r="124" ht="82" customHeight="1">
      <x:c r="A124" s="12" t="str">
        <x:v>DP3-B-R3</x:v>
      </x:c>
      <x:c r="B124" s="12" t="str">
        <x:v>U23</x:v>
      </x:c>
      <x:c r="C124" s="12" t="str">
        <x:v>{"action":"create_and_read","conditions":{"format_source":"D2","read_first":"mail_question"},"request_relation":"new","targets":["mail_question","new_material"]}</x:v>
      </x:c>
      <x:c r="D124" s="19" t="str"/>
      <x:c r="E124" s="12" t="str">
        <x:f>IF(D124="","",IF(EXACT(C124,D124),1,0))</x:f>
      </x:c>
    </x:row>
    <x:row r="125" ht="82" customHeight="1">
      <x:c r="A125" s="7" t="str">
        <x:v>DP3-B-R3</x:v>
      </x:c>
      <x:c r="B125" s="7" t="str">
        <x:v>U24</x:v>
      </x:c>
      <x:c r="C125" s="7" t="str">
        <x:v>{"action":"compare","conditions":{"feedback":"latest_F1","use_two_pointing_times":true},"request_relation":"revise_T1","targets":["Q1","Q2"]}</x:v>
      </x:c>
      <x:c r="D125" s="19" t="str"/>
      <x:c r="E125" s="7" t="str">
        <x:f>IF(D125="","",IF(EXACT(C125,D125),1,0))</x:f>
      </x:c>
    </x:row>
    <x:row r="126" ht="82" customHeight="1">
      <x:c r="A126" s="12" t="str">
        <x:v>DP5-B</x:v>
      </x:c>
      <x:c r="B126" s="12" t="str">
        <x:v>U01</x:v>
      </x:c>
      <x:c r="C126" s="12" t="str">
        <x:v>{"action":"explain","conditions":{"length":"brief"},"request_relation":"new","targets":["TCP","UDP"]}</x:v>
      </x:c>
      <x:c r="D126" s="19" t="str"/>
      <x:c r="E126" s="12" t="str">
        <x:f>IF(D126="","",IF(EXACT(C126,D126),1,0))</x:f>
      </x:c>
    </x:row>
    <x:row r="127" ht="82" customHeight="1">
      <x:c r="A127" s="7" t="str">
        <x:v>DP5-B</x:v>
      </x:c>
      <x:c r="B127" s="7" t="str">
        <x:v>U02</x:v>
      </x:c>
      <x:c r="C127" s="7" t="str">
        <x:v>{"action":"summarize","conditions":{"length":"one_sentence"},"request_relation":"follow_up","targets":["R1"]}</x:v>
      </x:c>
      <x:c r="D127" s="19" t="str"/>
      <x:c r="E127" s="7" t="str">
        <x:f>IF(D127="","",IF(EXACT(C127,D127),1,0))</x:f>
      </x:c>
    </x:row>
    <x:row r="128" ht="82" customHeight="1">
      <x:c r="A128" s="12" t="str">
        <x:v>DP5-B</x:v>
      </x:c>
      <x:c r="B128" s="12" t="str">
        <x:v>U03</x:v>
      </x:c>
      <x:c r="C128" s="12" t="str">
        <x:v>{"action":"explain","conditions":{"section":"conclusion"},"request_relation":"new","targets":["D1@v1"]}</x:v>
      </x:c>
      <x:c r="D128" s="19" t="str"/>
      <x:c r="E128" s="12" t="str">
        <x:f>IF(D128="","",IF(EXACT(C128,D128),1,0))</x:f>
      </x:c>
    </x:row>
    <x:row r="129" ht="82" customHeight="1">
      <x:c r="A129" s="7" t="str">
        <x:v>DP5-B</x:v>
      </x:c>
      <x:c r="B129" s="7" t="str">
        <x:v>U04</x:v>
      </x:c>
      <x:c r="C129" s="7" t="str">
        <x:v>{"action":"explain","conditions":{"keep_task":"T1"},"request_relation":"independent","targets":["TCP"]}</x:v>
      </x:c>
      <x:c r="D129" s="19" t="str"/>
      <x:c r="E129" s="7" t="str">
        <x:f>IF(D129="","",IF(EXACT(C129,D129),1,0))</x:f>
      </x:c>
    </x:row>
    <x:row r="130" ht="82" customHeight="1">
      <x:c r="A130" s="12" t="str">
        <x:v>DP5-B</x:v>
      </x:c>
      <x:c r="B130" s="12" t="str">
        <x:v>U05</x:v>
      </x:c>
      <x:c r="C130" s="12" t="str">
        <x:v>{"action":"explain","conditions":{"keep_comparison":"D1"},"request_relation":"independent","targets":["TCP","UDP"]}</x:v>
      </x:c>
      <x:c r="D130" s="19" t="str"/>
      <x:c r="E130" s="12" t="str">
        <x:f>IF(D130="","",IF(EXACT(C130,D130),1,0))</x:f>
      </x:c>
    </x:row>
    <x:row r="131" ht="82" customHeight="1">
      <x:c r="A131" s="7" t="str">
        <x:v>DP5-B</x:v>
      </x:c>
      <x:c r="B131" s="7" t="str">
        <x:v>U06</x:v>
      </x:c>
      <x:c r="C131" s="7" t="str">
        <x:v>{"action":"explain","conditions":{"keep_analysis":"D1","section":"conclusion"},"request_relation":"independent","targets":["D2"]}</x:v>
      </x:c>
      <x:c r="D131" s="19" t="str"/>
      <x:c r="E131" s="7" t="str">
        <x:f>IF(D131="","",IF(EXACT(C131,D131),1,0))</x:f>
      </x:c>
    </x:row>
    <x:row r="132" ht="82" customHeight="1">
      <x:c r="A132" s="12" t="str">
        <x:v>DP5-B</x:v>
      </x:c>
      <x:c r="B132" s="12" t="str">
        <x:v>U07</x:v>
      </x:c>
      <x:c r="C132" s="12" t="str">
        <x:v>{"action":"explain","conditions":{"keep_existing_tasks":true},"request_relation":"independent","targets":["D2"]}</x:v>
      </x:c>
      <x:c r="D132" s="19" t="str"/>
      <x:c r="E132" s="12" t="str">
        <x:f>IF(D132="","",IF(EXACT(C132,D132),1,0))</x:f>
      </x:c>
    </x:row>
    <x:row r="133" ht="82" customHeight="1">
      <x:c r="A133" s="7" t="str">
        <x:v>DP5-B</x:v>
      </x:c>
      <x:c r="B133" s="7" t="str">
        <x:v>U08</x:v>
      </x:c>
      <x:c r="C133" s="7" t="str">
        <x:v>{"action":"revise","conditions":{"scope":"cost_only","use_current_read":true},"request_relation":"revise_T1","targets":["D1"]}</x:v>
      </x:c>
      <x:c r="D133" s="19" t="str"/>
      <x:c r="E133" s="7" t="str">
        <x:f>IF(D133="","",IF(EXACT(C133,D133),1,0))</x:f>
      </x:c>
    </x:row>
    <x:row r="134" ht="82" customHeight="1">
      <x:c r="A134" s="12" t="str">
        <x:v>DP5-B</x:v>
      </x:c>
      <x:c r="B134" s="12" t="str">
        <x:v>U09</x:v>
      </x:c>
      <x:c r="C134" s="12" t="str">
        <x:v>{"action":"compare","conditions":{},"request_relation":"new","targets":["Q1@v1","Q2@v1"]}</x:v>
      </x:c>
      <x:c r="D134" s="19" t="str"/>
      <x:c r="E134" s="12" t="str">
        <x:f>IF(D134="","",IF(EXACT(C134,D134),1,0))</x:f>
      </x:c>
    </x:row>
    <x:row r="135" ht="82" customHeight="1">
      <x:c r="A135" s="7" t="str">
        <x:v>DP5-B</x:v>
      </x:c>
      <x:c r="B135" s="7" t="str">
        <x:v>U10</x:v>
      </x:c>
      <x:c r="C135" s="7" t="str">
        <x:v>{"action":"compare","conditions":{"exclude_outside_circle":true},"request_relation":"new","targets":["Q1","Q2"]}</x:v>
      </x:c>
      <x:c r="D135" s="19" t="str"/>
      <x:c r="E135" s="7" t="str">
        <x:f>IF(D135="","",IF(EXACT(C135,D135),1,0))</x:f>
      </x:c>
    </x:row>
    <x:row r="136" ht="82" customHeight="1">
      <x:c r="A136" s="12" t="str">
        <x:v>DP5-B</x:v>
      </x:c>
      <x:c r="B136" s="12" t="str">
        <x:v>U11</x:v>
      </x:c>
      <x:c r="C136" s="12" t="str">
        <x:v>{"action":"compare","conditions":{"use_two_pointing_times":true},"request_relation":"new","targets":["Q1","Q2"]}</x:v>
      </x:c>
      <x:c r="D136" s="19" t="str"/>
      <x:c r="E136" s="12" t="str">
        <x:f>IF(D136="","",IF(EXACT(C136,D136),1,0))</x:f>
      </x:c>
    </x:row>
    <x:row r="137" ht="82" customHeight="1">
      <x:c r="A137" s="7" t="str">
        <x:v>DP5-B</x:v>
      </x:c>
      <x:c r="B137" s="7" t="str">
        <x:v>U12</x:v>
      </x:c>
      <x:c r="C137" s="7" t="str">
        <x:v>{"action":"compare","conditions":{"scope":"delivery_date_only"},"request_relation":"follow_up","targets":["Q1","Q2"]}</x:v>
      </x:c>
      <x:c r="D137" s="19" t="str"/>
      <x:c r="E137" s="7" t="str">
        <x:f>IF(D137="","",IF(EXACT(C137,D137),1,0))</x:f>
      </x:c>
    </x:row>
    <x:row r="138" ht="82" customHeight="1">
      <x:c r="A138" s="12" t="str">
        <x:v>DP5-B</x:v>
      </x:c>
      <x:c r="B138" s="12" t="str">
        <x:v>U13</x:v>
      </x:c>
      <x:c r="C138" s="12" t="str">
        <x:v>{"action":"delegate_presentation","conditions":{"author_of":"D2"},"request_relation":"new","targets":["P"]}</x:v>
      </x:c>
      <x:c r="D138" s="19" t="str"/>
      <x:c r="E138" s="12" t="str">
        <x:f>IF(D138="","",IF(EXACT(C138,D138),1,0))</x:f>
      </x:c>
    </x:row>
    <x:row r="139" ht="82" customHeight="1">
      <x:c r="A139" s="7" t="str">
        <x:v>DP5-B</x:v>
      </x:c>
      <x:c r="B139" s="7" t="str">
        <x:v>U14</x:v>
      </x:c>
      <x:c r="C139" s="7" t="str">
        <x:v>{"action":"organize_research","conditions":{"audience":"external_customer","format_source":"D2"},"request_relation":"new","targets":["current_research"]}</x:v>
      </x:c>
      <x:c r="D139" s="19" t="str"/>
      <x:c r="E139" s="7" t="str">
        <x:f>IF(D139="","",IF(EXACT(C139,D139),1,0))</x:f>
      </x:c>
    </x:row>
    <x:row r="140" ht="82" customHeight="1">
      <x:c r="A140" s="12" t="str">
        <x:v>DP5-B</x:v>
      </x:c>
      <x:c r="B140" s="12" t="str">
        <x:v>U15</x:v>
      </x:c>
      <x:c r="C140" s="12" t="str">
        <x:v>{"action":"apply_format","conditions":{"format_source":"D2","reuse_confirmed_fact":true},"request_relation":"new","targets":["current_material"]}</x:v>
      </x:c>
      <x:c r="D140" s="19" t="str"/>
      <x:c r="E140" s="12" t="str">
        <x:f>IF(D140="","",IF(EXACT(C140,D140),1,0))</x:f>
      </x:c>
    </x:row>
    <x:row r="141" ht="82" customHeight="1">
      <x:c r="A141" s="7" t="str">
        <x:v>DP5-B</x:v>
      </x:c>
      <x:c r="B141" s="7" t="str">
        <x:v>U16</x:v>
      </x:c>
      <x:c r="C141" s="7" t="str">
        <x:v>{"action":"revise","conditions":{"apply_D2_preference":false,"audience":"internal_meeting","feedback":"latest_F1"},"request_relation":"revise_T1","targets":["T1"]}</x:v>
      </x:c>
      <x:c r="D141" s="19" t="str"/>
      <x:c r="E141" s="7" t="str">
        <x:f>IF(D141="","",IF(EXACT(C141,D141),1,0))</x:f>
      </x:c>
    </x:row>
    <x:row r="142" ht="82" customHeight="1">
      <x:c r="A142" s="12" t="str">
        <x:v>DP5-B</x:v>
      </x:c>
      <x:c r="B142" s="12" t="str">
        <x:v>U17</x:v>
      </x:c>
      <x:c r="C142" s="12" t="str">
        <x:v>{"action":"read","conditions":{"priority":"first"},"request_relation":"new_delivery","targets":["Q1"]}</x:v>
      </x:c>
      <x:c r="D142" s="19" t="str"/>
      <x:c r="E142" s="12" t="str">
        <x:f>IF(D142="","",IF(EXACT(C142,D142),1,0))</x:f>
      </x:c>
    </x:row>
    <x:row r="143" ht="82" customHeight="1">
      <x:c r="A143" s="7" t="str">
        <x:v>DP5-B</x:v>
      </x:c>
      <x:c r="B143" s="7" t="str">
        <x:v>U18</x:v>
      </x:c>
      <x:c r="C143" s="7" t="str">
        <x:v>{"action":"read","conditions":{"cancel_report_task":false,"withdraw_audio":"R1"},"request_relation":"new_delivery","targets":["Q1"]}</x:v>
      </x:c>
      <x:c r="D143" s="19" t="str"/>
      <x:c r="E143" s="7" t="str">
        <x:f>IF(D143="","",IF(EXACT(C143,D143),1,0))</x:f>
      </x:c>
    </x:row>
    <x:row r="144" ht="82" customHeight="1">
      <x:c r="A144" s="12" t="str">
        <x:v>DP5-B</x:v>
      </x:c>
      <x:c r="B144" s="12" t="str">
        <x:v>U19</x:v>
      </x:c>
      <x:c r="C144" s="12" t="str">
        <x:v>{"action":"read_then_resume","conditions":{"order":["Q1","R0"],"reuse_valid_audio":true},"request_relation":"new_delivery","targets":["Q1","R0"]}</x:v>
      </x:c>
      <x:c r="D144" s="19" t="str"/>
      <x:c r="E144" s="12" t="str">
        <x:f>IF(D144="","",IF(EXACT(C144,D144),1,0))</x:f>
      </x:c>
    </x:row>
    <x:row r="145" ht="82" customHeight="1">
      <x:c r="A145" s="7" t="str">
        <x:v>DP5-B</x:v>
      </x:c>
      <x:c r="B145" s="7" t="str">
        <x:v>U20</x:v>
      </x:c>
      <x:c r="C145" s="7" t="str">
        <x:v>{"action":"resume","conditions":{"from_actual_stop":true},"request_relation":"new_delivery","targets":["R0"]}</x:v>
      </x:c>
      <x:c r="D145" s="19" t="str"/>
      <x:c r="E145" s="7" t="str">
        <x:f>IF(D145="","",IF(EXACT(C145,D145),1,0))</x:f>
      </x:c>
    </x:row>
    <x:row r="146" ht="82" customHeight="1">
      <x:c r="A146" s="12" t="str">
        <x:v>DP5-B</x:v>
      </x:c>
      <x:c r="B146" s="12" t="str">
        <x:v>U21</x:v>
      </x:c>
      <x:c r="C146" s="12" t="str">
        <x:v>{"action":"compare","conditions":{"format_source":"D2","keep_task":"T1"},"request_relation":"independent","targets":["Q1","Q2"]}</x:v>
      </x:c>
      <x:c r="D146" s="19" t="str"/>
      <x:c r="E146" s="12" t="str">
        <x:f>IF(D146="","",IF(EXACT(C146,D146),1,0))</x:f>
      </x:c>
    </x:row>
    <x:row r="147" ht="82" customHeight="1">
      <x:c r="A147" s="7" t="str">
        <x:v>DP5-B</x:v>
      </x:c>
      <x:c r="B147" s="7" t="str">
        <x:v>U22</x:v>
      </x:c>
      <x:c r="C147" s="7" t="str">
        <x:v>{"action":"compare_and_read","conditions":{"read_first":"calendar_question"},"request_relation":"new","targets":["Q1","Q2","calendar_question"]}</x:v>
      </x:c>
      <x:c r="D147" s="19" t="str"/>
      <x:c r="E147" s="7" t="str">
        <x:f>IF(D147="","",IF(EXACT(C147,D147),1,0))</x:f>
      </x:c>
    </x:row>
    <x:row r="148" ht="82" customHeight="1">
      <x:c r="A148" s="12" t="str">
        <x:v>DP5-B</x:v>
      </x:c>
      <x:c r="B148" s="12" t="str">
        <x:v>U23</x:v>
      </x:c>
      <x:c r="C148" s="12" t="str">
        <x:v>{"action":"create_and_read","conditions":{"format_source":"D2","read_first":"mail_question"},"request_relation":"new","targets":["mail_question","new_material"]}</x:v>
      </x:c>
      <x:c r="D148" s="19" t="str"/>
      <x:c r="E148" s="12" t="str">
        <x:f>IF(D148="","",IF(EXACT(C148,D148),1,0))</x:f>
      </x:c>
    </x:row>
    <x:row r="149" ht="82" customHeight="1">
      <x:c r="A149" s="7" t="str">
        <x:v>DP5-B</x:v>
      </x:c>
      <x:c r="B149" s="7" t="str">
        <x:v>U24</x:v>
      </x:c>
      <x:c r="C149" s="7" t="str">
        <x:v>{"action":"compare","conditions":{"feedback":"latest_F1","use_two_pointing_times":true},"request_relation":"revise_T1","targets":["Q1","Q2"]}</x:v>
      </x:c>
      <x:c r="D149" s="19" t="str"/>
      <x:c r="E149" s="7" t="str">
        <x:f>IF(D149="","",IF(EXACT(C149,D149),1,0))</x:f>
      </x:c>
    </x:row>
    <x:row r="150" ht="82" customHeight="1">
      <x:c r="A150" s="12" t="str">
        <x:v>DP44-B</x:v>
      </x:c>
      <x:c r="B150" s="12" t="str">
        <x:v>U01</x:v>
      </x:c>
      <x:c r="C150" s="12" t="str">
        <x:v>{"action":"explain","conditions":{"length":"brief"},"request_relation":"new","targets":["TCP","UDP"]}</x:v>
      </x:c>
      <x:c r="D150" s="19" t="str"/>
      <x:c r="E150" s="12" t="str">
        <x:f>IF(D150="","",IF(EXACT(C150,D150),1,0))</x:f>
      </x:c>
    </x:row>
    <x:row r="151" ht="82" customHeight="1">
      <x:c r="A151" s="7" t="str">
        <x:v>DP44-B</x:v>
      </x:c>
      <x:c r="B151" s="7" t="str">
        <x:v>U02</x:v>
      </x:c>
      <x:c r="C151" s="7" t="str">
        <x:v>{"action":"summarize","conditions":{"length":"one_sentence"},"request_relation":"follow_up","targets":["R1"]}</x:v>
      </x:c>
      <x:c r="D151" s="19" t="str"/>
      <x:c r="E151" s="7" t="str">
        <x:f>IF(D151="","",IF(EXACT(C151,D151),1,0))</x:f>
      </x:c>
    </x:row>
    <x:row r="152" ht="82" customHeight="1">
      <x:c r="A152" s="12" t="str">
        <x:v>DP44-B</x:v>
      </x:c>
      <x:c r="B152" s="12" t="str">
        <x:v>U03</x:v>
      </x:c>
      <x:c r="C152" s="12" t="str">
        <x:v>{"action":"explain","conditions":{"section":"conclusion"},"request_relation":"new","targets":["D1@v1"]}</x:v>
      </x:c>
      <x:c r="D152" s="19" t="str"/>
      <x:c r="E152" s="12" t="str">
        <x:f>IF(D152="","",IF(EXACT(C152,D152),1,0))</x:f>
      </x:c>
    </x:row>
    <x:row r="153" ht="82" customHeight="1">
      <x:c r="A153" s="7" t="str">
        <x:v>DP44-B</x:v>
      </x:c>
      <x:c r="B153" s="7" t="str">
        <x:v>U04</x:v>
      </x:c>
      <x:c r="C153" s="7" t="str">
        <x:v>{"action":"explain","conditions":{"keep_task":"T1"},"request_relation":"independent","targets":["TCP"]}</x:v>
      </x:c>
      <x:c r="D153" s="19" t="str"/>
      <x:c r="E153" s="7" t="str">
        <x:f>IF(D153="","",IF(EXACT(C153,D153),1,0))</x:f>
      </x:c>
    </x:row>
    <x:row r="154" ht="82" customHeight="1">
      <x:c r="A154" s="12" t="str">
        <x:v>DP44-B</x:v>
      </x:c>
      <x:c r="B154" s="12" t="str">
        <x:v>U05</x:v>
      </x:c>
      <x:c r="C154" s="12" t="str">
        <x:v>{"action":"explain","conditions":{"keep_comparison":"D1"},"request_relation":"independent","targets":["TCP","UDP"]}</x:v>
      </x:c>
      <x:c r="D154" s="19" t="str"/>
      <x:c r="E154" s="12" t="str">
        <x:f>IF(D154="","",IF(EXACT(C154,D154),1,0))</x:f>
      </x:c>
    </x:row>
    <x:row r="155" ht="82" customHeight="1">
      <x:c r="A155" s="7" t="str">
        <x:v>DP44-B</x:v>
      </x:c>
      <x:c r="B155" s="7" t="str">
        <x:v>U06</x:v>
      </x:c>
      <x:c r="C155" s="7" t="str">
        <x:v>{"action":"explain","conditions":{"keep_analysis":"D1","section":"conclusion"},"request_relation":"independent","targets":["D2"]}</x:v>
      </x:c>
      <x:c r="D155" s="19" t="str"/>
      <x:c r="E155" s="7" t="str">
        <x:f>IF(D155="","",IF(EXACT(C155,D155),1,0))</x:f>
      </x:c>
    </x:row>
    <x:row r="156" ht="82" customHeight="1">
      <x:c r="A156" s="12" t="str">
        <x:v>DP44-B</x:v>
      </x:c>
      <x:c r="B156" s="12" t="str">
        <x:v>U07</x:v>
      </x:c>
      <x:c r="C156" s="12" t="str">
        <x:v>{"action":"explain","conditions":{"keep_existing_tasks":true},"request_relation":"independent","targets":["D2"]}</x:v>
      </x:c>
      <x:c r="D156" s="19" t="str"/>
      <x:c r="E156" s="12" t="str">
        <x:f>IF(D156="","",IF(EXACT(C156,D156),1,0))</x:f>
      </x:c>
    </x:row>
    <x:row r="157" ht="82" customHeight="1">
      <x:c r="A157" s="7" t="str">
        <x:v>DP44-B</x:v>
      </x:c>
      <x:c r="B157" s="7" t="str">
        <x:v>U08</x:v>
      </x:c>
      <x:c r="C157" s="7" t="str">
        <x:v>{"action":"revise","conditions":{"scope":"cost_only","use_current_read":true},"request_relation":"revise_T1","targets":["D1"]}</x:v>
      </x:c>
      <x:c r="D157" s="19" t="str"/>
      <x:c r="E157" s="7" t="str">
        <x:f>IF(D157="","",IF(EXACT(C157,D157),1,0))</x:f>
      </x:c>
    </x:row>
    <x:row r="158" ht="82" customHeight="1">
      <x:c r="A158" s="12" t="str">
        <x:v>DP44-B</x:v>
      </x:c>
      <x:c r="B158" s="12" t="str">
        <x:v>U09</x:v>
      </x:c>
      <x:c r="C158" s="12" t="str">
        <x:v>{"action":"compare","conditions":{},"request_relation":"new","targets":["Q1@v1","Q2@v1"]}</x:v>
      </x:c>
      <x:c r="D158" s="19" t="str"/>
      <x:c r="E158" s="12" t="str">
        <x:f>IF(D158="","",IF(EXACT(C158,D158),1,0))</x:f>
      </x:c>
    </x:row>
    <x:row r="159" ht="82" customHeight="1">
      <x:c r="A159" s="7" t="str">
        <x:v>DP44-B</x:v>
      </x:c>
      <x:c r="B159" s="7" t="str">
        <x:v>U10</x:v>
      </x:c>
      <x:c r="C159" s="7" t="str">
        <x:v>{"action":"compare","conditions":{"exclude_outside_circle":true},"request_relation":"new","targets":["Q1","Q2"]}</x:v>
      </x:c>
      <x:c r="D159" s="19" t="str"/>
      <x:c r="E159" s="7" t="str">
        <x:f>IF(D159="","",IF(EXACT(C159,D159),1,0))</x:f>
      </x:c>
    </x:row>
    <x:row r="160" ht="82" customHeight="1">
      <x:c r="A160" s="12" t="str">
        <x:v>DP44-B</x:v>
      </x:c>
      <x:c r="B160" s="12" t="str">
        <x:v>U11</x:v>
      </x:c>
      <x:c r="C160" s="12" t="str">
        <x:v>{"action":"compare","conditions":{"use_two_pointing_times":true},"request_relation":"new","targets":["Q1","Q2"]}</x:v>
      </x:c>
      <x:c r="D160" s="19" t="str"/>
      <x:c r="E160" s="12" t="str">
        <x:f>IF(D160="","",IF(EXACT(C160,D160),1,0))</x:f>
      </x:c>
    </x:row>
    <x:row r="161" ht="82" customHeight="1">
      <x:c r="A161" s="7" t="str">
        <x:v>DP44-B</x:v>
      </x:c>
      <x:c r="B161" s="7" t="str">
        <x:v>U12</x:v>
      </x:c>
      <x:c r="C161" s="7" t="str">
        <x:v>{"action":"compare","conditions":{"scope":"delivery_date_only"},"request_relation":"follow_up","targets":["Q1","Q2"]}</x:v>
      </x:c>
      <x:c r="D161" s="19" t="str"/>
      <x:c r="E161" s="7" t="str">
        <x:f>IF(D161="","",IF(EXACT(C161,D161),1,0))</x:f>
      </x:c>
    </x:row>
    <x:row r="162" ht="82" customHeight="1">
      <x:c r="A162" s="12" t="str">
        <x:v>DP44-B</x:v>
      </x:c>
      <x:c r="B162" s="12" t="str">
        <x:v>U13</x:v>
      </x:c>
      <x:c r="C162" s="12" t="str">
        <x:v>{"action":"delegate_presentation","conditions":{"author_of":"D2"},"request_relation":"new","targets":["P"]}</x:v>
      </x:c>
      <x:c r="D162" s="19" t="str"/>
      <x:c r="E162" s="12" t="str">
        <x:f>IF(D162="","",IF(EXACT(C162,D162),1,0))</x:f>
      </x:c>
    </x:row>
    <x:row r="163" ht="82" customHeight="1">
      <x:c r="A163" s="7" t="str">
        <x:v>DP44-B</x:v>
      </x:c>
      <x:c r="B163" s="7" t="str">
        <x:v>U14</x:v>
      </x:c>
      <x:c r="C163" s="7" t="str">
        <x:v>{"action":"organize_research","conditions":{"audience":"external_customer","format_source":"D2"},"request_relation":"new","targets":["current_research"]}</x:v>
      </x:c>
      <x:c r="D163" s="19" t="str"/>
      <x:c r="E163" s="7" t="str">
        <x:f>IF(D163="","",IF(EXACT(C163,D163),1,0))</x:f>
      </x:c>
    </x:row>
    <x:row r="164" ht="82" customHeight="1">
      <x:c r="A164" s="12" t="str">
        <x:v>DP44-B</x:v>
      </x:c>
      <x:c r="B164" s="12" t="str">
        <x:v>U15</x:v>
      </x:c>
      <x:c r="C164" s="12" t="str">
        <x:v>{"action":"apply_format","conditions":{"format_source":"D2","reuse_confirmed_fact":true},"request_relation":"new","targets":["current_material"]}</x:v>
      </x:c>
      <x:c r="D164" s="19" t="str"/>
      <x:c r="E164" s="12" t="str">
        <x:f>IF(D164="","",IF(EXACT(C164,D164),1,0))</x:f>
      </x:c>
    </x:row>
    <x:row r="165" ht="82" customHeight="1">
      <x:c r="A165" s="7" t="str">
        <x:v>DP44-B</x:v>
      </x:c>
      <x:c r="B165" s="7" t="str">
        <x:v>U16</x:v>
      </x:c>
      <x:c r="C165" s="7" t="str">
        <x:v>{"action":"revise","conditions":{"apply_D2_preference":false,"audience":"internal_meeting","feedback":"latest_F1"},"request_relation":"revise_T1","targets":["T1"]}</x:v>
      </x:c>
      <x:c r="D165" s="19" t="str"/>
      <x:c r="E165" s="7" t="str">
        <x:f>IF(D165="","",IF(EXACT(C165,D165),1,0))</x:f>
      </x:c>
    </x:row>
    <x:row r="166" ht="82" customHeight="1">
      <x:c r="A166" s="12" t="str">
        <x:v>DP44-B</x:v>
      </x:c>
      <x:c r="B166" s="12" t="str">
        <x:v>U17</x:v>
      </x:c>
      <x:c r="C166" s="12" t="str">
        <x:v>{"action":"read","conditions":{"priority":"first"},"request_relation":"new_delivery","targets":["Q1"]}</x:v>
      </x:c>
      <x:c r="D166" s="19" t="str"/>
      <x:c r="E166" s="12" t="str">
        <x:f>IF(D166="","",IF(EXACT(C166,D166),1,0))</x:f>
      </x:c>
    </x:row>
    <x:row r="167" ht="82" customHeight="1">
      <x:c r="A167" s="7" t="str">
        <x:v>DP44-B</x:v>
      </x:c>
      <x:c r="B167" s="7" t="str">
        <x:v>U18</x:v>
      </x:c>
      <x:c r="C167" s="7" t="str">
        <x:v>{"action":"read","conditions":{"cancel_report_task":false,"withdraw_audio":"R1"},"request_relation":"new_delivery","targets":["Q1"]}</x:v>
      </x:c>
      <x:c r="D167" s="19" t="str"/>
      <x:c r="E167" s="7" t="str">
        <x:f>IF(D167="","",IF(EXACT(C167,D167),1,0))</x:f>
      </x:c>
    </x:row>
    <x:row r="168" ht="82" customHeight="1">
      <x:c r="A168" s="12" t="str">
        <x:v>DP44-B</x:v>
      </x:c>
      <x:c r="B168" s="12" t="str">
        <x:v>U19</x:v>
      </x:c>
      <x:c r="C168" s="12" t="str">
        <x:v>{"action":"read_then_resume","conditions":{"order":["Q1","R0"],"reuse_valid_audio":true},"request_relation":"new_delivery","targets":["Q1","R0"]}</x:v>
      </x:c>
      <x:c r="D168" s="19" t="str"/>
      <x:c r="E168" s="12" t="str">
        <x:f>IF(D168="","",IF(EXACT(C168,D168),1,0))</x:f>
      </x:c>
    </x:row>
    <x:row r="169" ht="82" customHeight="1">
      <x:c r="A169" s="7" t="str">
        <x:v>DP44-B</x:v>
      </x:c>
      <x:c r="B169" s="7" t="str">
        <x:v>U20</x:v>
      </x:c>
      <x:c r="C169" s="7" t="str">
        <x:v>{"action":"resume","conditions":{"from_actual_stop":true},"request_relation":"new_delivery","targets":["R0"]}</x:v>
      </x:c>
      <x:c r="D169" s="19" t="str"/>
      <x:c r="E169" s="7" t="str">
        <x:f>IF(D169="","",IF(EXACT(C169,D169),1,0))</x:f>
      </x:c>
    </x:row>
    <x:row r="170" ht="82" customHeight="1">
      <x:c r="A170" s="12" t="str">
        <x:v>DP44-B</x:v>
      </x:c>
      <x:c r="B170" s="12" t="str">
        <x:v>U21</x:v>
      </x:c>
      <x:c r="C170" s="12" t="str">
        <x:v>{"action":"compare","conditions":{"format_source":"D2","keep_task":"T1"},"request_relation":"independent","targets":["Q1","Q2"]}</x:v>
      </x:c>
      <x:c r="D170" s="19" t="str"/>
      <x:c r="E170" s="12" t="str">
        <x:f>IF(D170="","",IF(EXACT(C170,D170),1,0))</x:f>
      </x:c>
    </x:row>
    <x:row r="171" ht="82" customHeight="1">
      <x:c r="A171" s="7" t="str">
        <x:v>DP44-B</x:v>
      </x:c>
      <x:c r="B171" s="7" t="str">
        <x:v>U22</x:v>
      </x:c>
      <x:c r="C171" s="7" t="str">
        <x:v>{"action":"compare_and_read","conditions":{"read_first":"calendar_question"},"request_relation":"new","targets":["Q1","Q2","calendar_question"]}</x:v>
      </x:c>
      <x:c r="D171" s="19" t="str"/>
      <x:c r="E171" s="7" t="str">
        <x:f>IF(D171="","",IF(EXACT(C171,D171),1,0))</x:f>
      </x:c>
    </x:row>
    <x:row r="172" ht="82" customHeight="1">
      <x:c r="A172" s="12" t="str">
        <x:v>DP44-B</x:v>
      </x:c>
      <x:c r="B172" s="12" t="str">
        <x:v>U23</x:v>
      </x:c>
      <x:c r="C172" s="12" t="str">
        <x:v>{"action":"create_and_read","conditions":{"format_source":"D2","read_first":"mail_question"},"request_relation":"new","targets":["mail_question","new_material"]}</x:v>
      </x:c>
      <x:c r="D172" s="19" t="str"/>
      <x:c r="E172" s="12" t="str">
        <x:f>IF(D172="","",IF(EXACT(C172,D172),1,0))</x:f>
      </x:c>
    </x:row>
    <x:row r="173" ht="82" customHeight="1">
      <x:c r="A173" s="7" t="str">
        <x:v>DP44-B</x:v>
      </x:c>
      <x:c r="B173" s="7" t="str">
        <x:v>U24</x:v>
      </x:c>
      <x:c r="C173" s="7" t="str">
        <x:v>{"action":"compare","conditions":{"feedback":"latest_F1","use_two_pointing_times":true},"request_relation":"revise_T1","targets":["Q1","Q2"]}</x:v>
      </x:c>
      <x:c r="D173" s="19" t="str"/>
      <x:c r="E173" s="7" t="str">
        <x:f>IF(D173="","",IF(EXACT(C173,D173),1,0))</x:f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" hidden="0" customWidth="1"/>
    <x:col min="2" max="2" width="15" hidden="0" customWidth="1"/>
    <x:col min="3" max="3" width="12" hidden="0" customWidth="1"/>
    <x:col min="4" max="4" width="56" hidden="0" customWidth="1"/>
    <x:col min="5" max="5" width="70" hidden="0" customWidth="1"/>
    <x:col min="6" max="6" width="26" hidden="0" customWidth="1"/>
    <x:col min="7" max="7" width="10" hidden="0" customWidth="1"/>
  </x:cols>
  <x:sheetData>
    <x:row r="1" ht="38" customHeight="1">
      <x:c r="A1" s="6" t="str">
        <x:v>모든 구성에 동일하게 주는 24개 입력</x:v>
      </x:c>
      <x:c r="B1" s="6"/>
      <x:c r="C1" s="6"/>
      <x:c r="D1" s="6"/>
      <x:c r="E1" s="6"/>
      <x:c r="F1" s="6"/>
      <x:c r="G1" s="6"/>
    </x:row>
    <x:row r="2" ht="23" customHeight="1">
      <x:c r="A2" s="8" t="str">
        <x:v>각 사례 1회인 구조 커버리지 묶음. 실사용 빈도 표본이나 통계 반복이 아니다. 원본 화면/WAV와 실제 후보 adapter는 후속 실행 때 준비해야 한다.</x:v>
      </x:c>
      <x:c r="B2" s="8"/>
      <x:c r="C2" s="8"/>
      <x:c r="D2" s="8"/>
      <x:c r="E2" s="8"/>
      <x:c r="F2" s="8"/>
      <x:c r="G2" s="8"/>
    </x:row>
    <x:row r="3" ht="23" customHeight="1">
      <x:c r="A3" s="8"/>
      <x:c r="B3" s="8"/>
      <x:c r="C3" s="8"/>
      <x:c r="D3" s="8"/>
      <x:c r="E3" s="8"/>
      <x:c r="F3" s="8"/>
      <x:c r="G3" s="8"/>
    </x:row>
    <x:row r="4">
      <x:c r="A4" s="3"/>
      <x:c r="B4" s="3"/>
      <x:c r="C4" s="3"/>
      <x:c r="D4" s="3"/>
      <x:c r="E4" s="3"/>
      <x:c r="F4" s="3"/>
      <x:c r="G4" s="3"/>
    </x:row>
    <x:row r="5" ht="38" customHeight="1">
      <x:c r="A5" s="11" t="str">
        <x:v>사례</x:v>
      </x:c>
      <x:c r="B5" s="11" t="str">
        <x:v>그룹</x:v>
      </x:c>
      <x:c r="C5" s="11" t="str">
        <x:v>입력 방식</x:v>
      </x:c>
      <x:c r="D5" s="11" t="str">
        <x:v>사용자 입력</x:v>
      </x:c>
      <x:c r="E5" s="11" t="str">
        <x:v>공통 초기 사실 / 고정 사건 시각</x:v>
      </x:c>
      <x:c r="F5" s="11" t="str">
        <x:v>기존 사례 출처</x:v>
      </x:c>
      <x:c r="G5" s="11" t="str">
        <x:v>지칭 수</x:v>
      </x:c>
    </x:row>
    <x:row r="6" ht="85" customHeight="1">
      <x:c r="A6" s="12" t="str">
        <x:v>U01</x:v>
      </x:c>
      <x:c r="B6" s="12" t="str">
        <x:v>일반 입력</x:v>
      </x:c>
      <x:c r="C6" s="12" t="str">
        <x:v>text</x:v>
      </x:c>
      <x:c r="D6" s="12" t="str">
        <x:v>TCP와 UDP의 차이를 간단히 설명해줘.</x:v>
      </x:c>
      <x:c r="E6" s="12" t="str">
        <x:v>활성 작업 없음. Voice ON.</x:v>
      </x:c>
      <x:c r="F6" s="12" t="str">
        <x:v>T-F12</x:v>
      </x:c>
      <x:c r="G6" s="12" t="n">
        <x:v>0</x:v>
      </x:c>
    </x:row>
    <x:row r="7" ht="85" customHeight="1">
      <x:c r="A7" s="7" t="str">
        <x:v>U02</x:v>
      </x:c>
      <x:c r="B7" s="7" t="str">
        <x:v>일반 입력</x:v>
      </x:c>
      <x:c r="C7" s="7" t="str">
        <x:v>voice</x:v>
      </x:c>
      <x:c r="D7" s="7" t="str">
        <x:v>방금 네 설명의 결론만 한 문장으로 말해줘.</x:v>
      </x:c>
      <x:c r="E7" s="7" t="str">
        <x:v>직전 표시와 실제 전달 기록: 설명 R1은 TCP/UDP 차이.</x:v>
      </x:c>
      <x:c r="F7" s="7" t="str">
        <x:v>DP2-S1</x:v>
      </x:c>
      <x:c r="G7" s="7" t="n">
        <x:v>1</x:v>
      </x:c>
    </x:row>
    <x:row r="8" ht="85" customHeight="1">
      <x:c r="A8" s="12" t="str">
        <x:v>U03</x:v>
      </x:c>
      <x:c r="B8" s="12" t="str">
        <x:v>일반 입력</x:v>
      </x:c>
      <x:c r="C8" s="12" t="str">
        <x:v>text</x:v>
      </x:c>
      <x:c r="D8" s="12" t="str">
        <x:v>자료 D1의 결론을 설명해줘.</x:v>
      </x:c>
      <x:c r="E8" s="12" t="str">
        <x:v>D1@v1: 공통 허용 원본. 파일 ID가 명시됨.</x:v>
      </x:c>
      <x:c r="F8" s="12" t="str">
        <x:v>T-F01</x:v>
      </x:c>
      <x:c r="G8" s="12" t="n">
        <x:v>1</x:v>
      </x:c>
    </x:row>
    <x:row r="9" ht="85" customHeight="1">
      <x:c r="A9" s="7" t="str">
        <x:v>U04</x:v>
      </x:c>
      <x:c r="B9" s="7" t="str">
        <x:v>일반 입력</x:v>
      </x:c>
      <x:c r="C9" s="7" t="str">
        <x:v>voice</x:v>
      </x:c>
      <x:c r="D9" s="7" t="str">
        <x:v>조사는 계속하고 TCP의 특징을 알려줘.</x:v>
      </x:c>
      <x:c r="E9" s="7" t="str">
        <x:v>Research Task T1은 외부 Agent 결과 대기. VIA 모델 슬롯은 점유하지 않음.</x:v>
      </x:c>
      <x:c r="F9" s="7" t="str">
        <x:v>DP2-S6</x:v>
      </x:c>
      <x:c r="G9" s="7" t="n">
        <x:v>1</x:v>
      </x:c>
    </x:row>
    <x:row r="10" ht="85" customHeight="1">
      <x:c r="A10" s="12" t="str">
        <x:v>U05</x:v>
      </x:c>
      <x:c r="B10" s="12" t="str">
        <x:v>입력 겹침</x:v>
      </x:c>
      <x:c r="C10" s="12" t="str">
        <x:v>voice</x:v>
      </x:c>
      <x:c r="D10" s="12" t="str">
        <x:v>D1 비교는 계속하고 TCP와 UDP 차이도 알려줘.</x:v>
      </x:c>
      <x:c r="E10" s="12" t="str">
        <x:v>D1 비교의 모델 step이 -1초 시작. 현재 대화의 step이며 원래 목표는 계속 유지.</x:v>
      </x:c>
      <x:c r="F10" s="12" t="str">
        <x:v>DP2-S2</x:v>
      </x:c>
      <x:c r="G10" s="12" t="n">
        <x:v>1</x:v>
      </x:c>
    </x:row>
    <x:row r="11" ht="85" customHeight="1">
      <x:c r="A11" s="7" t="str">
        <x:v>U06</x:v>
      </x:c>
      <x:c r="B11" s="7" t="str">
        <x:v>입력 겹침</x:v>
      </x:c>
      <x:c r="C11" s="7" t="str">
        <x:v>text</x:v>
      </x:c>
      <x:c r="D11" s="7" t="str">
        <x:v>D1 분석은 유지하고 D2의 결론도 설명해줘.</x:v>
      </x:c>
      <x:c r="E11" s="7" t="str">
        <x:v>D1 모델 step이 -1초 시작. D2는 별도 허용 원본.</x:v>
      </x:c>
      <x:c r="F11" s="7" t="str">
        <x:v>DP2-S3</x:v>
      </x:c>
      <x:c r="G11" s="7" t="n">
        <x:v>2</x:v>
      </x:c>
    </x:row>
    <x:row r="12" ht="85" customHeight="1">
      <x:c r="A12" s="12" t="str">
        <x:v>U07</x:v>
      </x:c>
      <x:c r="B12" s="12" t="str">
        <x:v>입력 겹침</x:v>
      </x:c>
      <x:c r="C12" s="12" t="str">
        <x:v>voice</x:v>
      </x:c>
      <x:c r="D12" s="12" t="str">
        <x:v>진행 중인 일은 유지하고 D2의 핵심도 알려줘.</x:v>
      </x:c>
      <x:c r="E12" s="12" t="str">
        <x:v>현재 대화 step과 다른 대화 step이 -1초부터 공통 두 모델 슬롯을 점유.</x:v>
      </x:c>
      <x:c r="F12" s="12" t="str">
        <x:v>DP2-S5</x:v>
      </x:c>
      <x:c r="G12" s="12" t="n">
        <x:v>1</x:v>
      </x:c>
    </x:row>
    <x:row r="13" ht="85" customHeight="1">
      <x:c r="A13" s="7" t="str">
        <x:v>U08</x:v>
      </x:c>
      <x:c r="B13" s="7" t="str">
        <x:v>입력 겹침</x:v>
      </x:c>
      <x:c r="C13" s="7" t="str">
        <x:v>text</x:v>
      </x:c>
      <x:c r="D13" s="7" t="str">
        <x:v>방금 읽는 D1에서 확인한 수치를 기준으로 범위를 비용만으로 바꿔줘.</x:v>
      </x:c>
      <x:c r="E13" s="7" t="str">
        <x:v>기존 목표 T1은 -6초 시작. 최초 해석 2초 후 새 입력 대기. -1초 시작한 읽기 결과가 정정 판단에 필수.</x:v>
      </x:c>
      <x:c r="F13" s="7" t="str">
        <x:v>DP2-S4</x:v>
      </x:c>
      <x:c r="G13" s="7" t="n">
        <x:v>1</x:v>
      </x:c>
    </x:row>
    <x:row r="14" ht="85" customHeight="1">
      <x:c r="A14" s="12" t="str">
        <x:v>U09</x:v>
      </x:c>
      <x:c r="B14" s="12" t="str">
        <x:v>화면 지칭</x:v>
      </x:c>
      <x:c r="C14" s="12" t="str">
        <x:v>voice</x:v>
      </x:c>
      <x:c r="D14" s="12" t="str">
        <x:v>선택한 두 견적을 비교해줘.</x:v>
      </x:c>
      <x:c r="E14" s="12" t="str">
        <x:v>Native selection에는 Q1@v1와 Q2@v1이 선택된 사실이 노출됨.</x:v>
      </x:c>
      <x:c r="F14" s="12" t="str">
        <x:v>V-S1</x:v>
      </x:c>
      <x:c r="G14" s="12" t="n">
        <x:v>1</x:v>
      </x:c>
    </x:row>
    <x:row r="15" ht="85" customHeight="1">
      <x:c r="A15" s="7" t="str">
        <x:v>U10</x:v>
      </x:c>
      <x:c r="B15" s="7" t="str">
        <x:v>화면 지칭</x:v>
      </x:c>
      <x:c r="C15" s="7" t="str">
        <x:v>voice</x:v>
      </x:c>
      <x:c r="D15" s="7" t="str">
        <x:v>내가 원으로 표시한 두 카드를 비교해줘.</x:v>
      </x:c>
      <x:c r="E15" s="7" t="str">
        <x:v>처음 보는 화면. 원 궤적 안 카드 Q1/Q2, 바깥 Q3. 원본 좌표와 궤적 명세 제공.</x:v>
      </x:c>
      <x:c r="F15" s="7" t="str">
        <x:v>V-S2</x:v>
      </x:c>
      <x:c r="G15" s="7" t="n">
        <x:v>1</x:v>
      </x:c>
    </x:row>
    <x:row r="16" ht="85" customHeight="1">
      <x:c r="A16" s="12" t="str">
        <x:v>U11</x:v>
      </x:c>
      <x:c r="B16" s="12" t="str">
        <x:v>화면 지칭</x:v>
      </x:c>
      <x:c r="C16" s="12" t="str">
        <x:v>voice</x:v>
      </x:c>
      <x:c r="D16" s="12" t="str">
        <x:v>처음 가리킨 견적과 화면 이동 뒤 가리킨 견적을 비교해줘.</x:v>
      </x:c>
      <x:c r="E16" s="12" t="str">
        <x:v>두 frame의 포인터와 Q1/Q2 이동 기록. UI 후보에 더해 시간 대응 필요. 사전 시각 작업은 없음.</x:v>
      </x:c>
      <x:c r="F16" s="12" t="str">
        <x:v>V-S3</x:v>
      </x:c>
      <x:c r="G16" s="12" t="n">
        <x:v>2</x:v>
      </x:c>
    </x:row>
    <x:row r="17" ht="85" customHeight="1">
      <x:c r="A17" s="7" t="str">
        <x:v>U12</x:v>
      </x:c>
      <x:c r="B17" s="7" t="str">
        <x:v>화면 지칭</x:v>
      </x:c>
      <x:c r="C17" s="7" t="str">
        <x:v>voice</x:v>
      </x:c>
      <x:c r="D17" s="7" t="str">
        <x:v>같은 화면에서 확정한 두 견적의 납기만 비교해줘.</x:v>
      </x:c>
      <x:c r="E17" s="7" t="str">
        <x:v>-12초부터 두 안이 같은 선행 화면을 처리하고 Q1/Q2를 확정한 조건. 현재 원본과 권한은 동일.</x:v>
      </x:c>
      <x:c r="F17" s="7" t="str">
        <x:v>V-S5</x:v>
      </x:c>
      <x:c r="G17" s="7" t="n">
        <x:v>1</x:v>
      </x:c>
    </x:row>
    <x:row r="18" ht="85" customHeight="1">
      <x:c r="A18" s="12" t="str">
        <x:v>U13</x:v>
      </x:c>
      <x:c r="B18" s="12" t="str">
        <x:v>과거 관계</x:v>
      </x:c>
      <x:c r="C18" s="12" t="str">
        <x:v>text</x:v>
      </x:c>
      <x:c r="D18" s="12" t="str">
        <x:v>자료 D2를 작성한 Agent에게 새 발표를 맡겨줘.</x:v>
      </x:c>
      <x:c r="E18" s="12" t="str">
        <x:v>실행 원장: D2@v1의 작성자 P. 명시적 코드 조회만 필요.</x:v>
      </x:c>
      <x:c r="F18" s="12" t="str">
        <x:v>T-F01</x:v>
      </x:c>
      <x:c r="G18" s="12" t="n">
        <x:v>2</x:v>
      </x:c>
    </x:row>
    <x:row r="19" ht="85" customHeight="1">
      <x:c r="A19" s="7" t="str">
        <x:v>U14</x:v>
      </x:c>
      <x:c r="B19" s="7" t="str">
        <x:v>과거 관계</x:v>
      </x:c>
      <x:c r="C19" s="7" t="str">
        <x:v>voice</x:v>
      </x:c>
      <x:c r="D19" s="7" t="str">
        <x:v>아까 구성이 좋다고 했던 자료의 형식으로 이번 조사를 정리해줘.</x:v>
      </x:c>
      <x:c r="E19" s="7" t="str">
        <x:v>-8초 피드백 F1: D2를 표시하며 외부 고객용 구성이 좋다고 말함. D3도 존재. 관계는 현재 요청에서 처음 사용.</x:v>
      </x:c>
      <x:c r="F19" s="7" t="str">
        <x:v>T-F02</x:v>
      </x:c>
      <x:c r="G19" s="7" t="n">
        <x:v>1</x:v>
      </x:c>
    </x:row>
    <x:row r="20" ht="85" customHeight="1">
      <x:c r="A20" s="12" t="str">
        <x:v>U15</x:v>
      </x:c>
      <x:c r="B20" s="12" t="str">
        <x:v>과거 관계</x:v>
      </x:c>
      <x:c r="C20" s="12" t="str">
        <x:v>text</x:v>
      </x:c>
      <x:c r="D20" s="12" t="str">
        <x:v>지난번 확정했던 D2 형식을 이번 자료에도 적용해줘.</x:v>
      </x:c>
      <x:c r="E20" s="12" t="str">
        <x:v>D2 형식 선호와 적용 범위는 이미 사용자와 확정해 공통 사실로 저장.</x:v>
      </x:c>
      <x:c r="F20" s="12" t="str">
        <x:v>T-F08</x:v>
      </x:c>
      <x:c r="G20" s="12" t="n">
        <x:v>1</x:v>
      </x:c>
    </x:row>
    <x:row r="21" ht="85" customHeight="1">
      <x:c r="A21" s="7" t="str">
        <x:v>U16</x:v>
      </x:c>
      <x:c r="B21" s="7" t="str">
        <x:v>과거 관계</x:v>
      </x:c>
      <x:c r="C21" s="7" t="str">
        <x:v>voice</x:v>
      </x:c>
      <x:c r="D21" s="7" t="str">
        <x:v>방금 정정한 피드백을 반영해 내부 회의용으로 다시 만들어줘.</x:v>
      </x:c>
      <x:c r="E21" s="7" t="str">
        <x:v>기존 T1은 -6초 시작해 최초 해석 2초 수행. -0.2초 피드백: D2 구성 선호를 내부 회의에는 적용하지 않음. 원본 보완 필요.</x:v>
      </x:c>
      <x:c r="F21" s="7" t="str">
        <x:v>T-F05/T-F06</x:v>
      </x:c>
      <x:c r="G21" s="7" t="n">
        <x:v>1</x:v>
      </x:c>
    </x:row>
    <x:row r="22" ht="85" customHeight="1">
      <x:c r="A22" s="12" t="str">
        <x:v>U17</x:v>
      </x:c>
      <x:c r="B22" s="12" t="str">
        <x:v>음성 전달</x:v>
      </x:c>
      <x:c r="C22" s="12" t="str">
        <x:v>voice</x:v>
      </x:c>
      <x:c r="D22" s="12" t="str">
        <x:v>대기 중인 메일 질문부터 읽어줘.</x:v>
      </x:c>
      <x:c r="E22" s="12" t="str">
        <x:v>Mail Agent의 Q1 질문 텍스트가 -2초 도착, UI 표시됨. 새 입력에 대한 수행 안내는 아직 없음.</x:v>
      </x:c>
      <x:c r="F22" s="12" t="str">
        <x:v>D-S02</x:v>
      </x:c>
      <x:c r="G22" s="12" t="n">
        <x:v>1</x:v>
      </x:c>
    </x:row>
    <x:row r="23" ht="85" customHeight="1">
      <x:c r="A23" s="7" t="str">
        <x:v>U18</x:v>
      </x:c>
      <x:c r="B23" s="7" t="str">
        <x:v>음성 전달</x:v>
      </x:c>
      <x:c r="C23" s="7" t="str">
        <x:v>voice</x:v>
      </x:c>
      <x:c r="D23" s="7" t="str">
        <x:v>보고서 안내는 철회하고 메일 질문만 읽어줘.</x:v>
      </x:c>
      <x:c r="E23" s="7" t="str">
        <x:v>-2초 메일 질문 Q1 8초와 보고서 안내 R1 10초 도착. 현재 입력은 R1 음성 의무만 철회. 보고서 업무 취소 아님.</x:v>
      </x:c>
      <x:c r="F23" s="7" t="str">
        <x:v>D-S04</x:v>
      </x:c>
      <x:c r="G23" s="7" t="n">
        <x:v>2</x:v>
      </x:c>
    </x:row>
    <x:row r="24" ht="85" customHeight="1">
      <x:c r="A24" s="12" t="str">
        <x:v>U19</x:v>
      </x:c>
      <x:c r="B24" s="12" t="str">
        <x:v>음성 전달</x:v>
      </x:c>
      <x:c r="C24" s="12" t="str">
        <x:v>voice</x:v>
      </x:c>
      <x:c r="D24" s="12" t="str">
        <x:v>메일 질문을 먼저 읽고 중단한 설명으로 돌아가줘.</x:v>
      </x:c>
      <x:c r="E24" s="12" t="str">
        <x:v>-2초부터 R0 36초 설명의 음성 생성 진행. 현재 입력 시작에 재생 중단. Q1 질문 6초는 -0.5초 도착. 이미 생성한 유효 R0 구간은 양안 모두 보존.</x:v>
      </x:c>
      <x:c r="F24" s="12" t="str">
        <x:v>D-S05</x:v>
      </x:c>
      <x:c r="G24" s="12" t="n">
        <x:v>2</x:v>
      </x:c>
    </x:row>
    <x:row r="25" ht="85" customHeight="1">
      <x:c r="A25" s="7" t="str">
        <x:v>U20</x:v>
      </x:c>
      <x:c r="B25" s="7" t="str">
        <x:v>음성 전달</x:v>
      </x:c>
      <x:c r="C25" s="7" t="str">
        <x:v>voice</x:v>
      </x:c>
      <x:c r="D25" s="7" t="str">
        <x:v>완성된 설명을 멈춘 위치부터 이어 읽어줘.</x:v>
      </x:c>
      <x:c r="E25" s="7" t="str">
        <x:v>유효 R0 audio 12초가 공통 초기 상태에 존재. 재생 중단 위치가 기록됨. 새 생성 필요 없음.</x:v>
      </x:c>
      <x:c r="F25" s="7" t="str">
        <x:v>D-S06</x:v>
      </x:c>
      <x:c r="G25" s="7" t="n">
        <x:v>1</x:v>
      </x:c>
    </x:row>
    <x:row r="26" ht="85" customHeight="1">
      <x:c r="A26" s="12" t="str">
        <x:v>U21</x:v>
      </x:c>
      <x:c r="B26" s="12" t="str">
        <x:v>복합 경로</x:v>
      </x:c>
      <x:c r="C26" s="12" t="str">
        <x:v>voice</x:v>
      </x:c>
      <x:c r="D26" s="12" t="str">
        <x:v>선택한 두 견적을 아까 좋다고 한 표 형식으로 비교해줘. 보고서는 계속해.</x:v>
      </x:c>
      <x:c r="E26" s="12" t="str">
        <x:v>새 화면 Q1/Q2, -8초 D2 표 형식 피드백, 별도 보고서 T1 모델 step -1초 시작. 모두 허용 원본.</x:v>
      </x:c>
      <x:c r="F26" s="12" t="str">
        <x:v>V-S2/T-F02/DP2-S2</x:v>
      </x:c>
      <x:c r="G26" s="12" t="n">
        <x:v>3</x:v>
      </x:c>
    </x:row>
    <x:row r="27" ht="85" customHeight="1">
      <x:c r="A27" s="7" t="str">
        <x:v>U22</x:v>
      </x:c>
      <x:c r="B27" s="7" t="str">
        <x:v>복합 경로</x:v>
      </x:c>
      <x:c r="C27" s="7" t="str">
        <x:v>voice</x:v>
      </x:c>
      <x:c r="D27" s="7" t="str">
        <x:v>새 화면의 두 카드를 비교하고 일정 질문부터 읽어줘.</x:v>
      </x:c>
      <x:c r="E27" s="7" t="str">
        <x:v>-12초 이전 viewport 처리를 완료한 뒤 현재는 새 viewport. 일정 Q1은 -2초 도착. 동일 모델 상주와 새 후보 생산을 구별.</x:v>
      </x:c>
      <x:c r="F27" s="7" t="str">
        <x:v>V-S4/D-S02</x:v>
      </x:c>
      <x:c r="G27" s="7" t="n">
        <x:v>2</x:v>
      </x:c>
    </x:row>
    <x:row r="28" ht="85" customHeight="1">
      <x:c r="A28" s="12" t="str">
        <x:v>U23</x:v>
      </x:c>
      <x:c r="B28" s="12" t="str">
        <x:v>복합 경로</x:v>
      </x:c>
      <x:c r="C28" s="12" t="str">
        <x:v>text</x:v>
      </x:c>
      <x:c r="D28" s="12" t="str">
        <x:v>D2에서 확인한 형식으로 새 자료를 만들고 기존 메일 질문을 먼저 읽어줘.</x:v>
      </x:c>
      <x:c r="E28" s="12" t="str">
        <x:v>D2 형식은 미확정 피드백 관계로 -8초 원본 도착. 메일 질문은 -2초 도착. 기존 설명 R0의 유효 buffer는 유지.</x:v>
      </x:c>
      <x:c r="F28" s="12" t="str">
        <x:v>T-F10/D-S02</x:v>
      </x:c>
      <x:c r="G28" s="12" t="n">
        <x:v>2</x:v>
      </x:c>
    </x:row>
    <x:row r="29" ht="85" customHeight="1">
      <x:c r="A29" s="7" t="str">
        <x:v>U24</x:v>
      </x:c>
      <x:c r="B29" s="7" t="str">
        <x:v>복합 경로</x:v>
      </x:c>
      <x:c r="C29" s="7" t="str">
        <x:v>voice</x:v>
      </x:c>
      <x:c r="D29" s="7" t="str">
        <x:v>지금 가리킨 두 항목을 방금 정정한 조건으로 비교해줘.</x:v>
      </x:c>
      <x:c r="E29" s="7" t="str">
        <x:v>신규 두 frame 화면의 Q1/Q2 추적과 원본 보완 필요. -0.2초 피드백 정정. -1초 현재 대화 모델 step 진행. 기존 T1 목표는 -6초 시작해 최초 해석 2초 수행.</x:v>
      </x:c>
      <x:c r="F29" s="7" t="str">
        <x:v>V-S3/T-F05/DP2-S4</x:v>
      </x:c>
      <x:c r="G29" s="7" t="n">
        <x:v>2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04" hidden="0" customWidth="1"/>
  </x:cols>
  <x:sheetData>
    <x:row r="1" ht="38" customHeight="1">
      <x:c r="A1" s="6" t="str">
        <x:v>환경·산정식·상태를 공개한 가정표</x:v>
      </x:c>
      <x:c r="B1" s="6"/>
      <x:c r="C1" s="6"/>
    </x:row>
    <x:row r="2" ht="23" customHeight="1">
      <x:c r="A2" s="8" t="str">
        <x:v>specification.json과 같은 작성 가정이다. 실측 교정값이나 클라우드의 실제 견적이 아니다. 시간·RAM 가정 변경은 DAG와 원장을 재생성해야 한다.</x:v>
      </x:c>
      <x:c r="B2" s="8"/>
      <x:c r="C2" s="8"/>
    </x:row>
    <x:row r="3" ht="23" customHeight="1">
      <x:c r="A3" s="8"/>
      <x:c r="B3" s="8"/>
      <x:c r="C3" s="8"/>
    </x:row>
    <x:row r="4">
      <x:c r="A4" s="3"/>
      <x:c r="B4" s="3"/>
      <x:c r="C4" s="3"/>
    </x:row>
    <x:row r="5" ht="38" customHeight="1">
      <x:c r="A5" s="11" t="str">
        <x:v>구분</x:v>
      </x:c>
      <x:c r="B5" s="11" t="str">
        <x:v>키</x:v>
      </x:c>
      <x:c r="C5" s="11" t="str">
        <x:v>값 또는 설명</x:v>
      </x:c>
    </x:row>
    <x:row r="6" ht="42" customHeight="1">
      <x:c r="A6" s="12" t="str">
        <x:v>profile</x:v>
      </x:c>
      <x:c r="B6" s="12" t="str">
        <x:v>id</x:v>
      </x:c>
      <x:c r="C6" s="12" t="str">
        <x:v>UNIFIED-CLOUD-CPU-4.0</x:v>
      </x:c>
    </x:row>
    <x:row r="7" ht="42" customHeight="1">
      <x:c r="A7" s="7" t="str">
        <x:v>profile</x:v>
      </x:c>
      <x:c r="B7" s="7" t="str">
        <x:v>device</x:v>
      </x:c>
      <x:c r="C7" s="7" t="str">
        <x:v>가정: 8 CPU core, 16 GB RAM, SSD, GPU 없음</x:v>
      </x:c>
    </x:row>
    <x:row r="8" ht="42" customHeight="1">
      <x:c r="A8" s="12" t="str">
        <x:v>profile</x:v>
      </x:c>
      <x:c r="B8" s="12" t="str">
        <x:v>semantic_slots</x:v>
      </x:c>
      <x:c r="C8" s="12" t="n">
        <x:v>2</x:v>
      </x:c>
    </x:row>
    <x:row r="9" ht="42" customHeight="1">
      <x:c r="A9" s="7" t="str">
        <x:v>profile</x:v>
      </x:c>
      <x:c r="B9" s="7" t="str">
        <x:v>speech_slots</x:v>
      </x:c>
      <x:c r="C9" s="7" t="n">
        <x:v>4</x:v>
      </x:c>
    </x:row>
    <x:row r="10" ht="42" customHeight="1">
      <x:c r="A10" s="12" t="str">
        <x:v>profile</x:v>
      </x:c>
      <x:c r="B10" s="12" t="str">
        <x:v>visual_slots</x:v>
      </x:c>
      <x:c r="C10" s="12" t="n">
        <x:v>1</x:v>
      </x:c>
    </x:row>
    <x:row r="11" ht="42" customHeight="1">
      <x:c r="A11" s="7" t="str">
        <x:v>profile</x:v>
      </x:c>
      <x:c r="B11" s="7" t="str">
        <x:v>visual_cpu_threads_total</x:v>
      </x:c>
      <x:c r="C11" s="7" t="n">
        <x:v>4</x:v>
      </x:c>
    </x:row>
    <x:row r="12" ht="42" customHeight="1">
      <x:c r="A12" s="12" t="str">
        <x:v>profile</x:v>
      </x:c>
      <x:c r="B12" s="12" t="str">
        <x:v>model_setup_s</x:v>
      </x:c>
      <x:c r="C12" s="12" t="n">
        <x:v>0.2</x:v>
      </x:c>
    </x:row>
    <x:row r="13" ht="42" customHeight="1">
      <x:c r="A13" s="7" t="str">
        <x:v>profile</x:v>
      </x:c>
      <x:c r="B13" s="7" t="str">
        <x:v>input_tokens_per_s</x:v>
      </x:c>
      <x:c r="C13" s="7" t="n">
        <x:v>6000</x:v>
      </x:c>
    </x:row>
    <x:row r="14" ht="42" customHeight="1">
      <x:c r="A14" s="12" t="str">
        <x:v>profile</x:v>
      </x:c>
      <x:c r="B14" s="12" t="str">
        <x:v>output_tokens_per_s</x:v>
      </x:c>
      <x:c r="C14" s="12" t="n">
        <x:v>80</x:v>
      </x:c>
    </x:row>
    <x:row r="15" ht="42" customHeight="1">
      <x:c r="A15" s="7" t="str">
        <x:v>profile</x:v>
      </x:c>
      <x:c r="B15" s="7" t="str">
        <x:v>input_usd_per_token</x:v>
      </x:c>
      <x:c r="C15" s="7" t="n">
        <x:v>0.000001</x:v>
      </x:c>
    </x:row>
    <x:row r="16" ht="42" customHeight="1">
      <x:c r="A16" s="12" t="str">
        <x:v>profile</x:v>
      </x:c>
      <x:c r="B16" s="12" t="str">
        <x:v>output_usd_per_token</x:v>
      </x:c>
      <x:c r="C16" s="12" t="n">
        <x:v>0.000004</x:v>
      </x:c>
    </x:row>
    <x:row r="17" ht="42" customHeight="1">
      <x:c r="A17" s="7" t="str">
        <x:v>profile</x:v>
      </x:c>
      <x:c r="B17" s="7" t="str">
        <x:v>audio_input_usd_per_s</x:v>
      </x:c>
      <x:c r="C17" s="7" t="n">
        <x:v>0.001</x:v>
      </x:c>
    </x:row>
    <x:row r="18" ht="42" customHeight="1">
      <x:c r="A18" s="12" t="str">
        <x:v>profile</x:v>
      </x:c>
      <x:c r="B18" s="12" t="str">
        <x:v>audio_output_usd_per_s</x:v>
      </x:c>
      <x:c r="C18" s="12" t="n">
        <x:v>0.002</x:v>
      </x:c>
    </x:row>
    <x:row r="19" ht="42" customHeight="1">
      <x:c r="A19" s="7" t="str">
        <x:v>profile</x:v>
      </x:c>
      <x:c r="B19" s="7" t="str">
        <x:v>voice_finalize_s</x:v>
      </x:c>
      <x:c r="C19" s="7" t="n">
        <x:v>0.3</x:v>
      </x:c>
    </x:row>
    <x:row r="20" ht="42" customHeight="1">
      <x:c r="A20" s="12" t="str">
        <x:v>profile</x:v>
      </x:c>
      <x:c r="B20" s="12" t="str">
        <x:v>text_finalize_s</x:v>
      </x:c>
      <x:c r="C20" s="12" t="n">
        <x:v>0.06</x:v>
      </x:c>
    </x:row>
    <x:row r="21" ht="42" customHeight="1">
      <x:c r="A21" s="7" t="str">
        <x:v>profile</x:v>
      </x:c>
      <x:c r="B21" s="7" t="str">
        <x:v>source_read_s</x:v>
      </x:c>
      <x:c r="C21" s="7" t="n">
        <x:v>0.08</x:v>
      </x:c>
    </x:row>
    <x:row r="22" ht="42" customHeight="1">
      <x:c r="A22" s="12" t="str">
        <x:v>profile</x:v>
      </x:c>
      <x:c r="B22" s="12" t="str">
        <x:v>adopt_s</x:v>
      </x:c>
      <x:c r="C22" s="12" t="n">
        <x:v>0.03</x:v>
      </x:c>
    </x:row>
    <x:row r="23" ht="42" customHeight="1">
      <x:c r="A23" s="7" t="str">
        <x:v>profile</x:v>
      </x:c>
      <x:c r="B23" s="7" t="str">
        <x:v>display_s</x:v>
      </x:c>
      <x:c r="C23" s="7" t="n">
        <x:v>0.04</x:v>
      </x:c>
    </x:row>
    <x:row r="24" ht="42" customHeight="1">
      <x:c r="A24" s="12" t="str">
        <x:v>profile</x:v>
      </x:c>
      <x:c r="B24" s="12" t="str">
        <x:v>agent_work_s</x:v>
      </x:c>
      <x:c r="C24" s="12" t="n">
        <x:v>8</x:v>
      </x:c>
    </x:row>
    <x:row r="25" ht="42" customHeight="1">
      <x:c r="A25" s="7" t="str">
        <x:v>profile</x:v>
      </x:c>
      <x:c r="B25" s="7" t="str">
        <x:v>speech_setup_s</x:v>
      </x:c>
      <x:c r="C25" s="7" t="n">
        <x:v>0.38</x:v>
      </x:c>
    </x:row>
    <x:row r="26" ht="42" customHeight="1">
      <x:c r="A26" s="12" t="str">
        <x:v>profile</x:v>
      </x:c>
      <x:c r="B26" s="12" t="str">
        <x:v>audio_generation_rate</x:v>
      </x:c>
      <x:c r="C26" s="12" t="n">
        <x:v>4</x:v>
      </x:c>
    </x:row>
    <x:row r="27" ht="42" customHeight="1">
      <x:c r="A27" s="7" t="str">
        <x:v>profile</x:v>
      </x:c>
      <x:c r="B27" s="7" t="str">
        <x:v>first_chunk_audio_s</x:v>
      </x:c>
      <x:c r="C27" s="7" t="n">
        <x:v>0.2</x:v>
      </x:c>
    </x:row>
    <x:row r="28" ht="42" customHeight="1">
      <x:c r="A28" s="12" t="str">
        <x:v>profile</x:v>
      </x:c>
      <x:c r="B28" s="12" t="str">
        <x:v>intent_audio_s</x:v>
      </x:c>
      <x:c r="C28" s="12" t="n">
        <x:v>3</x:v>
      </x:c>
    </x:row>
    <x:row r="29" ht="42" customHeight="1">
      <x:c r="A29" s="7" t="str">
        <x:v>profile</x:v>
      </x:c>
      <x:c r="B29" s="7" t="str">
        <x:v>device_s</x:v>
      </x:c>
      <x:c r="C29" s="7" t="n">
        <x:v>0.04</x:v>
      </x:c>
    </x:row>
    <x:row r="30" ht="42" customHeight="1">
      <x:c r="A30" s="12" t="str">
        <x:v>profile</x:v>
      </x:c>
      <x:c r="B30" s="12" t="str">
        <x:v>cancel_tail_s</x:v>
      </x:c>
      <x:c r="C30" s="12" t="n">
        <x:v>0.1</x:v>
      </x:c>
    </x:row>
    <x:row r="31" ht="42" customHeight="1">
      <x:c r="A31" s="7" t="str">
        <x:v>profile</x:v>
      </x:c>
      <x:c r="B31" s="7" t="str">
        <x:v>core_ui_mb</x:v>
      </x:c>
      <x:c r="C31" s="7" t="n">
        <x:v>180</x:v>
      </x:c>
    </x:row>
    <x:row r="32" ht="42" customHeight="1">
      <x:c r="A32" s="12" t="str">
        <x:v>profile</x:v>
      </x:c>
      <x:c r="B32" s="12" t="str">
        <x:v>asr_audio_mb</x:v>
      </x:c>
      <x:c r="C32" s="12" t="n">
        <x:v>220</x:v>
      </x:c>
    </x:row>
    <x:row r="33" ht="42" customHeight="1">
      <x:c r="A33" s="7" t="str">
        <x:v>profile</x:v>
      </x:c>
      <x:c r="B33" s="7" t="str">
        <x:v>source_ring_mb</x:v>
      </x:c>
      <x:c r="C33" s="7" t="n">
        <x:v>96</x:v>
      </x:c>
    </x:row>
    <x:row r="34" ht="42" customHeight="1">
      <x:c r="A34" s="12" t="str">
        <x:v>profile</x:v>
      </x:c>
      <x:c r="B34" s="12" t="str">
        <x:v>common_history_mb</x:v>
      </x:c>
      <x:c r="C34" s="12" t="n">
        <x:v>64</x:v>
      </x:c>
    </x:row>
    <x:row r="35" ht="42" customHeight="1">
      <x:c r="A35" s="7" t="str">
        <x:v>profile</x:v>
      </x:c>
      <x:c r="B35" s="7" t="str">
        <x:v>request_mb</x:v>
      </x:c>
      <x:c r="C35" s="7" t="n">
        <x:v>11</x:v>
      </x:c>
    </x:row>
    <x:row r="36" ht="42" customHeight="1">
      <x:c r="A36" s="12" t="str">
        <x:v>profile</x:v>
      </x:c>
      <x:c r="B36" s="12" t="str">
        <x:v>call_base_mb</x:v>
      </x:c>
      <x:c r="C36" s="12" t="n">
        <x:v>15</x:v>
      </x:c>
    </x:row>
    <x:row r="37" ht="42" customHeight="1">
      <x:c r="A37" s="7" t="str">
        <x:v>profile</x:v>
      </x:c>
      <x:c r="B37" s="7" t="str">
        <x:v>call_mb_per_1000_tokens</x:v>
      </x:c>
      <x:c r="C37" s="7" t="n">
        <x:v>4</x:v>
      </x:c>
    </x:row>
    <x:row r="38" ht="42" customHeight="1">
      <x:c r="A38" s="12" t="str">
        <x:v>profile</x:v>
      </x:c>
      <x:c r="B38" s="12" t="str">
        <x:v>relation_cache_mb</x:v>
      </x:c>
      <x:c r="C38" s="12" t="n">
        <x:v>38</x:v>
      </x:c>
    </x:row>
    <x:row r="39" ht="42" customHeight="1">
      <x:c r="A39" s="7" t="str">
        <x:v>profile</x:v>
      </x:c>
      <x:c r="B39" s="7" t="str">
        <x:v>relation_producer_mb</x:v>
      </x:c>
      <x:c r="C39" s="7" t="n">
        <x:v>19</x:v>
      </x:c>
    </x:row>
    <x:row r="40" ht="42" customHeight="1">
      <x:c r="A40" s="12" t="str">
        <x:v>profile</x:v>
      </x:c>
      <x:c r="B40" s="12" t="str">
        <x:v>cloud_image_buffer_mb</x:v>
      </x:c>
      <x:c r="C40" s="12" t="n">
        <x:v>32</x:v>
      </x:c>
    </x:row>
    <x:row r="41" ht="42" customHeight="1">
      <x:c r="A41" s="7" t="str">
        <x:v>profile</x:v>
      </x:c>
      <x:c r="B41" s="7" t="str">
        <x:v>runtime_shared_mb</x:v>
      </x:c>
      <x:c r="C41" s="7" t="n">
        <x:v>60</x:v>
      </x:c>
    </x:row>
    <x:row r="42" ht="42" customHeight="1">
      <x:c r="A42" s="12" t="str">
        <x:v>profile</x:v>
      </x:c>
      <x:c r="B42" s="12" t="str">
        <x:v>runtime_private_mb</x:v>
      </x:c>
      <x:c r="C42" s="12" t="n">
        <x:v>280</x:v>
      </x:c>
    </x:row>
    <x:row r="43" ht="42" customHeight="1">
      <x:c r="A43" s="7" t="str">
        <x:v>profile</x:v>
      </x:c>
      <x:c r="B43" s="7" t="str">
        <x:v>ui_weights_mb</x:v>
      </x:c>
      <x:c r="C43" s="7" t="n">
        <x:v>420</x:v>
      </x:c>
    </x:row>
    <x:row r="44" ht="42" customHeight="1">
      <x:c r="A44" s="12" t="str">
        <x:v>profile</x:v>
      </x:c>
      <x:c r="B44" s="12" t="str">
        <x:v>sam_weights_mb</x:v>
      </x:c>
      <x:c r="C44" s="12" t="n">
        <x:v>170</x:v>
      </x:c>
    </x:row>
    <x:row r="45" ht="42" customHeight="1">
      <x:c r="A45" s="7" t="str">
        <x:v>profile</x:v>
      </x:c>
      <x:c r="B45" s="7" t="str">
        <x:v>ui_workspace_mb</x:v>
      </x:c>
      <x:c r="C45" s="7" t="n">
        <x:v>260</x:v>
      </x:c>
    </x:row>
    <x:row r="46" ht="42" customHeight="1">
      <x:c r="A46" s="12" t="str">
        <x:v>profile</x:v>
      </x:c>
      <x:c r="B46" s="12" t="str">
        <x:v>sam_workspace_mb</x:v>
      </x:c>
      <x:c r="C46" s="12" t="n">
        <x:v>680</x:v>
      </x:c>
    </x:row>
    <x:row r="47" ht="42" customHeight="1">
      <x:c r="A47" s="7" t="str">
        <x:v>profile</x:v>
      </x:c>
      <x:c r="B47" s="7" t="str">
        <x:v>ui_load_temp_mb</x:v>
      </x:c>
      <x:c r="C47" s="7" t="n">
        <x:v>380</x:v>
      </x:c>
    </x:row>
    <x:row r="48" ht="42" customHeight="1">
      <x:c r="A48" s="12" t="str">
        <x:v>profile</x:v>
      </x:c>
      <x:c r="B48" s="12" t="str">
        <x:v>sam_load_temp_mb</x:v>
      </x:c>
      <x:c r="C48" s="12" t="n">
        <x:v>156</x:v>
      </x:c>
    </x:row>
    <x:row r="49" ht="42" customHeight="1">
      <x:c r="A49" s="7" t="str">
        <x:v>profile</x:v>
      </x:c>
      <x:c r="B49" s="7" t="str">
        <x:v>runtime_boot_s</x:v>
      </x:c>
      <x:c r="C49" s="7" t="n">
        <x:v>1.2</x:v>
      </x:c>
    </x:row>
    <x:row r="50" ht="42" customHeight="1">
      <x:c r="A50" s="12" t="str">
        <x:v>profile</x:v>
      </x:c>
      <x:c r="B50" s="12" t="str">
        <x:v>ui_load_s</x:v>
      </x:c>
      <x:c r="C50" s="12" t="n">
        <x:v>1.1</x:v>
      </x:c>
    </x:row>
    <x:row r="51" ht="42" customHeight="1">
      <x:c r="A51" s="7" t="str">
        <x:v>profile</x:v>
      </x:c>
      <x:c r="B51" s="7" t="str">
        <x:v>sam_load_s</x:v>
      </x:c>
      <x:c r="C51" s="7" t="n">
        <x:v>0.65</x:v>
      </x:c>
    </x:row>
    <x:row r="52" ht="42" customHeight="1">
      <x:c r="A52" s="12" t="str">
        <x:v>profile</x:v>
      </x:c>
      <x:c r="B52" s="12" t="str">
        <x:v>ui_inference_s</x:v>
      </x:c>
      <x:c r="C52" s="12" t="n">
        <x:v>1.6</x:v>
      </x:c>
    </x:row>
    <x:row r="53" ht="42" customHeight="1">
      <x:c r="A53" s="7" t="str">
        <x:v>profile</x:v>
      </x:c>
      <x:c r="B53" s="7" t="str">
        <x:v>sam_frame_s</x:v>
      </x:c>
      <x:c r="C53" s="7" t="n">
        <x:v>2.05</x:v>
      </x:c>
    </x:row>
    <x:row r="54" ht="42" customHeight="1">
      <x:c r="A54" s="12" t="str">
        <x:v>profile</x:v>
      </x:c>
      <x:c r="B54" s="12" t="str">
        <x:v>release_s</x:v>
      </x:c>
      <x:c r="C54" s="12" t="n">
        <x:v>0.15</x:v>
      </x:c>
    </x:row>
    <x:row r="55" ht="42" customHeight="1">
      <x:c r="A55" s="7" t="str">
        <x:v>profile</x:v>
      </x:c>
      <x:c r="B55" s="7" t="str">
        <x:v>r3_ipc_s</x:v>
      </x:c>
      <x:c r="C55" s="7" t="n">
        <x:v>0.06</x:v>
      </x:c>
    </x:row>
    <x:row r="56" ht="42" customHeight="1">
      <x:c r="A56" s="12" t="str">
        <x:v>profile</x:v>
      </x:c>
      <x:c r="B56" s="12" t="str">
        <x:v>ipc_shared_mb</x:v>
      </x:c>
      <x:c r="C56" s="12" t="n">
        <x:v>24</x:v>
      </x:c>
    </x:row>
    <x:row r="57" ht="42" customHeight="1">
      <x:c r="A57" s="7" t="str">
        <x:v>profile</x:v>
      </x:c>
      <x:c r="B57" s="7" t="str">
        <x:v>ipc_split_mb</x:v>
      </x:c>
      <x:c r="C57" s="7" t="n">
        <x:v>32</x:v>
      </x:c>
    </x:row>
    <x:row r="58" ht="42" customHeight="1">
      <x:c r="A58" s="12" t="str">
        <x:v>profile</x:v>
      </x:c>
      <x:c r="B58" s="12" t="str">
        <x:v>pcm_mb_per_audio_s</x:v>
      </x:c>
      <x:c r="C58" s="12" t="n">
        <x:v>0.048</x:v>
      </x:c>
    </x:row>
    <x:row r="59" ht="42" customHeight="1">
      <x:c r="A59" s="7" t="str">
        <x:v>profile</x:v>
      </x:c>
      <x:c r="B59" s="7" t="str">
        <x:v>audio_cap_mb</x:v>
      </x:c>
      <x:c r="C59" s="7" t="n">
        <x:v>16</x:v>
      </x:c>
    </x:row>
    <x:row r="60" ht="42" customHeight="1">
      <x:c r="A60" s="12" t="str">
        <x:v>profile</x:v>
      </x:c>
      <x:c r="B60" s="12" t="str">
        <x:v>source</x:v>
      </x:c>
      <x:c r="C60" s="12" t="str">
        <x:v>v3 VOICE와 DELIVERY의 공개된 작성 가정을 공통 환경으로 채택. TEXT의 별도 속도와 238 MB 기반은 사용하지 않음. 실측 교정값 아님.</x:v>
      </x:c>
    </x:row>
    <x:row r="61" ht="42" customHeight="1">
      <x:c r="A61" s="7" t="str">
        <x:v>tokens</x:v>
      </x:c>
      <x:c r="B61" s="7" t="str">
        <x:v>request_base</x:v>
      </x:c>
      <x:c r="C61" s="7" t="n">
        <x:v>600</x:v>
      </x:c>
    </x:row>
    <x:row r="62" ht="42" customHeight="1">
      <x:c r="A62" s="12" t="str">
        <x:v>tokens</x:v>
      </x:c>
      <x:c r="B62" s="12" t="str">
        <x:v>first_adopted_output</x:v>
      </x:c>
      <x:c r="C62" s="12" t="n">
        <x:v>64</x:v>
      </x:c>
    </x:row>
    <x:row r="63" ht="42" customHeight="1">
      <x:c r="A63" s="7" t="str">
        <x:v>tokens</x:v>
      </x:c>
      <x:c r="B63" s="7" t="str">
        <x:v>long_work_input</x:v>
      </x:c>
      <x:c r="C63" s="7" t="n">
        <x:v>1200</x:v>
      </x:c>
    </x:row>
    <x:row r="64" ht="42" customHeight="1">
      <x:c r="A64" s="12" t="str">
        <x:v>tokens</x:v>
      </x:c>
      <x:c r="B64" s="12" t="str">
        <x:v>long_work_output</x:v>
      </x:c>
      <x:c r="C64" s="12" t="n">
        <x:v>96</x:v>
      </x:c>
    </x:row>
    <x:row r="65" ht="42" customHeight="1">
      <x:c r="A65" s="7" t="str">
        <x:v>tokens</x:v>
      </x:c>
      <x:c r="B65" s="7" t="str">
        <x:v>dp2_execution_envelope</x:v>
      </x:c>
      <x:c r="C65" s="7" t="n">
        <x:v>180</x:v>
      </x:c>
    </x:row>
    <x:row r="66" ht="42" customHeight="1">
      <x:c r="A66" s="12" t="str">
        <x:v>tokens</x:v>
      </x:c>
      <x:c r="B66" s="12" t="str">
        <x:v>history_raw</x:v>
      </x:c>
      <x:c r="C66" s="12" t="n">
        <x:v>2400</x:v>
      </x:c>
    </x:row>
    <x:row r="67" ht="42" customHeight="1">
      <x:c r="A67" s="7" t="str">
        <x:v>tokens</x:v>
      </x:c>
      <x:c r="B67" s="7" t="str">
        <x:v>history_relation</x:v>
      </x:c>
      <x:c r="C67" s="7" t="n">
        <x:v>360</x:v>
      </x:c>
    </x:row>
    <x:row r="68" ht="42" customHeight="1">
      <x:c r="A68" s="12" t="str">
        <x:v>tokens</x:v>
      </x:c>
      <x:c r="B68" s="12" t="str">
        <x:v>relation_production_input</x:v>
      </x:c>
      <x:c r="C68" s="12" t="n">
        <x:v>1800</x:v>
      </x:c>
    </x:row>
    <x:row r="69" ht="42" customHeight="1">
      <x:c r="A69" s="7" t="str">
        <x:v>tokens</x:v>
      </x:c>
      <x:c r="B69" s="7" t="str">
        <x:v>relation_production_output</x:v>
      </x:c>
      <x:c r="C69" s="7" t="n">
        <x:v>120</x:v>
      </x:c>
    </x:row>
    <x:row r="70" ht="42" customHeight="1">
      <x:c r="A70" s="12" t="str">
        <x:v>tokens</x:v>
      </x:c>
      <x:c r="B70" s="12" t="str">
        <x:v>image_direct</x:v>
      </x:c>
      <x:c r="C70" s="12" t="n">
        <x:v>1800</x:v>
      </x:c>
    </x:row>
    <x:row r="71" ht="42" customHeight="1">
      <x:c r="A71" s="7" t="str">
        <x:v>tokens</x:v>
      </x:c>
      <x:c r="B71" s="7" t="str">
        <x:v>image_candidates</x:v>
      </x:c>
      <x:c r="C71" s="7" t="n">
        <x:v>520</x:v>
      </x:c>
    </x:row>
    <x:row r="72" ht="42" customHeight="1">
      <x:c r="A72" s="12" t="str">
        <x:v>tokens</x:v>
      </x:c>
      <x:c r="B72" s="12" t="str">
        <x:v>raw_expansion</x:v>
      </x:c>
      <x:c r="C72" s="12" t="n">
        <x:v>900</x:v>
      </x:c>
    </x:row>
    <x:row r="73" ht="42" customHeight="1">
      <x:c r="A73" s="7" t="str">
        <x:v>tokens</x:v>
      </x:c>
      <x:c r="B73" s="7" t="str">
        <x:v>expansion_request_output</x:v>
      </x:c>
      <x:c r="C73" s="7" t="n">
        <x:v>32</x:v>
      </x:c>
    </x:row>
    <x:row r="74" ht="42" customHeight="1">
      <x:c r="A74" s="12" t="str">
        <x:v>tokens</x:v>
      </x:c>
      <x:c r="B74" s="12" t="str">
        <x:v>background_input</x:v>
      </x:c>
      <x:c r="C74" s="12" t="n">
        <x:v>1200</x:v>
      </x:c>
    </x:row>
    <x:row r="75" ht="42" customHeight="1">
      <x:c r="A75" s="7" t="str">
        <x:v>tokens</x:v>
      </x:c>
      <x:c r="B75" s="7" t="str">
        <x:v>background_output</x:v>
      </x:c>
      <x:c r="C75" s="7" t="n">
        <x:v>240</x:v>
      </x:c>
    </x:row>
    <x:row r="76" ht="42" customHeight="1">
      <x:c r="A76" s="12" t="str">
        <x:v>tokens</x:v>
      </x:c>
      <x:c r="B76" s="12" t="str">
        <x:v>speech_text_per_audio_s</x:v>
      </x:c>
      <x:c r="C76" s="12" t="n">
        <x:v>8</x:v>
      </x:c>
    </x:row>
    <x:row r="77" ht="42" customHeight="1">
      <x:c r="A77" s="7" t="str">
        <x:v>tokens</x:v>
      </x:c>
      <x:c r="B77" s="7" t="str">
        <x:v>status</x:v>
      </x:c>
      <x:c r="C77" s="7" t="str">
        <x:v>동일 작업 단위의 작성된 토큰 예산. tokenizer 측정치나 후보 출력이 아님.</x:v>
      </x:c>
    </x:row>
    <x:row r="78" ht="42" customHeight="1">
      <x:c r="A78" s="12" t="str">
        <x:v>policy</x:v>
      </x:c>
      <x:c r="B78" s="12" t="str">
        <x:v>scenario_weight</x:v>
      </x:c>
      <x:c r="C78" s="12" t="str">
        <x:v>각 사례 1회, 동일 비중의 설계 커버리지 묶음. 실사용 빈도와 독립 통계 반복 아님</x:v>
      </x:c>
    </x:row>
    <x:row r="79" ht="42" customHeight="1">
      <x:c r="A79" s="7" t="str">
        <x:v>policy</x:v>
      </x:c>
      <x:c r="B79" s="7" t="str">
        <x:v>schedule</x:v>
      </x:c>
      <x:c r="C79" s="7" t="str">
        <x:v>각 입력 종료를 0초로 고정. 발화 중 준비와 외부 사건은 명세의 상대시각. 후보 응답 속도로 후속 입력을 앞당기지 않음</x:v>
      </x:c>
    </x:row>
    <x:row r="80" ht="42" customHeight="1">
      <x:c r="A80" s="12" t="str">
        <x:v>policy</x:v>
      </x:c>
      <x:c r="B80" s="12" t="str">
        <x:v>accuracy</x:v>
      </x:c>
      <x:c r="C80" s="12" t="str">
        <x:v>candidate 최초 채택 출력 없음. QA02/07=null. oracle은 evaluator 전용이며 simulation의 output으로 사용하지 않음</x:v>
      </x:c>
    </x:row>
    <x:row r="81" ht="42" customHeight="1">
      <x:c r="A81" s="7" t="str">
        <x:v>policy</x:v>
      </x:c>
      <x:c r="B81" s="7" t="str">
        <x:v>qa01</x:v>
      </x:c>
      <x:c r="C81" s="7" t="str">
        <x:v>공통 입력 종료부터 첫 구체적 채택 화면. 일반 접수 제외. 부분 응답은 허용하나 이 모델은 공통 64-token 채택 packet 표시를 모델링</x:v>
      </x:c>
    </x:row>
    <x:row r="82" ht="42" customHeight="1">
      <x:c r="A82" s="12" t="str">
        <x:v>policy</x:v>
      </x:c>
      <x:c r="B82" s="12" t="str">
        <x:v>qa03</x:v>
      </x:c>
      <x:c r="C82" s="12" t="str">
        <x:v>등록 목표 시작 이후 causal DAG의 외부, 사용자 대기, 순수 재생 duration을 0으로 투영. 기존 목표 정정은 -6초 원래 시작 유지</x:v>
      </x:c>
    </x:row>
    <x:row r="83" ht="42" customHeight="1">
      <x:c r="A83" s="7" t="str">
        <x:v>policy</x:v>
      </x:c>
      <x:c r="B83" s="7" t="str">
        <x:v>cost</x:v>
      </x:c>
      <x:c r="C83" s="7" t="str">
        <x:v>모든 24사례의 초기/요청/후속 활동 비용 합. 수신 Agent 내부 비용은 null</x:v>
      </x:c>
    </x:row>
    <x:row r="84" ht="42" customHeight="1">
      <x:c r="A84" s="12" t="str">
        <x:v>policy</x:v>
      </x:c>
      <x:c r="B84" s="12" t="str">
        <x:v>memory</x:v>
      </x:c>
      <x:c r="C84" s="12" t="str">
        <x:v>모든 구성 동일 기반 560 MB, 같은 시각의 모델링 소유 상태 합 중 최대. 원격 weights/KV 제외</x:v>
      </x:c>
    </x:row>
    <x:row r="85" ht="42" customHeight="1">
      <x:c r="A85" s="7" t="str">
        <x:v>policy</x:v>
      </x:c>
      <x:c r="B85" s="7" t="str">
        <x:v>scores</x:v>
      </x:c>
      <x:c r="C85" s="7" t="str">
        <x:v>기존 COMMON-28 목표/점수를 이 24사례 묶음에 자동 적용하지 않음. 새 QA07 목표/점수/순위 미정</x:v>
      </x:c>
    </x:row>
    <x:row r="86" ht="42" customHeight="1">
      <x:c r="A86" s="12" t="str">
        <x:v>policy</x:v>
      </x:c>
      <x:c r="B86" s="12" t="str">
        <x:v>initial_state</x:v>
      </x:c>
      <x:c r="C86" s="12" t="str">
        <x:v>사례마다 공통 원본으로 초기화. 유효 공통 사실과 유효 audio는 양안에 동일 공급. B 전용 시각/관계 준비는 작업 및 비용으로 계산</x:v>
      </x:c>
    </x:row>
    <x:row r="87" ht="42" customHeight="1">
      <x:c r="A87" s="7" t="str">
        <x:v>policy</x:v>
      </x:c>
      <x:c r="B87" s="7" t="str">
        <x:v>model_scope</x:v>
      </x:c>
      <x:c r="C87" s="7" t="str">
        <x:v>정상 완료 구조의 조건부 계산. 의미 정답, 실제 UI/장치, 실패율, 제품 성능, 승자 또는 최적 결합을 증명하지 않음</x:v>
      </x:c>
    </x:row>
  </x:sheetData>
  <x:mergeCells>
    <x:mergeCell ref="A1:C1"/>
    <x:mergeCell ref="A2:C3"/>
  </x:mergeCells>
  <x:pageMargins left="0.7" right="0.7" top="0.75" bottom="0.75" header="0.3" footer="0.3"/>
</x:worksheet>
</file>